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OS Order Contact Details" sheetId="2" state="visible" r:id="rId2"/>
    <sheet xmlns:r="http://schemas.openxmlformats.org/officeDocument/2006/relationships" name="POS Delivery Consent" sheetId="3" state="visible" r:id="rId3"/>
    <sheet xmlns:r="http://schemas.openxmlformats.org/officeDocument/2006/relationships" name="Device Management Impl" sheetId="4" state="visible" r:id="rId4"/>
    <sheet xmlns:r="http://schemas.openxmlformats.org/officeDocument/2006/relationships" name="RBAC Roles &amp; Groups" sheetId="5" state="visible" r:id="rId5"/>
    <sheet xmlns:r="http://schemas.openxmlformats.org/officeDocument/2006/relationships" name="Registration Refresh Token" sheetId="6" state="visible" r:id="rId6"/>
    <sheet xmlns:r="http://schemas.openxmlformats.org/officeDocument/2006/relationships" name="ANB Settlement Files" sheetId="7" state="visible" r:id="rId7"/>
    <sheet xmlns:r="http://schemas.openxmlformats.org/officeDocument/2006/relationships" name="PoS Gateway Integration" sheetId="8" state="visible" r:id="rId8"/>
    <sheet xmlns:r="http://schemas.openxmlformats.org/officeDocument/2006/relationships" name="Admin POS Surfaces" sheetId="9" state="visible" r:id="rId9"/>
    <sheet xmlns:r="http://schemas.openxmlformats.org/officeDocument/2006/relationships" name="Transaction Amounts &amp; Fees" sheetId="10" state="visible" r:id="rId10"/>
    <sheet xmlns:r="http://schemas.openxmlformats.org/officeDocument/2006/relationships" name="Pending Reason &amp; Rebuild Fix" sheetId="11" state="visible" r:id="rId11"/>
    <sheet xmlns:r="http://schemas.openxmlformats.org/officeDocument/2006/relationships" name="Security &amp; Logging" sheetId="12" state="visible" r:id="rId12"/>
    <sheet xmlns:r="http://schemas.openxmlformats.org/officeDocument/2006/relationships" name="Localisation &amp; Messages" sheetId="13" state="visible" r:id="rId13"/>
    <sheet xmlns:r="http://schemas.openxmlformats.org/officeDocument/2006/relationships" name="Customer App Updates" sheetId="14" state="visible" r:id="rId14"/>
    <sheet xmlns:r="http://schemas.openxmlformats.org/officeDocument/2006/relationships" name="No Test Cases Required" sheetId="15" state="visible" r:id="rId15"/>
  </sheets>
  <definedNames>
    <definedName name="_xlnm._FilterDatabase" localSheetId="1" hidden="1">'POS Order Contact Details'!$A$1:$I$15</definedName>
    <definedName name="_xlnm._FilterDatabase" localSheetId="2" hidden="1">'POS Delivery Consent'!$A$1:$I$19</definedName>
    <definedName name="_xlnm._FilterDatabase" localSheetId="3" hidden="1">'Device Management Impl'!$A$1:$I$21</definedName>
    <definedName name="_xlnm._FilterDatabase" localSheetId="4" hidden="1">'RBAC Roles &amp; Groups'!$A$1:$I$21</definedName>
    <definedName name="_xlnm._FilterDatabase" localSheetId="5" hidden="1">'Registration Refresh Token'!$A$1:$I$17</definedName>
    <definedName name="_xlnm._FilterDatabase" localSheetId="6" hidden="1">'ANB Settlement Files'!$A$1:$I$25</definedName>
    <definedName name="_xlnm._FilterDatabase" localSheetId="7" hidden="1">'PoS Gateway Integration'!$A$1:$I$33</definedName>
    <definedName name="_xlnm._FilterDatabase" localSheetId="8" hidden="1">'Admin POS Surfaces'!$A$1:$I$17</definedName>
    <definedName name="_xlnm._FilterDatabase" localSheetId="9" hidden="1">'Transaction Amounts &amp; Fees'!$A$1:$I$26</definedName>
    <definedName name="_xlnm._FilterDatabase" localSheetId="10" hidden="1">'Pending Reason &amp; Rebuild Fix'!$A$1:$I$11</definedName>
    <definedName name="_xlnm._FilterDatabase" localSheetId="11" hidden="1">'Security &amp; Logging'!$A$1:$I$24</definedName>
    <definedName name="_xlnm._FilterDatabase" localSheetId="12" hidden="1">'Localisation &amp; Messages'!$A$1:$I$16</definedName>
    <definedName name="_xlnm._FilterDatabase" localSheetId="13" hidden="1">'Customer App Updates'!$A$1:$I$18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1F4E78"/>
      <sz val="13"/>
    </font>
    <font>
      <name val="Arial"/>
      <family val="2"/>
      <b val="1"/>
      <color rgb="FF000000"/>
      <sz val="9"/>
    </font>
    <font>
      <name val="Arial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6" fillId="4" borderId="3" applyAlignment="1" pivotButton="0" quotePrefix="0" xfId="0">
      <alignment horizontal="left" vertical="top" wrapText="1"/>
    </xf>
    <xf numFmtId="3" fontId="6" fillId="4" borderId="3" applyAlignment="1" pivotButton="0" quotePrefix="0" xfId="0">
      <alignment horizontal="center" vertical="top"/>
    </xf>
    <xf numFmtId="164" fontId="6" fillId="4" borderId="3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" fillId="5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1" fillId="5" borderId="4" applyAlignment="1" pivotButton="0" quotePrefix="0" xfId="0">
      <alignment horizontal="center" vertical="center" wrapText="1"/>
    </xf>
    <xf numFmtId="3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left" vertical="center"/>
    </xf>
    <xf numFmtId="3" fontId="6" fillId="6" borderId="4" applyAlignment="1" pivotButton="0" quotePrefix="0" xfId="0">
      <alignment horizontal="center" vertical="center"/>
    </xf>
    <xf numFmtId="164" fontId="6" fillId="6" borderId="4" applyAlignment="1" pivotButton="0" quotePrefix="0" xfId="0">
      <alignment horizontal="center" vertical="center"/>
    </xf>
    <xf numFmtId="3" fontId="3" fillId="0" borderId="4" applyAlignment="1" pivotButton="0" quotePrefix="0" xfId="0">
      <alignment vertical="center" wrapText="1"/>
    </xf>
    <xf numFmtId="0" fontId="3" fillId="7" borderId="4" applyAlignment="1" pivotButton="0" quotePrefix="0" xfId="0">
      <alignment vertical="top" wrapText="1"/>
    </xf>
    <xf numFmtId="0" fontId="3" fillId="7" borderId="4" applyAlignment="1" pivotButton="0" quotePrefix="0" xfId="0">
      <alignment horizontal="center" vertical="top" wrapText="1"/>
    </xf>
  </cellXfs>
  <cellStyles count="1">
    <cellStyle name="Normal" xfId="0" builtinId="0" hidden="0"/>
  </cellStyles>
  <dxfs count="6">
    <dxf>
      <font>
        <name val="Arial"/>
        <color rgb="FF375623"/>
        <sz val="9"/>
      </font>
      <fill>
        <patternFill patternType="solid">
          <bgColor rgb="FFE2EFDA"/>
        </patternFill>
      </fill>
    </dxf>
    <dxf>
      <font>
        <name val="Arial"/>
        <color rgb="FFC65911"/>
        <sz val="9"/>
      </font>
      <fill>
        <patternFill patternType="solid">
          <bgColor rgb="FFFCE4D6"/>
        </patternFill>
      </fill>
    </dxf>
    <dxf>
      <font>
        <name val="Arial"/>
        <color rgb="FF833C0C"/>
        <sz val="9"/>
      </font>
      <fill>
        <patternFill patternType="solid">
          <bgColor rgb="FFFFF2CC"/>
        </patternFill>
      </fill>
    </dxf>
    <dxf>
      <font>
        <name val="Arial"/>
        <color rgb="FF595959"/>
        <sz val="9"/>
      </font>
      <fill>
        <patternFill patternType="solid">
          <bgColor rgb="FFEDEDED"/>
        </patternFill>
      </fill>
    </dxf>
    <dxf>
      <font>
        <name val="Arial"/>
        <color rgb="FF7030A0"/>
        <sz val="9"/>
      </font>
      <fill>
        <patternFill patternType="solid">
          <bgColor rgb="FFEAD1DC"/>
        </patternFill>
      </fill>
    </dxf>
    <dxf>
      <font>
        <name val="Arial"/>
        <color rgb="FF7F7F7F"/>
        <sz val="9"/>
      </font>
      <fill>
        <patternFill patternType="solid">
          <b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5" customWidth="1" min="2" max="2"/>
    <col width="16" customWidth="1" min="3" max="3"/>
    <col width="18" customWidth="1" min="4" max="4"/>
    <col width="15" customWidth="1" min="5" max="5"/>
    <col width="18" customWidth="1" min="6" max="6"/>
    <col width="15" customWidth="1" min="7" max="7"/>
    <col width="14" customWidth="1" min="8" max="8"/>
  </cols>
  <sheetData>
    <row r="1" ht="24" customHeight="1">
      <c r="A1" s="18" t="inlineStr">
        <is>
          <t>Category</t>
        </is>
      </c>
      <c r="B1" s="18" t="inlineStr">
        <is>
          <t>Details</t>
        </is>
      </c>
    </row>
    <row r="2" ht="19.95" customHeight="1">
      <c r="A2" s="19" t="inlineStr">
        <is>
          <t>Document Name</t>
        </is>
      </c>
      <c r="B2" s="20" t="inlineStr">
        <is>
          <t>EMI Task-Level Coverage testcases</t>
        </is>
      </c>
    </row>
    <row r="3" ht="19.95" customHeight="1">
      <c r="A3" s="19" t="inlineStr">
        <is>
          <t>Epic / Story Ref</t>
        </is>
      </c>
      <c r="B3" s="20" t="inlineStr">
        <is>
          <t>Jira Tasks above EMI-5794 with no prior coverage</t>
        </is>
      </c>
    </row>
    <row r="4" ht="19.95" customHeight="1">
      <c r="A4" s="19" t="inlineStr">
        <is>
          <t>Release Number</t>
        </is>
      </c>
      <c r="B4" s="20" t="inlineStr">
        <is>
          <t>Mixed - see per-sheet ticket references</t>
        </is>
      </c>
    </row>
    <row r="5" ht="19.95" customHeight="1">
      <c r="A5" s="19" t="inlineStr">
        <is>
          <t>Environment</t>
        </is>
      </c>
      <c r="B5" s="20" t="inlineStr">
        <is>
          <t>UAT</t>
        </is>
      </c>
    </row>
    <row r="6" ht="19.95" customHeight="1">
      <c r="A6" s="19" t="inlineStr">
        <is>
          <t>Testing Period</t>
        </is>
      </c>
      <c r="B6" s="20" t="inlineStr">
        <is>
          <t>Sprint Test Execution Cycle</t>
        </is>
      </c>
    </row>
    <row r="9">
      <c r="A9" s="4" t="inlineStr">
        <is>
          <t>EMI Task-Level Coverage — Test Case Results by Feature Cluster</t>
        </is>
      </c>
    </row>
    <row r="11" ht="25.95" customHeight="1">
      <c r="A11" s="21" t="inlineStr">
        <is>
          <t>Category (Feature Cluster / Tickets)</t>
        </is>
      </c>
      <c r="B11" s="21" t="inlineStr">
        <is>
          <t>Passed</t>
        </is>
      </c>
      <c r="C11" s="21" t="inlineStr">
        <is>
          <t>Failed</t>
        </is>
      </c>
      <c r="D11" s="21" t="inlineStr">
        <is>
          <t>Partially Passed</t>
        </is>
      </c>
      <c r="E11" s="21" t="inlineStr">
        <is>
          <t>Not Tested</t>
        </is>
      </c>
      <c r="F11" s="21" t="inlineStr">
        <is>
          <t>Not Implemented</t>
        </is>
      </c>
      <c r="G11" s="21" t="inlineStr">
        <is>
          <t>Total Checks</t>
        </is>
      </c>
      <c r="H11" s="21" t="inlineStr">
        <is>
          <t>Pass Rate %</t>
        </is>
      </c>
    </row>
    <row r="12" ht="19.95" customHeight="1">
      <c r="A12" s="19" t="inlineStr">
        <is>
          <t>EMI-5842 / 5843 / 5844 / 5845 - Contact Name &amp; Number per Delivery Group</t>
        </is>
      </c>
      <c r="B12" s="22">
        <f>COUNTIF('POS Order Contact Details'!H2:H400, "Passed")</f>
        <v/>
      </c>
      <c r="C12" s="22">
        <f>COUNTIF('POS Order Contact Details'!H2:H400, "Failed")</f>
        <v/>
      </c>
      <c r="D12" s="22">
        <f>COUNTIF('POS Order Contact Details'!H2:H400, "Partially Passed")</f>
        <v/>
      </c>
      <c r="E12" s="22">
        <f>COUNTIF('POS Order Contact Details'!H2:H400, "Not Tested")</f>
        <v/>
      </c>
      <c r="F12" s="22">
        <f>COUNTIF('POS Order Contact Details'!H2:H400, "Not Implemented")</f>
        <v/>
      </c>
      <c r="G12" s="22">
        <f>SUM(B12:F12)</f>
        <v/>
      </c>
      <c r="H12" s="23">
        <f>IF(G12&gt;0, B12/G12, 0)</f>
        <v/>
      </c>
    </row>
    <row r="13" ht="19.95" customHeight="1">
      <c r="A13" s="19" t="inlineStr">
        <is>
          <t>EMI-5846 / 5847 / 5848 / 5849 / 5850 - Delivery Consent Attachment</t>
        </is>
      </c>
      <c r="B13" s="22">
        <f>COUNTIF('POS Delivery Consent'!H2:H400, "Passed")</f>
        <v/>
      </c>
      <c r="C13" s="22">
        <f>COUNTIF('POS Delivery Consent'!H2:H400, "Failed")</f>
        <v/>
      </c>
      <c r="D13" s="22">
        <f>COUNTIF('POS Delivery Consent'!H2:H400, "Partially Passed")</f>
        <v/>
      </c>
      <c r="E13" s="22">
        <f>COUNTIF('POS Delivery Consent'!H2:H400, "Not Tested")</f>
        <v/>
      </c>
      <c r="F13" s="22">
        <f>COUNTIF('POS Delivery Consent'!H2:H400, "Not Implemented")</f>
        <v/>
      </c>
      <c r="G13" s="22">
        <f>SUM(B13:F13)</f>
        <v/>
      </c>
      <c r="H13" s="23">
        <f>IF(G13&gt;0, B13/G13, 0)</f>
        <v/>
      </c>
    </row>
    <row r="14" ht="19.95" customHeight="1">
      <c r="A14" s="19" t="inlineStr">
        <is>
          <t>EMI-5853 / 5854 / 5855 / 5856 / 5857 - Device Management Implementation</t>
        </is>
      </c>
      <c r="B14" s="22">
        <f>COUNTIF('Device Management Impl'!H2:H400, "Passed")</f>
        <v/>
      </c>
      <c r="C14" s="22">
        <f>COUNTIF('Device Management Impl'!H2:H400, "Failed")</f>
        <v/>
      </c>
      <c r="D14" s="22">
        <f>COUNTIF('Device Management Impl'!H2:H400, "Partially Passed")</f>
        <v/>
      </c>
      <c r="E14" s="22">
        <f>COUNTIF('Device Management Impl'!H2:H400, "Not Tested")</f>
        <v/>
      </c>
      <c r="F14" s="22">
        <f>COUNTIF('Device Management Impl'!H2:H400, "Not Implemented")</f>
        <v/>
      </c>
      <c r="G14" s="22">
        <f>SUM(B14:F14)</f>
        <v/>
      </c>
      <c r="H14" s="23">
        <f>IF(G14&gt;0, B14/G14, 0)</f>
        <v/>
      </c>
    </row>
    <row r="15" ht="19.95" customHeight="1">
      <c r="A15" s="19" t="inlineStr">
        <is>
          <t>EMI-5834 / 5952 / 5953 / 5956 / 5957 - Roles, Groups &amp; Privileges</t>
        </is>
      </c>
      <c r="B15" s="22">
        <f>COUNTIF('RBAC Roles &amp; Groups'!H2:H400, "Passed")</f>
        <v/>
      </c>
      <c r="C15" s="22">
        <f>COUNTIF('RBAC Roles &amp; Groups'!H2:H400, "Failed")</f>
        <v/>
      </c>
      <c r="D15" s="22">
        <f>COUNTIF('RBAC Roles &amp; Groups'!H2:H400, "Partially Passed")</f>
        <v/>
      </c>
      <c r="E15" s="22">
        <f>COUNTIF('RBAC Roles &amp; Groups'!H2:H400, "Not Tested")</f>
        <v/>
      </c>
      <c r="F15" s="22">
        <f>COUNTIF('RBAC Roles &amp; Groups'!H2:H400, "Not Implemented")</f>
        <v/>
      </c>
      <c r="G15" s="22">
        <f>SUM(B15:F15)</f>
        <v/>
      </c>
      <c r="H15" s="23">
        <f>IF(G15&gt;0, B15/G15, 0)</f>
        <v/>
      </c>
    </row>
    <row r="16" ht="19.95" customHeight="1">
      <c r="A16" s="19" t="inlineStr">
        <is>
          <t>EMI-6057 / 6058 / 6059 - Registration Session Refresh Token (FE)</t>
        </is>
      </c>
      <c r="B16" s="22">
        <f>COUNTIF('Registration Refresh Token'!H2:H400, "Passed")</f>
        <v/>
      </c>
      <c r="C16" s="22">
        <f>COUNTIF('Registration Refresh Token'!H2:H400, "Failed")</f>
        <v/>
      </c>
      <c r="D16" s="22">
        <f>COUNTIF('Registration Refresh Token'!H2:H400, "Partially Passed")</f>
        <v/>
      </c>
      <c r="E16" s="22">
        <f>COUNTIF('Registration Refresh Token'!H2:H400, "Not Tested")</f>
        <v/>
      </c>
      <c r="F16" s="22">
        <f>COUNTIF('Registration Refresh Token'!H2:H400, "Not Implemented")</f>
        <v/>
      </c>
      <c r="G16" s="22">
        <f>SUM(B16:F16)</f>
        <v/>
      </c>
      <c r="H16" s="23">
        <f>IF(G16&gt;0, B16/G16, 0)</f>
        <v/>
      </c>
    </row>
    <row r="17" ht="19.95" customHeight="1">
      <c r="A17" s="19" t="inlineStr">
        <is>
          <t>EMI-6007 / 6009 / 6034 - ANB PTS Fetch, MT940 Matching &amp; POS Lifecycle</t>
        </is>
      </c>
      <c r="B17" s="22">
        <f>COUNTIF('ANB Settlement Files'!H2:H400, "Passed")</f>
        <v/>
      </c>
      <c r="C17" s="22">
        <f>COUNTIF('ANB Settlement Files'!H2:H400, "Failed")</f>
        <v/>
      </c>
      <c r="D17" s="22">
        <f>COUNTIF('ANB Settlement Files'!H2:H400, "Partially Passed")</f>
        <v/>
      </c>
      <c r="E17" s="22">
        <f>COUNTIF('ANB Settlement Files'!H2:H400, "Not Tested")</f>
        <v/>
      </c>
      <c r="F17" s="22">
        <f>COUNTIF('ANB Settlement Files'!H2:H400, "Not Implemented")</f>
        <v/>
      </c>
      <c r="G17" s="22">
        <f>SUM(B17:F17)</f>
        <v/>
      </c>
      <c r="H17" s="23">
        <f>IF(G17&gt;0, B17/G17, 0)</f>
        <v/>
      </c>
    </row>
    <row r="18" ht="19.95" customHeight="1">
      <c r="A18" s="19" t="inlineStr">
        <is>
          <t>EMI-6019 - PoS Gateway Third-Party Acquiring Partner Integration</t>
        </is>
      </c>
      <c r="B18" s="22">
        <f>COUNTIF('PoS Gateway Integration'!H2:H400, "Passed")</f>
        <v/>
      </c>
      <c r="C18" s="22">
        <f>COUNTIF('PoS Gateway Integration'!H2:H400, "Failed")</f>
        <v/>
      </c>
      <c r="D18" s="22">
        <f>COUNTIF('PoS Gateway Integration'!H2:H400, "Partially Passed")</f>
        <v/>
      </c>
      <c r="E18" s="22">
        <f>COUNTIF('PoS Gateway Integration'!H2:H400, "Not Tested")</f>
        <v/>
      </c>
      <c r="F18" s="22">
        <f>COUNTIF('PoS Gateway Integration'!H2:H400, "Not Implemented")</f>
        <v/>
      </c>
      <c r="G18" s="22">
        <f>SUM(B18:F18)</f>
        <v/>
      </c>
      <c r="H18" s="23">
        <f>IF(G18&gt;0, B18/G18, 0)</f>
        <v/>
      </c>
    </row>
    <row r="19" ht="19.95" customHeight="1">
      <c r="A19" s="19" t="inlineStr">
        <is>
          <t>EMI-6013 / 6015 - Admin POS Device Transactions &amp; ACH Records</t>
        </is>
      </c>
      <c r="B19" s="22">
        <f>COUNTIF('Admin POS Surfaces'!H2:H400, "Passed")</f>
        <v/>
      </c>
      <c r="C19" s="22">
        <f>COUNTIF('Admin POS Surfaces'!H2:H400, "Failed")</f>
        <v/>
      </c>
      <c r="D19" s="22">
        <f>COUNTIF('Admin POS Surfaces'!H2:H400, "Partially Passed")</f>
        <v/>
      </c>
      <c r="E19" s="22">
        <f>COUNTIF('Admin POS Surfaces'!H2:H400, "Not Tested")</f>
        <v/>
      </c>
      <c r="F19" s="22">
        <f>COUNTIF('Admin POS Surfaces'!H2:H400, "Not Implemented")</f>
        <v/>
      </c>
      <c r="G19" s="22">
        <f>SUM(B19:F19)</f>
        <v/>
      </c>
      <c r="H19" s="23">
        <f>IF(G19&gt;0, B19/G19, 0)</f>
        <v/>
      </c>
    </row>
    <row r="20" ht="19.95" customHeight="1">
      <c r="A20" s="19" t="inlineStr">
        <is>
          <t>EMI-6020 / 5861 / 6036 / 5908 - Amount Calculation, Fee Deduction &amp; Metadata</t>
        </is>
      </c>
      <c r="B20" s="22">
        <f>COUNTIF('Transaction Amounts &amp; Fees'!H2:H400, "Passed")</f>
        <v/>
      </c>
      <c r="C20" s="22">
        <f>COUNTIF('Transaction Amounts &amp; Fees'!H2:H400, "Failed")</f>
        <v/>
      </c>
      <c r="D20" s="22">
        <f>COUNTIF('Transaction Amounts &amp; Fees'!H2:H400, "Partially Passed")</f>
        <v/>
      </c>
      <c r="E20" s="22">
        <f>COUNTIF('Transaction Amounts &amp; Fees'!H2:H400, "Not Tested")</f>
        <v/>
      </c>
      <c r="F20" s="22">
        <f>COUNTIF('Transaction Amounts &amp; Fees'!H2:H400, "Not Implemented")</f>
        <v/>
      </c>
      <c r="G20" s="22">
        <f>SUM(B20:F20)</f>
        <v/>
      </c>
      <c r="H20" s="23">
        <f>IF(G20&gt;0, B20/G20, 0)</f>
        <v/>
      </c>
    </row>
    <row r="21" ht="19.95" customHeight="1">
      <c r="A21" s="19" t="inlineStr">
        <is>
          <t>EMI-6035 / 5958 - Pending Reason Persistence &amp; Rebuild Fix</t>
        </is>
      </c>
      <c r="B21" s="22">
        <f>COUNTIF('Pending Reason &amp; Rebuild Fix'!H2:H400, "Passed")</f>
        <v/>
      </c>
      <c r="C21" s="22">
        <f>COUNTIF('Pending Reason &amp; Rebuild Fix'!H2:H400, "Failed")</f>
        <v/>
      </c>
      <c r="D21" s="22">
        <f>COUNTIF('Pending Reason &amp; Rebuild Fix'!H2:H400, "Partially Passed")</f>
        <v/>
      </c>
      <c r="E21" s="22">
        <f>COUNTIF('Pending Reason &amp; Rebuild Fix'!H2:H400, "Not Tested")</f>
        <v/>
      </c>
      <c r="F21" s="22">
        <f>COUNTIF('Pending Reason &amp; Rebuild Fix'!H2:H400, "Not Implemented")</f>
        <v/>
      </c>
      <c r="G21" s="22">
        <f>SUM(B21:F21)</f>
        <v/>
      </c>
      <c r="H21" s="23">
        <f>IF(G21&gt;0, B21/G21, 0)</f>
        <v/>
      </c>
    </row>
    <row r="22" ht="19.95" customHeight="1">
      <c r="A22" s="19" t="inlineStr">
        <is>
          <t>EMI-5913 / 5927 / 5859 - OTP Hashing, Lean Errors &amp; Security Remediation</t>
        </is>
      </c>
      <c r="B22" s="22">
        <f>COUNTIF('Security &amp; Logging'!H2:H400, "Passed")</f>
        <v/>
      </c>
      <c r="C22" s="22">
        <f>COUNTIF('Security &amp; Logging'!H2:H400, "Failed")</f>
        <v/>
      </c>
      <c r="D22" s="22">
        <f>COUNTIF('Security &amp; Logging'!H2:H400, "Partially Passed")</f>
        <v/>
      </c>
      <c r="E22" s="22">
        <f>COUNTIF('Security &amp; Logging'!H2:H400, "Not Tested")</f>
        <v/>
      </c>
      <c r="F22" s="22">
        <f>COUNTIF('Security &amp; Logging'!H2:H400, "Not Implemented")</f>
        <v/>
      </c>
      <c r="G22" s="22">
        <f>SUM(B22:F22)</f>
        <v/>
      </c>
      <c r="H22" s="23">
        <f>IF(G22&gt;0, B22/G22, 0)</f>
        <v/>
      </c>
    </row>
    <row r="23" ht="19.95" customHeight="1">
      <c r="A23" s="19" t="inlineStr">
        <is>
          <t>EMI-5831 / 5833 / 5966 - Locale Handling, Message Coverage &amp; Translations</t>
        </is>
      </c>
      <c r="B23" s="22">
        <f>COUNTIF('Localisation &amp; Messages'!H2:H400, "Passed")</f>
        <v/>
      </c>
      <c r="C23" s="22">
        <f>COUNTIF('Localisation &amp; Messages'!H2:H400, "Failed")</f>
        <v/>
      </c>
      <c r="D23" s="22">
        <f>COUNTIF('Localisation &amp; Messages'!H2:H400, "Partially Passed")</f>
        <v/>
      </c>
      <c r="E23" s="22">
        <f>COUNTIF('Localisation &amp; Messages'!H2:H400, "Not Tested")</f>
        <v/>
      </c>
      <c r="F23" s="22">
        <f>COUNTIF('Localisation &amp; Messages'!H2:H400, "Not Implemented")</f>
        <v/>
      </c>
      <c r="G23" s="22">
        <f>SUM(B23:F23)</f>
        <v/>
      </c>
      <c r="H23" s="23">
        <f>IF(G23&gt;0, B23/G23, 0)</f>
        <v/>
      </c>
    </row>
    <row r="24" ht="19.95" customHeight="1">
      <c r="A24" s="19" t="inlineStr">
        <is>
          <t>EMI-5961 / 5938 / 5962 / 5963 / 5851 / 5852 - Customer &amp; Business App Updates</t>
        </is>
      </c>
      <c r="B24" s="22">
        <f>COUNTIF('Customer App Updates'!H2:H400, "Passed")</f>
        <v/>
      </c>
      <c r="C24" s="22">
        <f>COUNTIF('Customer App Updates'!H2:H400, "Failed")</f>
        <v/>
      </c>
      <c r="D24" s="22">
        <f>COUNTIF('Customer App Updates'!H2:H400, "Partially Passed")</f>
        <v/>
      </c>
      <c r="E24" s="22">
        <f>COUNTIF('Customer App Updates'!H2:H400, "Not Tested")</f>
        <v/>
      </c>
      <c r="F24" s="22">
        <f>COUNTIF('Customer App Updates'!H2:H400, "Not Implemented")</f>
        <v/>
      </c>
      <c r="G24" s="22">
        <f>SUM(B24:F24)</f>
        <v/>
      </c>
      <c r="H24" s="23">
        <f>IF(G24&gt;0, B24/G24, 0)</f>
        <v/>
      </c>
    </row>
    <row r="25" ht="22.05" customHeight="1">
      <c r="A25" s="24" t="inlineStr">
        <is>
          <t>Total</t>
        </is>
      </c>
      <c r="B25" s="25">
        <f>SUM(B12:B24)</f>
        <v/>
      </c>
      <c r="C25" s="25">
        <f>SUM(C12:C24)</f>
        <v/>
      </c>
      <c r="D25" s="25">
        <f>SUM(D12:D24)</f>
        <v/>
      </c>
      <c r="E25" s="25">
        <f>SUM(E12:E24)</f>
        <v/>
      </c>
      <c r="F25" s="25">
        <f>SUM(F12:F24)</f>
        <v/>
      </c>
      <c r="G25" s="25">
        <f>SUM(G12:G24)</f>
        <v/>
      </c>
      <c r="H25" s="26">
        <f>IF(G25&gt;0, B25/G25, 0)</f>
        <v/>
      </c>
    </row>
    <row r="27" ht="22.05" customHeight="1">
      <c r="A27" s="4" t="inlineStr">
        <is>
          <t>Test Execution Statuses &amp; Definitions</t>
        </is>
      </c>
    </row>
    <row r="28" ht="24" customHeight="1">
      <c r="A28" s="21" t="inlineStr">
        <is>
          <t>Status</t>
        </is>
      </c>
      <c r="B28" s="21" t="inlineStr">
        <is>
          <t>Definition / Criteria</t>
        </is>
      </c>
      <c r="C28" s="21" t="inlineStr">
        <is>
          <t>Allowed In Workflow</t>
        </is>
      </c>
    </row>
    <row r="29" ht="19.95" customHeight="1">
      <c r="A29" s="20" t="inlineStr">
        <is>
          <t>Passed</t>
        </is>
      </c>
      <c r="B29" s="27" t="inlineStr">
        <is>
          <t>All test steps executed with actual result matching the expected result</t>
        </is>
      </c>
      <c r="C29" s="27" t="inlineStr">
        <is>
          <t>Yes</t>
        </is>
      </c>
    </row>
    <row r="30" ht="19.95" customHeight="1">
      <c r="A30" s="20" t="inlineStr">
        <is>
          <t>Failed</t>
        </is>
      </c>
      <c r="B30" s="27" t="inlineStr">
        <is>
          <t>One or more test steps failed or produced an incorrect result</t>
        </is>
      </c>
      <c r="C30" s="27" t="inlineStr">
        <is>
          <t>Yes</t>
        </is>
      </c>
    </row>
    <row r="31" ht="19.95" customHeight="1">
      <c r="A31" s="20" t="inlineStr">
        <is>
          <t>Partially Passed</t>
        </is>
      </c>
      <c r="B31" s="27" t="inlineStr">
        <is>
          <t>Core functionality works but a secondary assertion did not</t>
        </is>
      </c>
      <c r="C31" s="27" t="inlineStr">
        <is>
          <t>Yes</t>
        </is>
      </c>
    </row>
    <row r="32" ht="19.95" customHeight="1">
      <c r="A32" s="20" t="inlineStr">
        <is>
          <t>Not Tested</t>
        </is>
      </c>
      <c r="B32" s="27" t="inlineStr">
        <is>
          <t>Test case is ready for execution in the current cycle</t>
        </is>
      </c>
      <c r="C32" s="27" t="inlineStr">
        <is>
          <t>Yes (Default)</t>
        </is>
      </c>
    </row>
    <row r="33" ht="19.95" customHeight="1">
      <c r="A33" s="20" t="inlineStr">
        <is>
          <t>Not Implemented</t>
        </is>
      </c>
      <c r="B33" s="27" t="inlineStr">
        <is>
          <t>Feature or endpoint dependency is currently unavailable</t>
        </is>
      </c>
      <c r="C33" s="27" t="inlineStr">
        <is>
          <t>Yes</t>
        </is>
      </c>
    </row>
    <row r="34" ht="19.95" customHeight="1">
      <c r="A34" s="20" t="inlineStr">
        <is>
          <t>NA</t>
        </is>
      </c>
      <c r="B34" s="27" t="inlineStr">
        <is>
          <t>Scenario is not applicable to the current scope or configuration</t>
        </is>
      </c>
      <c r="C34" s="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Functional</t>
        </is>
      </c>
      <c r="B2" s="29" t="inlineStr">
        <is>
          <t>TC-Contact-01</t>
        </is>
      </c>
      <c r="C2" s="28" t="inlineStr">
        <is>
          <t>Business Enters Contact Name and Mobile per Delivery Group - Web</t>
        </is>
      </c>
      <c r="D2" s="29" t="inlineStr">
        <is>
          <t>High</t>
        </is>
      </c>
      <c r="E2" s="28" t="inlineStr">
        <is>
          <t>Business user signed in on Web; a POS request with more than one delivery group</t>
        </is>
      </c>
      <c r="F2" s="28" t="inlineStr">
        <is>
          <t>1. Open the POS request flow
2. Enter a distinct contact name and mobile number on each delivery group
3. Submit</t>
        </is>
      </c>
      <c r="G2" s="28" t="inlineStr">
        <is>
          <t>Each group accepts its own contact pair independently; the values are sent in the POS request/order payload against the correct group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Functional</t>
        </is>
      </c>
      <c r="B3" s="29" t="inlineStr">
        <is>
          <t>TC-Contact-02</t>
        </is>
      </c>
      <c r="C3" s="28" t="inlineStr">
        <is>
          <t>Contact Values Reach the Backend Against the Right Group</t>
        </is>
      </c>
      <c r="D3" s="29" t="inlineStr">
        <is>
          <t>High</t>
        </is>
      </c>
      <c r="E3" s="28" t="inlineStr">
        <is>
          <t>A submitted multi-group POS order</t>
        </is>
      </c>
      <c r="F3" s="28" t="inlineStr">
        <is>
          <t>1. Inspect the request payload and the stored order</t>
        </is>
      </c>
      <c r="G3" s="28" t="inlineStr">
        <is>
          <t>Each group's contact name and mobile are stored against that group; no value is carried across groups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Functional</t>
        </is>
      </c>
      <c r="B4" s="29" t="inlineStr">
        <is>
          <t>TC-Contact-03</t>
        </is>
      </c>
      <c r="C4" s="28" t="inlineStr">
        <is>
          <t>POS Order Details Display Contact Under the Right Group - Web Business</t>
        </is>
      </c>
      <c r="D4" s="29" t="inlineStr">
        <is>
          <t>Medium</t>
        </is>
      </c>
      <c r="E4" s="28" t="inlineStr">
        <is>
          <t>A submitted multi-group POS order</t>
        </is>
      </c>
      <c r="F4" s="28" t="inlineStr">
        <is>
          <t>1. Open POS Order details as the business user</t>
        </is>
      </c>
      <c r="G4" s="28" t="inlineStr">
        <is>
          <t>Contact name and mobile appear under their respective delivery group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Functional</t>
        </is>
      </c>
      <c r="B5" s="29" t="inlineStr">
        <is>
          <t>TC-Contact-04</t>
        </is>
      </c>
      <c r="C5" s="28" t="inlineStr">
        <is>
          <t>Admin Sees Contact Name and Number on Order Details</t>
        </is>
      </c>
      <c r="D5" s="29" t="inlineStr">
        <is>
          <t>High</t>
        </is>
      </c>
      <c r="E5" s="28" t="inlineStr">
        <is>
          <t>A submitted multi-group POS order; admin signed in</t>
        </is>
      </c>
      <c r="F5" s="28" t="inlineStr">
        <is>
          <t>1. Open the POS Order details in Admin</t>
        </is>
      </c>
      <c r="G5" s="28" t="inlineStr">
        <is>
          <t>Contact name and mobile are displayed per delivery group, matching what the business submitted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Platform</t>
        </is>
      </c>
      <c r="B6" s="29" t="inlineStr">
        <is>
          <t>TC-Contact-05</t>
        </is>
      </c>
      <c r="C6" s="28" t="inlineStr">
        <is>
          <t>Android Business Captures and Submits Contact per Group</t>
        </is>
      </c>
      <c r="D6" s="29" t="inlineStr">
        <is>
          <t>High</t>
        </is>
      </c>
      <c r="E6" s="28" t="inlineStr">
        <is>
          <t>Business user on the Android app</t>
        </is>
      </c>
      <c r="F6" s="28" t="inlineStr">
        <is>
          <t>1. Repeat TC-Contact-01 on Android
2. Submit and inspect the payload</t>
        </is>
      </c>
      <c r="G6" s="28" t="inlineStr">
        <is>
          <t>Behaviour matches Web: per-group capture, correct payload, values visible on order details</t>
        </is>
      </c>
      <c r="H6" s="29" t="inlineStr">
        <is>
          <t>Not Tested</t>
        </is>
      </c>
      <c r="I6" s="29" t="inlineStr">
        <is>
          <t>Cross-Platform</t>
        </is>
      </c>
    </row>
    <row r="7" ht="36" customHeight="1">
      <c r="A7" s="28" t="inlineStr">
        <is>
          <t>Platform</t>
        </is>
      </c>
      <c r="B7" s="29" t="inlineStr">
        <is>
          <t>TC-Contact-06</t>
        </is>
      </c>
      <c r="C7" s="28" t="inlineStr">
        <is>
          <t>iOS Business Captures and Submits Contact per Group</t>
        </is>
      </c>
      <c r="D7" s="29" t="inlineStr">
        <is>
          <t>High</t>
        </is>
      </c>
      <c r="E7" s="28" t="inlineStr">
        <is>
          <t>Business user on the iOS app</t>
        </is>
      </c>
      <c r="F7" s="28" t="inlineStr">
        <is>
          <t>1. Repeat TC-Contact-01 on iOS
2. Submit and inspect the payload</t>
        </is>
      </c>
      <c r="G7" s="28" t="inlineStr">
        <is>
          <t>Behaviour matches Web: per-group capture, correct payload, values visible on order details</t>
        </is>
      </c>
      <c r="H7" s="29" t="inlineStr">
        <is>
          <t>Not Tested</t>
        </is>
      </c>
      <c r="I7" s="29" t="inlineStr">
        <is>
          <t>Cross-Platform</t>
        </is>
      </c>
    </row>
    <row r="8" ht="36" customHeight="1">
      <c r="A8" s="28" t="inlineStr">
        <is>
          <t>Platform</t>
        </is>
      </c>
      <c r="B8" s="29" t="inlineStr">
        <is>
          <t>TC-Contact-07</t>
        </is>
      </c>
      <c r="C8" s="28" t="inlineStr">
        <is>
          <t>Contact Values Are Consistent Across All Three Clients</t>
        </is>
      </c>
      <c r="D8" s="29" t="inlineStr">
        <is>
          <t>Medium</t>
        </is>
      </c>
      <c r="E8" s="28" t="inlineStr">
        <is>
          <t>One order created on each of Web, Android and iOS</t>
        </is>
      </c>
      <c r="F8" s="28" t="inlineStr">
        <is>
          <t>1. Create the same order shape on each client
2. Compare the stored payloads</t>
        </is>
      </c>
      <c r="G8" s="28" t="inlineStr">
        <is>
          <t>All three produce the same stored structure; no client sends a different field name, shape or nesting</t>
        </is>
      </c>
      <c r="H8" s="29" t="inlineStr">
        <is>
          <t>Not Tested</t>
        </is>
      </c>
      <c r="I8" s="29" t="inlineStr">
        <is>
          <t>Cross-Platform</t>
        </is>
      </c>
    </row>
    <row r="9" ht="36" customHeight="1">
      <c r="A9" s="28" t="inlineStr">
        <is>
          <t>Validation</t>
        </is>
      </c>
      <c r="B9" s="29" t="inlineStr">
        <is>
          <t>TC-Contact-08</t>
        </is>
      </c>
      <c r="C9" s="28" t="inlineStr">
        <is>
          <t>Backend Validation Errors Are Surfaced to the User</t>
        </is>
      </c>
      <c r="D9" s="29" t="inlineStr">
        <is>
          <t>High</t>
        </is>
      </c>
      <c r="E9" s="28" t="inlineStr">
        <is>
          <t>A backend rule that rejects a malformed contact number</t>
        </is>
      </c>
      <c r="F9" s="28" t="inlineStr">
        <is>
          <t>1. Submit an invalid mobile number
2. Observe the client</t>
        </is>
      </c>
      <c r="G9" s="28" t="inlineStr">
        <is>
          <t>The backend validation error is displayed to the user rather than swallowed or replaced by a generic failure</t>
        </is>
      </c>
      <c r="H9" s="29" t="inlineStr">
        <is>
          <t>Not Tested</t>
        </is>
      </c>
      <c r="I9" s="29" t="inlineStr">
        <is>
          <t>Negative</t>
        </is>
      </c>
    </row>
    <row r="10" ht="36" customHeight="1">
      <c r="A10" s="28" t="inlineStr">
        <is>
          <t>Validation</t>
        </is>
      </c>
      <c r="B10" s="29" t="inlineStr">
        <is>
          <t>TC-Contact-09</t>
        </is>
      </c>
      <c r="C10" s="28" t="inlineStr">
        <is>
          <t>Invalid Mobile Number Format Is Rejected</t>
        </is>
      </c>
      <c r="D10" s="29" t="inlineStr">
        <is>
          <t>Medium</t>
        </is>
      </c>
      <c r="E10" s="28" t="inlineStr">
        <is>
          <t>POS request flow open</t>
        </is>
      </c>
      <c r="F10" s="28" t="inlineStr">
        <is>
          <t>1. Enter a mobile number that is too short, too long and non-numeric in turn
2. Attempt to submit</t>
        </is>
      </c>
      <c r="G10" s="28" t="inlineStr">
        <is>
          <t>Each is rejected with a clear message and the order is not created</t>
        </is>
      </c>
      <c r="H10" s="29" t="inlineStr">
        <is>
          <t>Not Tested</t>
        </is>
      </c>
      <c r="I10" s="29" t="inlineStr">
        <is>
          <t>Negative</t>
        </is>
      </c>
    </row>
    <row r="11" ht="36" customHeight="1">
      <c r="A11" s="28" t="inlineStr">
        <is>
          <t>Validation</t>
        </is>
      </c>
      <c r="B11" s="29" t="inlineStr">
        <is>
          <t>TC-Contact-10</t>
        </is>
      </c>
      <c r="C11" s="28" t="inlineStr">
        <is>
          <t>Missing Contact on One Group of Several</t>
        </is>
      </c>
      <c r="D11" s="29" t="inlineStr">
        <is>
          <t>Medium</t>
        </is>
      </c>
      <c r="E11" s="28" t="inlineStr">
        <is>
          <t>A multi-group POS request</t>
        </is>
      </c>
      <c r="F11" s="28" t="inlineStr">
        <is>
          <t>1. Complete contact details on one group and leave another empty
2. Submit</t>
        </is>
      </c>
      <c r="G11" s="28" t="inlineStr">
        <is>
          <t>The rule is applied consistently across every group and the message identifies which group is incomplete</t>
        </is>
      </c>
      <c r="H11" s="29" t="inlineStr">
        <is>
          <t>Not Tested</t>
        </is>
      </c>
      <c r="I11" s="29" t="inlineStr">
        <is>
          <t>Negative</t>
        </is>
      </c>
    </row>
    <row r="12" ht="36" customHeight="1">
      <c r="A12" s="28" t="inlineStr">
        <is>
          <t>Validation</t>
        </is>
      </c>
      <c r="B12" s="29" t="inlineStr">
        <is>
          <t>TC-Contact-11</t>
        </is>
      </c>
      <c r="C12" s="28" t="inlineStr">
        <is>
          <t>Contact Name Accepts Arabic and Latin Characters</t>
        </is>
      </c>
      <c r="D12" s="29" t="inlineStr">
        <is>
          <t>Medium</t>
        </is>
      </c>
      <c r="E12" s="28" t="inlineStr">
        <is>
          <t>POS request flow open</t>
        </is>
      </c>
      <c r="F12" s="28" t="inlineStr">
        <is>
          <t>1. Enter an Arabic contact name, then a Latin one
2. Submit and re-open the order</t>
        </is>
      </c>
      <c r="G12" s="28" t="inlineStr">
        <is>
          <t>Both are accepted, stored and rendered without corruption on every surface</t>
        </is>
      </c>
      <c r="H12" s="29" t="inlineStr">
        <is>
          <t>Not Tested</t>
        </is>
      </c>
      <c r="I12" s="29" t="inlineStr">
        <is>
          <t>Negative</t>
        </is>
      </c>
    </row>
    <row r="13" ht="36" customHeight="1">
      <c r="A13" s="28" t="inlineStr">
        <is>
          <t>Boundary</t>
        </is>
      </c>
      <c r="B13" s="29" t="inlineStr">
        <is>
          <t>TC-Contact-12</t>
        </is>
      </c>
      <c r="C13" s="28" t="inlineStr">
        <is>
          <t>Contact Name at Field Length Boundaries</t>
        </is>
      </c>
      <c r="D13" s="29" t="inlineStr">
        <is>
          <t>Low</t>
        </is>
      </c>
      <c r="E13" s="28" t="inlineStr">
        <is>
          <t>POS request flow open</t>
        </is>
      </c>
      <c r="F13" s="28" t="inlineStr">
        <is>
          <t>1. Enter a name at the maximum allowed length, then one character over</t>
        </is>
      </c>
      <c r="G13" s="28" t="inlineStr">
        <is>
          <t>The maximum is accepted; over-length is rejected with a clear message</t>
        </is>
      </c>
      <c r="H13" s="29" t="inlineStr">
        <is>
          <t>Not Tested</t>
        </is>
      </c>
      <c r="I13" s="29" t="inlineStr">
        <is>
          <t>Negative</t>
        </is>
      </c>
    </row>
    <row r="14" ht="36" customHeight="1">
      <c r="A14" s="28" t="inlineStr">
        <is>
          <t>Regression</t>
        </is>
      </c>
      <c r="B14" s="29" t="inlineStr">
        <is>
          <t>TC-Contact-13</t>
        </is>
      </c>
      <c r="C14" s="28" t="inlineStr">
        <is>
          <t>Single-Group Order Still Works</t>
        </is>
      </c>
      <c r="D14" s="29" t="inlineStr">
        <is>
          <t>Medium</t>
        </is>
      </c>
      <c r="E14" s="28" t="inlineStr">
        <is>
          <t>A POS request with one delivery group</t>
        </is>
      </c>
      <c r="F14" s="28" t="inlineStr">
        <is>
          <t>1. Create and submit a single-group order with contact details</t>
        </is>
      </c>
      <c r="G14" s="28" t="inlineStr">
        <is>
          <t>The single-group path is unaffected and the contact pair is stored and displayed correctly</t>
        </is>
      </c>
      <c r="H14" s="29" t="inlineStr">
        <is>
          <t>Not Tested</t>
        </is>
      </c>
      <c r="I14" s="29" t="inlineStr">
        <is>
          <t>Regression</t>
        </is>
      </c>
    </row>
    <row r="15" ht="36" customHeight="1">
      <c r="A15" s="28" t="inlineStr">
        <is>
          <t>Regression</t>
        </is>
      </c>
      <c r="B15" s="29" t="inlineStr">
        <is>
          <t>TC-Contact-14</t>
        </is>
      </c>
      <c r="C15" s="28" t="inlineStr">
        <is>
          <t>Existing Orders Without Contact Details Still Render</t>
        </is>
      </c>
      <c r="D15" s="29" t="inlineStr">
        <is>
          <t>Medium</t>
        </is>
      </c>
      <c r="E15" s="28" t="inlineStr">
        <is>
          <t>A POS order created before this change</t>
        </is>
      </c>
      <c r="F15" s="28" t="inlineStr">
        <is>
          <t>1. Open its details on Admin and on each business client</t>
        </is>
      </c>
      <c r="G15" s="28" t="inlineStr">
        <is>
          <t>The order renders without error; absent contact fields are handled gracefully rather than showing blanks as errors</t>
        </is>
      </c>
      <c r="H15" s="29" t="inlineStr">
        <is>
          <t>Not Tested</t>
        </is>
      </c>
      <c r="I15" s="29" t="inlineStr">
        <is>
          <t>Integration</t>
        </is>
      </c>
    </row>
  </sheetData>
  <autoFilter ref="A1:I15"/>
  <conditionalFormatting sqref="H2:H1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15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Functional</t>
        </is>
      </c>
      <c r="B2" s="29" t="inlineStr">
        <is>
          <t>TC-Consent-01</t>
        </is>
      </c>
      <c r="C2" s="28" t="inlineStr">
        <is>
          <t>Admin Uploads One Consent PDF per Delivery Group</t>
        </is>
      </c>
      <c r="D2" s="29" t="inlineStr">
        <is>
          <t>High</t>
        </is>
      </c>
      <c r="E2" s="28" t="inlineStr">
        <is>
          <t>Admin signed in; a POS order with more than one delivery group</t>
        </is>
      </c>
      <c r="F2" s="28" t="inlineStr">
        <is>
          <t>1. Upload a consent-of-delivery PDF to one group
2. Upload a different PDF to another group
3. Inspect both</t>
        </is>
      </c>
      <c r="G2" s="28" t="inlineStr">
        <is>
          <t>Each group holds its own consent PDF and the two are independent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Functional</t>
        </is>
      </c>
      <c r="B3" s="29" t="inlineStr">
        <is>
          <t>TC-Consent-02</t>
        </is>
      </c>
      <c r="C3" s="28" t="inlineStr">
        <is>
          <t>Business Previews and Downloads Its Own Consent PDF</t>
        </is>
      </c>
      <c r="D3" s="29" t="inlineStr">
        <is>
          <t>High</t>
        </is>
      </c>
      <c r="E3" s="28" t="inlineStr">
        <is>
          <t>A consent PDF uploaded against the business's order</t>
        </is>
      </c>
      <c r="F3" s="28" t="inlineStr">
        <is>
          <t>1. Open POS Order details as the business user
2. Preview the PDF
3. Download it</t>
        </is>
      </c>
      <c r="G3" s="28" t="inlineStr">
        <is>
          <t>Preview and download both succeed and the file matches what admin uploaded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Functional</t>
        </is>
      </c>
      <c r="B4" s="29" t="inlineStr">
        <is>
          <t>TC-Consent-03</t>
        </is>
      </c>
      <c r="C4" s="28" t="inlineStr">
        <is>
          <t>Business Access Is Read-Only</t>
        </is>
      </c>
      <c r="D4" s="29" t="inlineStr">
        <is>
          <t>High</t>
        </is>
      </c>
      <c r="E4" s="28" t="inlineStr">
        <is>
          <t>A consent PDF attached to the business's order</t>
        </is>
      </c>
      <c r="F4" s="28" t="inlineStr">
        <is>
          <t>1. Look for upload, replace and remove controls as a business user
2. Attempt each action directly against the API</t>
        </is>
      </c>
      <c r="G4" s="28" t="inlineStr">
        <is>
          <t>No write control is offered and every direct write attempt is refused; attachment write is admin-only</t>
        </is>
      </c>
      <c r="H4" s="29" t="inlineStr">
        <is>
          <t>Not Tested</t>
        </is>
      </c>
      <c r="I4" s="29" t="inlineStr">
        <is>
          <t>Negative</t>
        </is>
      </c>
    </row>
    <row r="5" ht="36" customHeight="1">
      <c r="A5" s="28" t="inlineStr">
        <is>
          <t>Validation</t>
        </is>
      </c>
      <c r="B5" s="29" t="inlineStr">
        <is>
          <t>TC-Consent-04</t>
        </is>
      </c>
      <c r="C5" s="28" t="inlineStr">
        <is>
          <t>Only PDF Files Are Accepted</t>
        </is>
      </c>
      <c r="D5" s="29" t="inlineStr">
        <is>
          <t>High</t>
        </is>
      </c>
      <c r="E5" s="28" t="inlineStr">
        <is>
          <t>Admin upload dialog open</t>
        </is>
      </c>
      <c r="F5" s="28" t="inlineStr">
        <is>
          <t>1. Attempt to upload a JPG, a PNG, a DOCX and an executable
2. Upload a valid PDF</t>
        </is>
      </c>
      <c r="G5" s="28" t="inlineStr">
        <is>
          <t>Every non-PDF is rejected with a clear message; the PDF is accepted</t>
        </is>
      </c>
      <c r="H5" s="29" t="inlineStr">
        <is>
          <t>Not Tested</t>
        </is>
      </c>
      <c r="I5" s="29" t="inlineStr">
        <is>
          <t>Negative</t>
        </is>
      </c>
    </row>
    <row r="6" ht="36" customHeight="1">
      <c r="A6" s="28" t="inlineStr">
        <is>
          <t>Validation</t>
        </is>
      </c>
      <c r="B6" s="29" t="inlineStr">
        <is>
          <t>TC-Consent-05</t>
        </is>
      </c>
      <c r="C6" s="28" t="inlineStr">
        <is>
          <t>File Larger Than 10 MB Is Rejected</t>
        </is>
      </c>
      <c r="D6" s="29" t="inlineStr">
        <is>
          <t>High</t>
        </is>
      </c>
      <c r="E6" s="28" t="inlineStr">
        <is>
          <t>Admin upload dialog open</t>
        </is>
      </c>
      <c r="F6" s="28" t="inlineStr">
        <is>
          <t>1. Upload a PDF just under 10 MB
2. Upload one just over 10 MB</t>
        </is>
      </c>
      <c r="G6" s="28" t="inlineStr">
        <is>
          <t>The under-limit file is accepted; the over-limit file is rejected with a message naming the limit</t>
        </is>
      </c>
      <c r="H6" s="29" t="inlineStr">
        <is>
          <t>Not Tested</t>
        </is>
      </c>
      <c r="I6" s="29" t="inlineStr">
        <is>
          <t>Negative</t>
        </is>
      </c>
    </row>
    <row r="7" ht="36" customHeight="1">
      <c r="A7" s="28" t="inlineStr">
        <is>
          <t>Security</t>
        </is>
      </c>
      <c r="B7" s="29" t="inlineStr">
        <is>
          <t>TC-Consent-06</t>
        </is>
      </c>
      <c r="C7" s="28" t="inlineStr">
        <is>
          <t>A File Renamed to .pdf Is Rejected</t>
        </is>
      </c>
      <c r="D7" s="29" t="inlineStr">
        <is>
          <t>High</t>
        </is>
      </c>
      <c r="E7" s="28" t="inlineStr">
        <is>
          <t>A non-PDF file renamed with a .pdf extension</t>
        </is>
      </c>
      <c r="F7" s="28" t="inlineStr">
        <is>
          <t>1. Attempt to upload it</t>
        </is>
      </c>
      <c r="G7" s="28" t="inlineStr">
        <is>
          <t>It is rejected; validation is on file content, not on the extension alone</t>
        </is>
      </c>
      <c r="H7" s="29" t="inlineStr">
        <is>
          <t>Not Tested</t>
        </is>
      </c>
      <c r="I7" s="29" t="inlineStr">
        <is>
          <t>Negative</t>
        </is>
      </c>
    </row>
    <row r="8" ht="36" customHeight="1">
      <c r="A8" s="28" t="inlineStr">
        <is>
          <t>Security</t>
        </is>
      </c>
      <c r="B8" s="29" t="inlineStr">
        <is>
          <t>TC-Consent-07</t>
        </is>
      </c>
      <c r="C8" s="28" t="inlineStr">
        <is>
          <t>Business Cannot Access Another Business's Consent PDF</t>
        </is>
      </c>
      <c r="D8" s="29" t="inlineStr">
        <is>
          <t>High</t>
        </is>
      </c>
      <c r="E8" s="28" t="inlineStr">
        <is>
          <t>Two businesses each with an order carrying a consent PDF</t>
        </is>
      </c>
      <c r="F8" s="28" t="inlineStr">
        <is>
          <t>1. As one business, request the other's attachment by direct reference and by guessed identifier</t>
        </is>
      </c>
      <c r="G8" s="28" t="inlineStr">
        <is>
          <t>Access is refused with no leakage of the other business's file name, size or existence</t>
        </is>
      </c>
      <c r="H8" s="29" t="inlineStr">
        <is>
          <t>Not Tested</t>
        </is>
      </c>
      <c r="I8" s="29" t="inlineStr">
        <is>
          <t>Security</t>
        </is>
      </c>
    </row>
    <row r="9" ht="36" customHeight="1">
      <c r="A9" s="28" t="inlineStr">
        <is>
          <t>Security</t>
        </is>
      </c>
      <c r="B9" s="29" t="inlineStr">
        <is>
          <t>TC-Consent-08</t>
        </is>
      </c>
      <c r="C9" s="28" t="inlineStr">
        <is>
          <t>Download Link Is Not Publicly Guessable or Shareable</t>
        </is>
      </c>
      <c r="D9" s="29" t="inlineStr">
        <is>
          <t>High</t>
        </is>
      </c>
      <c r="E9" s="28" t="inlineStr">
        <is>
          <t>A consent PDF attached to an order</t>
        </is>
      </c>
      <c r="F9" s="28" t="inlineStr">
        <is>
          <t>1. Obtain the download URL
2. Request it unauthenticated and from a different account</t>
        </is>
      </c>
      <c r="G9" s="28" t="inlineStr">
        <is>
          <t>Both are refused; the attachment is account-scoped and not served to an unauthenticated caller</t>
        </is>
      </c>
      <c r="H9" s="29" t="inlineStr">
        <is>
          <t>Not Tested</t>
        </is>
      </c>
      <c r="I9" s="29" t="inlineStr">
        <is>
          <t>Security</t>
        </is>
      </c>
    </row>
    <row r="10" ht="36" customHeight="1">
      <c r="A10" s="28" t="inlineStr">
        <is>
          <t>Functional</t>
        </is>
      </c>
      <c r="B10" s="29" t="inlineStr">
        <is>
          <t>TC-Consent-09</t>
        </is>
      </c>
      <c r="C10" s="28" t="inlineStr">
        <is>
          <t>Replacing a Consent PDF Keeps One Current File per Group</t>
        </is>
      </c>
      <c r="D10" s="29" t="inlineStr">
        <is>
          <t>Medium</t>
        </is>
      </c>
      <c r="E10" s="28" t="inlineStr">
        <is>
          <t>A group with an existing consent PDF</t>
        </is>
      </c>
      <c r="F10" s="28" t="inlineStr">
        <is>
          <t>1. Upload a replacement
2. Inspect the group</t>
        </is>
      </c>
      <c r="G10" s="28" t="inlineStr">
        <is>
          <t>The group holds exactly one current consent PDF and the replacement is the one served</t>
        </is>
      </c>
      <c r="H10" s="29" t="inlineStr">
        <is>
          <t>Not Tested</t>
        </is>
      </c>
      <c r="I10" s="29" t="inlineStr">
        <is>
          <t>Edge / Boundary</t>
        </is>
      </c>
    </row>
    <row r="11" ht="36" customHeight="1">
      <c r="A11" s="28" t="inlineStr">
        <is>
          <t>Functional</t>
        </is>
      </c>
      <c r="B11" s="29" t="inlineStr">
        <is>
          <t>TC-Consent-10</t>
        </is>
      </c>
      <c r="C11" s="28" t="inlineStr">
        <is>
          <t>Removing a Consent PDF</t>
        </is>
      </c>
      <c r="D11" s="29" t="inlineStr">
        <is>
          <t>Medium</t>
        </is>
      </c>
      <c r="E11" s="28" t="inlineStr">
        <is>
          <t>A group with a consent PDF</t>
        </is>
      </c>
      <c r="F11" s="28" t="inlineStr">
        <is>
          <t>1. Remove it as admin
2. Open the order as the business user</t>
        </is>
      </c>
      <c r="G11" s="28" t="inlineStr">
        <is>
          <t>The attachment is removed and the business surface shows an absent-attachment state rather than a broken link</t>
        </is>
      </c>
      <c r="H11" s="29" t="inlineStr">
        <is>
          <t>Not Tested</t>
        </is>
      </c>
      <c r="I11" s="29" t="inlineStr">
        <is>
          <t>Functional</t>
        </is>
      </c>
    </row>
    <row r="12" ht="36" customHeight="1">
      <c r="A12" s="28" t="inlineStr">
        <is>
          <t>Audit</t>
        </is>
      </c>
      <c r="B12" s="29" t="inlineStr">
        <is>
          <t>TC-Consent-11</t>
        </is>
      </c>
      <c r="C12" s="28" t="inlineStr">
        <is>
          <t>Add, Replace and Remove Are All Audit-Logged</t>
        </is>
      </c>
      <c r="D12" s="29" t="inlineStr">
        <is>
          <t>High</t>
        </is>
      </c>
      <c r="E12" s="28" t="inlineStr">
        <is>
          <t>Audit log accessible</t>
        </is>
      </c>
      <c r="F12" s="28" t="inlineStr">
        <is>
          <t>1. Add, replace and remove a consent PDF
2. Inspect the audit log for each</t>
        </is>
      </c>
      <c r="G12" s="28" t="inlineStr">
        <is>
          <t>All three actions are logged with actor, action, target group and timestamp</t>
        </is>
      </c>
      <c r="H12" s="29" t="inlineStr">
        <is>
          <t>Not Tested</t>
        </is>
      </c>
      <c r="I12" s="29" t="inlineStr">
        <is>
          <t>Security</t>
        </is>
      </c>
    </row>
    <row r="13" ht="36" customHeight="1">
      <c r="A13" s="28" t="inlineStr">
        <is>
          <t>Platform</t>
        </is>
      </c>
      <c r="B13" s="29" t="inlineStr">
        <is>
          <t>TC-Consent-12</t>
        </is>
      </c>
      <c r="C13" s="28" t="inlineStr">
        <is>
          <t>iOS Business Views the Consent Attachment</t>
        </is>
      </c>
      <c r="D13" s="29" t="inlineStr">
        <is>
          <t>High</t>
        </is>
      </c>
      <c r="E13" s="28" t="inlineStr">
        <is>
          <t>A consent PDF on the business's order; iOS app</t>
        </is>
      </c>
      <c r="F13" s="28" t="inlineStr">
        <is>
          <t>1. Open POS Order details on iOS and view the attachment</t>
        </is>
      </c>
      <c r="G13" s="28" t="inlineStr">
        <is>
          <t>The attachment is visible and previewable read-only, matching Web behaviour</t>
        </is>
      </c>
      <c r="H13" s="29" t="inlineStr">
        <is>
          <t>Not Tested</t>
        </is>
      </c>
      <c r="I13" s="29" t="inlineStr">
        <is>
          <t>Cross-Platform</t>
        </is>
      </c>
    </row>
    <row r="14" ht="36" customHeight="1">
      <c r="A14" s="28" t="inlineStr">
        <is>
          <t>Platform</t>
        </is>
      </c>
      <c r="B14" s="29" t="inlineStr">
        <is>
          <t>TC-Consent-13</t>
        </is>
      </c>
      <c r="C14" s="28" t="inlineStr">
        <is>
          <t>Android Business Views the Consent Attachment</t>
        </is>
      </c>
      <c r="D14" s="29" t="inlineStr">
        <is>
          <t>High</t>
        </is>
      </c>
      <c r="E14" s="28" t="inlineStr">
        <is>
          <t>A consent PDF on the business's order; Android app</t>
        </is>
      </c>
      <c r="F14" s="28" t="inlineStr">
        <is>
          <t>1. Open POS Order details on Android and view the attachment</t>
        </is>
      </c>
      <c r="G14" s="28" t="inlineStr">
        <is>
          <t>The attachment is visible and previewable read-only, matching Web behaviour</t>
        </is>
      </c>
      <c r="H14" s="29" t="inlineStr">
        <is>
          <t>Not Tested</t>
        </is>
      </c>
      <c r="I14" s="29" t="inlineStr">
        <is>
          <t>Cross-Platform</t>
        </is>
      </c>
    </row>
    <row r="15" ht="36" customHeight="1">
      <c r="A15" s="28" t="inlineStr">
        <is>
          <t>Platform</t>
        </is>
      </c>
      <c r="B15" s="29" t="inlineStr">
        <is>
          <t>TC-Consent-14</t>
        </is>
      </c>
      <c r="C15" s="28" t="inlineStr">
        <is>
          <t>Attachment Presentation Is Consistent Across Clients</t>
        </is>
      </c>
      <c r="D15" s="29" t="inlineStr">
        <is>
          <t>Medium</t>
        </is>
      </c>
      <c r="E15" s="28" t="inlineStr">
        <is>
          <t>One order with a consent PDF</t>
        </is>
      </c>
      <c r="F15" s="28" t="inlineStr">
        <is>
          <t>1. Compare the attachment section on Web, Android and iOS</t>
        </is>
      </c>
      <c r="G15" s="28" t="inlineStr">
        <is>
          <t>All three show the same file against the same delivery group with the same read-only affordances</t>
        </is>
      </c>
      <c r="H15" s="29" t="inlineStr">
        <is>
          <t>Not Tested</t>
        </is>
      </c>
      <c r="I15" s="29" t="inlineStr">
        <is>
          <t>Cross-Platform</t>
        </is>
      </c>
    </row>
    <row r="16" ht="36" customHeight="1">
      <c r="A16" s="28" t="inlineStr">
        <is>
          <t>Negative</t>
        </is>
      </c>
      <c r="B16" s="29" t="inlineStr">
        <is>
          <t>TC-Consent-15</t>
        </is>
      </c>
      <c r="C16" s="28" t="inlineStr">
        <is>
          <t>Corrupt PDF Is Handled Without a Client Crash</t>
        </is>
      </c>
      <c r="D16" s="29" t="inlineStr">
        <is>
          <t>Medium</t>
        </is>
      </c>
      <c r="E16" s="28" t="inlineStr">
        <is>
          <t>A structurally corrupt PDF accepted at upload</t>
        </is>
      </c>
      <c r="F16" s="28" t="inlineStr">
        <is>
          <t>1. Attempt to preview it on each client</t>
        </is>
      </c>
      <c r="G16" s="28" t="inlineStr">
        <is>
          <t>Each client shows a controlled error and offers download; no client crashes or hangs</t>
        </is>
      </c>
      <c r="H16" s="29" t="inlineStr">
        <is>
          <t>Not Tested</t>
        </is>
      </c>
      <c r="I16" s="29" t="inlineStr">
        <is>
          <t>Negative</t>
        </is>
      </c>
    </row>
    <row r="17" ht="36" customHeight="1">
      <c r="A17" s="28" t="inlineStr">
        <is>
          <t>Negative</t>
        </is>
      </c>
      <c r="B17" s="29" t="inlineStr">
        <is>
          <t>TC-Consent-16</t>
        </is>
      </c>
      <c r="C17" s="28" t="inlineStr">
        <is>
          <t>Upload Interrupted Part-Way Leaves No Partial Attachment</t>
        </is>
      </c>
      <c r="D17" s="29" t="inlineStr">
        <is>
          <t>High</t>
        </is>
      </c>
      <c r="E17" s="28" t="inlineStr">
        <is>
          <t>Admin upload in progress</t>
        </is>
      </c>
      <c r="F17" s="28" t="inlineStr">
        <is>
          <t>1. Interrupt the upload mid-transfer
2. Inspect the group</t>
        </is>
      </c>
      <c r="G17" s="28" t="inlineStr">
        <is>
          <t>No partial or unreadable attachment is stored; the group is left in its previous state</t>
        </is>
      </c>
      <c r="H17" s="29" t="inlineStr">
        <is>
          <t>Not Tested</t>
        </is>
      </c>
      <c r="I17" s="29" t="inlineStr">
        <is>
          <t>Negative</t>
        </is>
      </c>
    </row>
    <row r="18" ht="36" customHeight="1">
      <c r="A18" s="28" t="inlineStr">
        <is>
          <t>Negative</t>
        </is>
      </c>
      <c r="B18" s="29" t="inlineStr">
        <is>
          <t>TC-Consent-17</t>
        </is>
      </c>
      <c r="C18" s="28" t="inlineStr">
        <is>
          <t>Order With No Consent Attachment</t>
        </is>
      </c>
      <c r="D18" s="29" t="inlineStr">
        <is>
          <t>Medium</t>
        </is>
      </c>
      <c r="E18" s="28" t="inlineStr">
        <is>
          <t>An order whose groups carry no consent PDF</t>
        </is>
      </c>
      <c r="F18" s="28" t="inlineStr">
        <is>
          <t>1. Open the order on Admin and on each business client</t>
        </is>
      </c>
      <c r="G18" s="28" t="inlineStr">
        <is>
          <t>Each surface shows a clear absent state; nothing errors and no empty viewer is opened</t>
        </is>
      </c>
      <c r="H18" s="29" t="inlineStr">
        <is>
          <t>Not Tested</t>
        </is>
      </c>
      <c r="I18" s="29" t="inlineStr">
        <is>
          <t>Negative</t>
        </is>
      </c>
    </row>
    <row r="19" ht="36" customHeight="1">
      <c r="A19" s="28" t="inlineStr">
        <is>
          <t>Non-Functional</t>
        </is>
      </c>
      <c r="B19" s="29" t="inlineStr">
        <is>
          <t>TC-Consent-18</t>
        </is>
      </c>
      <c r="C19" s="28" t="inlineStr">
        <is>
          <t>Attachment Storage Meets Access and Retention Controls</t>
        </is>
      </c>
      <c r="D19" s="29" t="inlineStr">
        <is>
          <t>High</t>
        </is>
      </c>
      <c r="E19" s="28" t="inlineStr">
        <is>
          <t>A stored consent PDF</t>
        </is>
      </c>
      <c r="F19" s="28" t="inlineStr">
        <is>
          <t>1. Inspect storage encryption, access control and retention configuration</t>
        </is>
      </c>
      <c r="G19" s="28" t="inlineStr">
        <is>
          <t>The file is stored under the applicable encryption, access-control and retention requirements</t>
        </is>
      </c>
      <c r="H19" s="29" t="inlineStr">
        <is>
          <t>Not Tested</t>
        </is>
      </c>
      <c r="I19" s="29" t="inlineStr">
        <is>
          <t>Security</t>
        </is>
      </c>
    </row>
  </sheetData>
  <autoFilter ref="A1:I19"/>
  <conditionalFormatting sqref="H2:H1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19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Backend</t>
        </is>
      </c>
      <c r="B2" s="29" t="inlineStr">
        <is>
          <t>TC-DevImpl-01</t>
        </is>
      </c>
      <c r="C2" s="28" t="inlineStr">
        <is>
          <t>Device Record Created From a TID Mapping Event</t>
        </is>
      </c>
      <c r="D2" s="29" t="inlineStr">
        <is>
          <t>High</t>
        </is>
      </c>
      <c r="E2" s="28" t="inlineStr">
        <is>
          <t>The EMI-5719 order flow able to map a TID</t>
        </is>
      </c>
      <c r="F2" s="28" t="inlineStr">
        <is>
          <t>1. Complete a TID mapping
2. Query the device record</t>
        </is>
      </c>
      <c r="G2" s="28" t="inlineStr">
        <is>
          <t>A device record is created from the mapping event carrying its provenance; the backend consumes the event and does not own the mapping</t>
        </is>
      </c>
      <c r="H2" s="29" t="inlineStr">
        <is>
          <t>Not Tested</t>
        </is>
      </c>
      <c r="I2" s="29" t="inlineStr">
        <is>
          <t>Contract / API</t>
        </is>
      </c>
    </row>
    <row r="3" ht="36" customHeight="1">
      <c r="A3" s="28" t="inlineStr">
        <is>
          <t>Backend</t>
        </is>
      </c>
      <c r="B3" s="29" t="inlineStr">
        <is>
          <t>TC-DevImpl-02</t>
        </is>
      </c>
      <c r="C3" s="28" t="inlineStr">
        <is>
          <t>Device Record Updated From a Termination Event</t>
        </is>
      </c>
      <c r="D3" s="29" t="inlineStr">
        <is>
          <t>High</t>
        </is>
      </c>
      <c r="E3" s="28" t="inlineStr">
        <is>
          <t>An active device and the EMI-5719 termination flow</t>
        </is>
      </c>
      <c r="F3" s="28" t="inlineStr">
        <is>
          <t>1. Complete a termination
2. Query the device record</t>
        </is>
      </c>
      <c r="G3" s="28" t="inlineStr">
        <is>
          <t>The device record is updated to the terminated state from the event, and the device and its ledger remain readable</t>
        </is>
      </c>
      <c r="H3" s="29" t="inlineStr">
        <is>
          <t>Not Tested</t>
        </is>
      </c>
      <c r="I3" s="29" t="inlineStr">
        <is>
          <t>Contract / API</t>
        </is>
      </c>
    </row>
    <row r="4" ht="36" customHeight="1">
      <c r="A4" s="28" t="inlineStr">
        <is>
          <t>Backend</t>
        </is>
      </c>
      <c r="B4" s="29" t="inlineStr">
        <is>
          <t>TC-DevImpl-03</t>
        </is>
      </c>
      <c r="C4" s="28" t="inlineStr">
        <is>
          <t>Device Directory API Returns All Devices for Admin</t>
        </is>
      </c>
      <c r="D4" s="29" t="inlineStr">
        <is>
          <t>High</t>
        </is>
      </c>
      <c r="E4" s="28" t="inlineStr">
        <is>
          <t>Devices across several businesses; admin credentials</t>
        </is>
      </c>
      <c r="F4" s="28" t="inlineStr">
        <is>
          <t>1. Call the device directory API as admin</t>
        </is>
      </c>
      <c r="G4" s="28" t="inlineStr">
        <is>
          <t>Every mapped device across all businesses is returned with pagination</t>
        </is>
      </c>
      <c r="H4" s="29" t="inlineStr">
        <is>
          <t>Not Tested</t>
        </is>
      </c>
      <c r="I4" s="29" t="inlineStr">
        <is>
          <t>Contract / API</t>
        </is>
      </c>
    </row>
    <row r="5" ht="36" customHeight="1">
      <c r="A5" s="28" t="inlineStr">
        <is>
          <t>Backend</t>
        </is>
      </c>
      <c r="B5" s="29" t="inlineStr">
        <is>
          <t>TC-DevImpl-04</t>
        </is>
      </c>
      <c r="C5" s="28" t="inlineStr">
        <is>
          <t>Device Directory API Is Account-Scoped for Business</t>
        </is>
      </c>
      <c r="D5" s="29" t="inlineStr">
        <is>
          <t>High</t>
        </is>
      </c>
      <c r="E5" s="28" t="inlineStr">
        <is>
          <t>Devices across several businesses; business credentials</t>
        </is>
      </c>
      <c r="F5" s="28" t="inlineStr">
        <is>
          <t>1. Call the device directory API as a business user
2. Attempt to widen the scope through query parameters</t>
        </is>
      </c>
      <c r="G5" s="28" t="inlineStr">
        <is>
          <t>Only the caller's own devices are returned and the scope cannot be widened from the request</t>
        </is>
      </c>
      <c r="H5" s="29" t="inlineStr">
        <is>
          <t>Not Tested</t>
        </is>
      </c>
      <c r="I5" s="29" t="inlineStr">
        <is>
          <t>Contract / API</t>
        </is>
      </c>
    </row>
    <row r="6" ht="36" customHeight="1">
      <c r="A6" s="28" t="inlineStr">
        <is>
          <t>Backend</t>
        </is>
      </c>
      <c r="B6" s="29" t="inlineStr">
        <is>
          <t>TC-DevImpl-05</t>
        </is>
      </c>
      <c r="C6" s="28" t="inlineStr">
        <is>
          <t>Device Detail API Enforces the Same Scope</t>
        </is>
      </c>
      <c r="D6" s="29" t="inlineStr">
        <is>
          <t>High</t>
        </is>
      </c>
      <c r="E6" s="28" t="inlineStr">
        <is>
          <t>A device belonging to another business</t>
        </is>
      </c>
      <c r="F6" s="28" t="inlineStr">
        <is>
          <t>1. Request its detail as a business user by direct identifier</t>
        </is>
      </c>
      <c r="G6" s="28" t="inlineStr">
        <is>
          <t>Refused with 403 or not-found and no detail leaks</t>
        </is>
      </c>
      <c r="H6" s="29" t="inlineStr">
        <is>
          <t>Not Tested</t>
        </is>
      </c>
      <c r="I6" s="29" t="inlineStr">
        <is>
          <t>Security</t>
        </is>
      </c>
    </row>
    <row r="7" ht="36" customHeight="1">
      <c r="A7" s="28" t="inlineStr">
        <is>
          <t>Backend</t>
        </is>
      </c>
      <c r="B7" s="29" t="inlineStr">
        <is>
          <t>TC-DevImpl-06</t>
        </is>
      </c>
      <c r="C7" s="28" t="inlineStr">
        <is>
          <t>Lifecycle Transitions Are Enforced Server-Side</t>
        </is>
      </c>
      <c r="D7" s="29" t="inlineStr">
        <is>
          <t>High</t>
        </is>
      </c>
      <c r="E7" s="28" t="inlineStr">
        <is>
          <t>A device in each lifecycle state</t>
        </is>
      </c>
      <c r="F7" s="28" t="inlineStr">
        <is>
          <t>1. Attempt every transition permitted and forbidden by the status model, directly against the API</t>
        </is>
      </c>
      <c r="G7" s="28" t="inlineStr">
        <is>
          <t>Permitted transitions succeed and forbidden ones are refused with the allowed next states, regardless of what the client offers</t>
        </is>
      </c>
      <c r="H7" s="29" t="inlineStr">
        <is>
          <t>Not Tested</t>
        </is>
      </c>
      <c r="I7" s="29" t="inlineStr">
        <is>
          <t>Negative</t>
        </is>
      </c>
    </row>
    <row r="8" ht="36" customHeight="1">
      <c r="A8" s="28" t="inlineStr">
        <is>
          <t>Backend</t>
        </is>
      </c>
      <c r="B8" s="29" t="inlineStr">
        <is>
          <t>TC-DevImpl-07</t>
        </is>
      </c>
      <c r="C8" s="28" t="inlineStr">
        <is>
          <t>Every Lifecycle Action Is Audited</t>
        </is>
      </c>
      <c r="D8" s="29" t="inlineStr">
        <is>
          <t>High</t>
        </is>
      </c>
      <c r="E8" s="28" t="inlineStr">
        <is>
          <t>Audit log accessible</t>
        </is>
      </c>
      <c r="F8" s="28" t="inlineStr">
        <is>
          <t>1. Perform each lifecycle action
2. Inspect the audit records</t>
        </is>
      </c>
      <c r="G8" s="28" t="inlineStr">
        <is>
          <t>Each action writes an audit record with identity, action, reason where required, and timestamp</t>
        </is>
      </c>
      <c r="H8" s="29" t="inlineStr">
        <is>
          <t>Not Tested</t>
        </is>
      </c>
      <c r="I8" s="29" t="inlineStr">
        <is>
          <t>Contract / API</t>
        </is>
      </c>
    </row>
    <row r="9" ht="36" customHeight="1">
      <c r="A9" s="28" t="inlineStr">
        <is>
          <t>Sub-Ledger</t>
        </is>
      </c>
      <c r="B9" s="29" t="inlineStr">
        <is>
          <t>TC-DevImpl-08</t>
        </is>
      </c>
      <c r="C9" s="28" t="inlineStr">
        <is>
          <t>Sub-Ledger API Returns Entries Tagged With the Device</t>
        </is>
      </c>
      <c r="D9" s="29" t="inlineStr">
        <is>
          <t>High</t>
        </is>
      </c>
      <c r="E9" s="28" t="inlineStr">
        <is>
          <t>A wallet with transactions carrying device metadata</t>
        </is>
      </c>
      <c r="F9" s="28" t="inlineStr">
        <is>
          <t>1. Call the sub-ledger API for a device</t>
        </is>
      </c>
      <c r="G9" s="28" t="inlineStr">
        <is>
          <t>Only wallet-ledger entries tagged with that device's tid or deviceRef are returned, with a running balance</t>
        </is>
      </c>
      <c r="H9" s="29" t="inlineStr">
        <is>
          <t>Not Tested</t>
        </is>
      </c>
      <c r="I9" s="29" t="inlineStr">
        <is>
          <t>Functional</t>
        </is>
      </c>
    </row>
    <row r="10" ht="36" customHeight="1">
      <c r="A10" s="28" t="inlineStr">
        <is>
          <t>Sub-Ledger</t>
        </is>
      </c>
      <c r="B10" s="29" t="inlineStr">
        <is>
          <t>TC-DevImpl-09</t>
        </is>
      </c>
      <c r="C10" s="28" t="inlineStr">
        <is>
          <t>Sub-Ledger Is Read-Only From This Surface</t>
        </is>
      </c>
      <c r="D10" s="29" t="inlineStr">
        <is>
          <t>High</t>
        </is>
      </c>
      <c r="E10" s="28" t="inlineStr">
        <is>
          <t>A device with a sub-ledger balance</t>
        </is>
      </c>
      <c r="F10" s="28" t="inlineStr">
        <is>
          <t>1. Attempt every write and money-movement operation against the sub-ledger API</t>
        </is>
      </c>
      <c r="G10" s="28" t="inlineStr">
        <is>
          <t>All are refused; the sub-ledger is a projection and the wallet ledger stays the single source of truth</t>
        </is>
      </c>
      <c r="H10" s="29" t="inlineStr">
        <is>
          <t>Not Tested</t>
        </is>
      </c>
      <c r="I10" s="29" t="inlineStr">
        <is>
          <t>Negative</t>
        </is>
      </c>
    </row>
    <row r="11" ht="36" customHeight="1">
      <c r="A11" s="28" t="inlineStr">
        <is>
          <t>Sub-Ledger</t>
        </is>
      </c>
      <c r="B11" s="29" t="inlineStr">
        <is>
          <t>TC-DevImpl-10</t>
        </is>
      </c>
      <c r="C11" s="28" t="inlineStr">
        <is>
          <t>Sub-Ledger Pagination and Date Range</t>
        </is>
      </c>
      <c r="D11" s="29" t="inlineStr">
        <is>
          <t>Medium</t>
        </is>
      </c>
      <c r="E11" s="28" t="inlineStr">
        <is>
          <t>A device with a long transaction history</t>
        </is>
      </c>
      <c r="F11" s="28" t="inlineStr">
        <is>
          <t>1. Page through the sub-ledger and apply a date range</t>
        </is>
      </c>
      <c r="G11" s="28" t="inlineStr">
        <is>
          <t>Paging is stable with no duplicated or skipped entries, and the date range is honoured</t>
        </is>
      </c>
      <c r="H11" s="29" t="inlineStr">
        <is>
          <t>Not Tested</t>
        </is>
      </c>
      <c r="I11" s="29" t="inlineStr">
        <is>
          <t>Integration</t>
        </is>
      </c>
    </row>
    <row r="12" ht="36" customHeight="1">
      <c r="A12" s="28" t="inlineStr">
        <is>
          <t>Web Business</t>
        </is>
      </c>
      <c r="B12" s="29" t="inlineStr">
        <is>
          <t>TC-DevImpl-11</t>
        </is>
      </c>
      <c r="C12" s="28" t="inlineStr">
        <is>
          <t>Business Web My-Devices List and Detail</t>
        </is>
      </c>
      <c r="D12" s="29" t="inlineStr">
        <is>
          <t>High</t>
        </is>
      </c>
      <c r="E12" s="28" t="inlineStr">
        <is>
          <t>Business user on Web with devices</t>
        </is>
      </c>
      <c r="F12" s="28" t="inlineStr">
        <is>
          <t>1. Open My Devices and then a device detail</t>
        </is>
      </c>
      <c r="G12" s="28" t="inlineStr">
        <is>
          <t>Only the business's own devices are listed; detail shows profile, status history and sub-ledger</t>
        </is>
      </c>
      <c r="H12" s="29" t="inlineStr">
        <is>
          <t>Not Tested</t>
        </is>
      </c>
      <c r="I12" s="29" t="inlineStr">
        <is>
          <t>Functional</t>
        </is>
      </c>
    </row>
    <row r="13" ht="36" customHeight="1">
      <c r="A13" s="28" t="inlineStr">
        <is>
          <t>Web Business</t>
        </is>
      </c>
      <c r="B13" s="29" t="inlineStr">
        <is>
          <t>TC-DevImpl-12</t>
        </is>
      </c>
      <c r="C13" s="28" t="inlineStr">
        <is>
          <t>Business Web Light Self-Service Only</t>
        </is>
      </c>
      <c r="D13" s="29" t="inlineStr">
        <is>
          <t>High</t>
        </is>
      </c>
      <c r="E13" s="28" t="inlineStr">
        <is>
          <t>Business user on Web with a device</t>
        </is>
      </c>
      <c r="F13" s="28" t="inlineStr">
        <is>
          <t>1. Review the available actions</t>
        </is>
      </c>
      <c r="G13" s="28" t="inlineStr">
        <is>
          <t>Relabel, report issue and request termination are offered; suspend, block, replace and relocate are not</t>
        </is>
      </c>
      <c r="H13" s="29" t="inlineStr">
        <is>
          <t>Not Tested</t>
        </is>
      </c>
      <c r="I13" s="29" t="inlineStr">
        <is>
          <t>Functional</t>
        </is>
      </c>
    </row>
    <row r="14" ht="36" customHeight="1">
      <c r="A14" s="28" t="inlineStr">
        <is>
          <t>Web Admin</t>
        </is>
      </c>
      <c r="B14" s="29" t="inlineStr">
        <is>
          <t>TC-DevImpl-13</t>
        </is>
      </c>
      <c r="C14" s="28" t="inlineStr">
        <is>
          <t>Admin Web All-Devices List With Filters and Export</t>
        </is>
      </c>
      <c r="D14" s="29" t="inlineStr">
        <is>
          <t>High</t>
        </is>
      </c>
      <c r="E14" s="28" t="inlineStr">
        <is>
          <t>Admin on Web with devices across businesses</t>
        </is>
      </c>
      <c r="F14" s="28" t="inlineStr">
        <is>
          <t>1. Open the Devices page, apply filters and export</t>
        </is>
      </c>
      <c r="G14" s="28" t="inlineStr">
        <is>
          <t>All devices are listed, filters return the correct subset and the export matches the on-screen rows</t>
        </is>
      </c>
      <c r="H14" s="29" t="inlineStr">
        <is>
          <t>Not Tested</t>
        </is>
      </c>
      <c r="I14" s="29" t="inlineStr">
        <is>
          <t>Functional</t>
        </is>
      </c>
    </row>
    <row r="15" ht="36" customHeight="1">
      <c r="A15" s="28" t="inlineStr">
        <is>
          <t>Web Admin</t>
        </is>
      </c>
      <c r="B15" s="29" t="inlineStr">
        <is>
          <t>TC-DevImpl-14</t>
        </is>
      </c>
      <c r="C15" s="28" t="inlineStr">
        <is>
          <t>Admin Web Lifecycle Actions End to End</t>
        </is>
      </c>
      <c r="D15" s="29" t="inlineStr">
        <is>
          <t>High</t>
        </is>
      </c>
      <c r="E15" s="28" t="inlineStr">
        <is>
          <t>Admin on Web with an active device</t>
        </is>
      </c>
      <c r="F15" s="28" t="inlineStr">
        <is>
          <t>1. Suspend, reactivate, block, unblock, relocate, relabel and replace the device through the UI</t>
        </is>
      </c>
      <c r="G15" s="28" t="inlineStr">
        <is>
          <t>Each action succeeds, the status badge updates, and a status-history entry appears for each</t>
        </is>
      </c>
      <c r="H15" s="29" t="inlineStr">
        <is>
          <t>Not Tested</t>
        </is>
      </c>
      <c r="I15" s="29" t="inlineStr">
        <is>
          <t>Functional</t>
        </is>
      </c>
    </row>
    <row r="16" ht="36" customHeight="1">
      <c r="A16" s="28" t="inlineStr">
        <is>
          <t>Platform</t>
        </is>
      </c>
      <c r="B16" s="29" t="inlineStr">
        <is>
          <t>TC-DevImpl-15</t>
        </is>
      </c>
      <c r="C16" s="28" t="inlineStr">
        <is>
          <t>Android Business My-Devices Matches Web</t>
        </is>
      </c>
      <c r="D16" s="29" t="inlineStr">
        <is>
          <t>High</t>
        </is>
      </c>
      <c r="E16" s="28" t="inlineStr">
        <is>
          <t>Business user on Android</t>
        </is>
      </c>
      <c r="F16" s="28" t="inlineStr">
        <is>
          <t>1. Open My Devices, a device detail and the sub-ledger</t>
        </is>
      </c>
      <c r="G16" s="28" t="inlineStr">
        <is>
          <t>Scoping, profile, status history, sub-ledger and self-service actions match the Web business behaviour</t>
        </is>
      </c>
      <c r="H16" s="29" t="inlineStr">
        <is>
          <t>Not Tested</t>
        </is>
      </c>
      <c r="I16" s="29" t="inlineStr">
        <is>
          <t>Cross-Platform</t>
        </is>
      </c>
    </row>
    <row r="17" ht="36" customHeight="1">
      <c r="A17" s="28" t="inlineStr">
        <is>
          <t>Platform</t>
        </is>
      </c>
      <c r="B17" s="29" t="inlineStr">
        <is>
          <t>TC-DevImpl-16</t>
        </is>
      </c>
      <c r="C17" s="28" t="inlineStr">
        <is>
          <t>iOS Business My-Devices Matches Web</t>
        </is>
      </c>
      <c r="D17" s="29" t="inlineStr">
        <is>
          <t>High</t>
        </is>
      </c>
      <c r="E17" s="28" t="inlineStr">
        <is>
          <t>Business user on iOS</t>
        </is>
      </c>
      <c r="F17" s="28" t="inlineStr">
        <is>
          <t>1. Open My Devices, a device detail and the sub-ledger</t>
        </is>
      </c>
      <c r="G17" s="28" t="inlineStr">
        <is>
          <t>Scoping, profile, status history, sub-ledger and self-service actions match the Web business behaviour</t>
        </is>
      </c>
      <c r="H17" s="29" t="inlineStr">
        <is>
          <t>Not Tested</t>
        </is>
      </c>
      <c r="I17" s="29" t="inlineStr">
        <is>
          <t>Cross-Platform</t>
        </is>
      </c>
    </row>
    <row r="18" ht="36" customHeight="1">
      <c r="A18" s="28" t="inlineStr">
        <is>
          <t>Platform</t>
        </is>
      </c>
      <c r="B18" s="29" t="inlineStr">
        <is>
          <t>TC-DevImpl-17</t>
        </is>
      </c>
      <c r="C18" s="28" t="inlineStr">
        <is>
          <t>Device Status Presentation Is Consistent Across Clients</t>
        </is>
      </c>
      <c r="D18" s="29" t="inlineStr">
        <is>
          <t>Medium</t>
        </is>
      </c>
      <c r="E18" s="28" t="inlineStr">
        <is>
          <t>Devices in Active, Suspended, Blocked, Replaced and Terminated states</t>
        </is>
      </c>
      <c r="F18" s="28" t="inlineStr">
        <is>
          <t>1. Compare each state on Web Business, Web Admin, Android and iOS</t>
        </is>
      </c>
      <c r="G18" s="28" t="inlineStr">
        <is>
          <t>Every client presents the same five states with consistent labelling and no client invents or omits a state</t>
        </is>
      </c>
      <c r="H18" s="29" t="inlineStr">
        <is>
          <t>Not Tested</t>
        </is>
      </c>
      <c r="I18" s="29" t="inlineStr">
        <is>
          <t>Cross-Platform</t>
        </is>
      </c>
    </row>
    <row r="19" ht="36" customHeight="1">
      <c r="A19" s="28" t="inlineStr">
        <is>
          <t>Negative</t>
        </is>
      </c>
      <c r="B19" s="29" t="inlineStr">
        <is>
          <t>TC-DevImpl-18</t>
        </is>
      </c>
      <c r="C19" s="28" t="inlineStr">
        <is>
          <t>Suspended and Blocked Devices Cannot Transact</t>
        </is>
      </c>
      <c r="D19" s="29" t="inlineStr">
        <is>
          <t>High</t>
        </is>
      </c>
      <c r="E19" s="28" t="inlineStr">
        <is>
          <t>A suspended device and a blocked device</t>
        </is>
      </c>
      <c r="F19" s="28" t="inlineStr">
        <is>
          <t>1. Attempt a transaction on each</t>
        </is>
      </c>
      <c r="G19" s="28" t="inlineStr">
        <is>
          <t>Both are refused; the ledger is preserved and no entry is created</t>
        </is>
      </c>
      <c r="H19" s="29" t="inlineStr">
        <is>
          <t>Not Tested</t>
        </is>
      </c>
      <c r="I19" s="29" t="inlineStr">
        <is>
          <t>Negative</t>
        </is>
      </c>
    </row>
    <row r="20" ht="36" customHeight="1">
      <c r="A20" s="28" t="inlineStr">
        <is>
          <t>Negative</t>
        </is>
      </c>
      <c r="B20" s="29" t="inlineStr">
        <is>
          <t>TC-DevImpl-19</t>
        </is>
      </c>
      <c r="C20" s="28" t="inlineStr">
        <is>
          <t>Replace With an In-Use TID Is Refused Server-Side</t>
        </is>
      </c>
      <c r="D20" s="29" t="inlineStr">
        <is>
          <t>High</t>
        </is>
      </c>
      <c r="E20" s="28" t="inlineStr">
        <is>
          <t>A TID already mapped elsewhere</t>
        </is>
      </c>
      <c r="F20" s="28" t="inlineStr">
        <is>
          <t>1. Attempt the replace through the API</t>
        </is>
      </c>
      <c r="G20" s="28" t="inlineStr">
        <is>
          <t>Refused; TID uniqueness is enforced platform-wide and not only in the UI</t>
        </is>
      </c>
      <c r="H20" s="29" t="inlineStr">
        <is>
          <t>Not Tested</t>
        </is>
      </c>
      <c r="I20" s="29" t="inlineStr">
        <is>
          <t>Negative</t>
        </is>
      </c>
    </row>
    <row r="21" ht="36" customHeight="1">
      <c r="A21" s="28" t="inlineStr">
        <is>
          <t>Non-Functional</t>
        </is>
      </c>
      <c r="B21" s="29" t="inlineStr">
        <is>
          <t>TC-DevImpl-20</t>
        </is>
      </c>
      <c r="C21" s="28" t="inlineStr">
        <is>
          <t>Directory and Sub-Ledger Load Within Budget</t>
        </is>
      </c>
      <c r="D21" s="29" t="inlineStr">
        <is>
          <t>High</t>
        </is>
      </c>
      <c r="E21" s="28" t="inlineStr">
        <is>
          <t>A production-scale device population and a device with 12 months of activity</t>
        </is>
      </c>
      <c r="F21" s="28" t="inlineStr">
        <is>
          <t>1. Load the admin device list and a 12-month sub-ledger and time both</t>
        </is>
      </c>
      <c r="G21" s="28" t="inlineStr">
        <is>
          <t>The list loads within 2 seconds and the 12-month statement renders within 3 seconds</t>
        </is>
      </c>
      <c r="H21" s="29" t="inlineStr">
        <is>
          <t>Not Tested</t>
        </is>
      </c>
      <c r="I21" s="29" t="inlineStr">
        <is>
          <t>Performance / NFR</t>
        </is>
      </c>
    </row>
  </sheetData>
  <autoFilter ref="A1:I21"/>
  <conditionalFormatting sqref="H2:H2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1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Backend</t>
        </is>
      </c>
      <c r="B2" s="29" t="inlineStr">
        <is>
          <t>TC-RBAC-01</t>
        </is>
      </c>
      <c r="C2" s="28" t="inlineStr">
        <is>
          <t>New Role and Group Model Is Exposed by the Redesigned APIs</t>
        </is>
      </c>
      <c r="D2" s="29" t="inlineStr">
        <is>
          <t>High</t>
        </is>
      </c>
      <c r="E2" s="28" t="inlineStr">
        <is>
          <t>Backend redesign deployed</t>
        </is>
      </c>
      <c r="F2" s="28" t="inlineStr">
        <is>
          <t>1. Call the group, role and privilege endpoints
2. Compare the payloads against the documented model</t>
        </is>
      </c>
      <c r="G2" s="28" t="inlineStr">
        <is>
          <t>The endpoints expose the new role and group model with GroupDto, RoleDto and PrivilegeDto shapes as documented</t>
        </is>
      </c>
      <c r="H2" s="29" t="inlineStr">
        <is>
          <t>Not Tested</t>
        </is>
      </c>
      <c r="I2" s="29" t="inlineStr">
        <is>
          <t>Security</t>
        </is>
      </c>
    </row>
    <row r="3" ht="36" customHeight="1">
      <c r="A3" s="28" t="inlineStr">
        <is>
          <t>Backend</t>
        </is>
      </c>
      <c r="B3" s="29" t="inlineStr">
        <is>
          <t>TC-RBAC-02</t>
        </is>
      </c>
      <c r="C3" s="28" t="inlineStr">
        <is>
          <t>Business-Scoped Endpoints Return Only the Caller's Scope</t>
        </is>
      </c>
      <c r="D3" s="29" t="inlineStr">
        <is>
          <t>High</t>
        </is>
      </c>
      <c r="E3" s="28" t="inlineStr">
        <is>
          <t>Two businesses each with custom groups and roles</t>
        </is>
      </c>
      <c r="F3" s="28" t="inlineStr">
        <is>
          <t>1. Call the business-scoped group and role endpoints as one business
2. Attempt to widen the scope through parameters</t>
        </is>
      </c>
      <c r="G3" s="28" t="inlineStr">
        <is>
          <t>Only the caller's own groups and roles are returned and the scope cannot be widened from the request</t>
        </is>
      </c>
      <c r="H3" s="29" t="inlineStr">
        <is>
          <t>Not Tested</t>
        </is>
      </c>
      <c r="I3" s="29" t="inlineStr">
        <is>
          <t>Contract / API</t>
        </is>
      </c>
    </row>
    <row r="4" ht="36" customHeight="1">
      <c r="A4" s="28" t="inlineStr">
        <is>
          <t>Backend</t>
        </is>
      </c>
      <c r="B4" s="29" t="inlineStr">
        <is>
          <t>TC-RBAC-03</t>
        </is>
      </c>
      <c r="C4" s="28" t="inlineStr">
        <is>
          <t>Admin-Scoped Endpoints Cover the Whole Platform</t>
        </is>
      </c>
      <c r="D4" s="29" t="inlineStr">
        <is>
          <t>High</t>
        </is>
      </c>
      <c r="E4" s="28" t="inlineStr">
        <is>
          <t>Admin credentials</t>
        </is>
      </c>
      <c r="F4" s="28" t="inlineStr">
        <is>
          <t>1. Call the admin-scoped RBAC endpoints</t>
        </is>
      </c>
      <c r="G4" s="28" t="inlineStr">
        <is>
          <t>Admin-scoped data is returned across the platform, distinct from the business-scoped surface</t>
        </is>
      </c>
      <c r="H4" s="29" t="inlineStr">
        <is>
          <t>Not Tested</t>
        </is>
      </c>
      <c r="I4" s="29" t="inlineStr">
        <is>
          <t>Contract / API</t>
        </is>
      </c>
    </row>
    <row r="5" ht="36" customHeight="1">
      <c r="A5" s="28" t="inlineStr">
        <is>
          <t>Backend</t>
        </is>
      </c>
      <c r="B5" s="29" t="inlineStr">
        <is>
          <t>TC-RBAC-04</t>
        </is>
      </c>
      <c r="C5" s="28" t="inlineStr">
        <is>
          <t>Paged List Envelope Is Correct</t>
        </is>
      </c>
      <c r="D5" s="29" t="inlineStr">
        <is>
          <t>Medium</t>
        </is>
      </c>
      <c r="E5" s="28" t="inlineStr">
        <is>
          <t>Many groups and roles configured</t>
        </is>
      </c>
      <c r="F5" s="28" t="inlineStr">
        <is>
          <t>1. Page through the list endpoints</t>
        </is>
      </c>
      <c r="G5" s="28" t="inlineStr">
        <is>
          <t>The page envelope is returned as documented, and paging is stable with no duplicated or skipped records</t>
        </is>
      </c>
      <c r="H5" s="29" t="inlineStr">
        <is>
          <t>Not Tested</t>
        </is>
      </c>
      <c r="I5" s="29" t="inlineStr">
        <is>
          <t>Integration</t>
        </is>
      </c>
    </row>
    <row r="6" ht="36" customHeight="1">
      <c r="A6" s="28" t="inlineStr">
        <is>
          <t>Backend</t>
        </is>
      </c>
      <c r="B6" s="29" t="inlineStr">
        <is>
          <t>TC-RBAC-05</t>
        </is>
      </c>
      <c r="C6" s="28" t="inlineStr">
        <is>
          <t>Privilege Assignment Is Enforced at the API, Not Only Hidden in the UI</t>
        </is>
      </c>
      <c r="D6" s="29" t="inlineStr">
        <is>
          <t>High</t>
        </is>
      </c>
      <c r="E6" s="28" t="inlineStr">
        <is>
          <t>A user lacking a given privilege</t>
        </is>
      </c>
      <c r="F6" s="28" t="inlineStr">
        <is>
          <t>1. Call the endpoint that privilege guards, directly</t>
        </is>
      </c>
      <c r="G6" s="28" t="inlineStr">
        <is>
          <t>Refused with 403; enforcement is server-side and hiding the control in the UI is not the control</t>
        </is>
      </c>
      <c r="H6" s="29" t="inlineStr">
        <is>
          <t>Not Tested</t>
        </is>
      </c>
      <c r="I6" s="29" t="inlineStr">
        <is>
          <t>Security</t>
        </is>
      </c>
    </row>
    <row r="7" ht="36" customHeight="1">
      <c r="A7" s="28" t="inlineStr">
        <is>
          <t>Backend</t>
        </is>
      </c>
      <c r="B7" s="29" t="inlineStr">
        <is>
          <t>TC-RBAC-06</t>
        </is>
      </c>
      <c r="C7" s="28" t="inlineStr">
        <is>
          <t>Migration or Compatibility Path Is Documented and Honoured</t>
        </is>
      </c>
      <c r="D7" s="29" t="inlineStr">
        <is>
          <t>High</t>
        </is>
      </c>
      <c r="E7" s="28" t="inlineStr">
        <is>
          <t>Groups and roles created before the redesign</t>
        </is>
      </c>
      <c r="F7" s="28" t="inlineStr">
        <is>
          <t>1. Read the documented migration requirements
2. Exercise the pre-existing groups and roles after the change</t>
        </is>
      </c>
      <c r="G7" s="28" t="inlineStr">
        <is>
          <t>Existing assignments behave as the migration document states; no user silently gains or loses access</t>
        </is>
      </c>
      <c r="H7" s="29" t="inlineStr">
        <is>
          <t>Not Tested</t>
        </is>
      </c>
      <c r="I7" s="29" t="inlineStr">
        <is>
          <t>Contract / API</t>
        </is>
      </c>
    </row>
    <row r="8" ht="36" customHeight="1">
      <c r="A8" s="28" t="inlineStr">
        <is>
          <t>Web Business</t>
        </is>
      </c>
      <c r="B8" s="29" t="inlineStr">
        <is>
          <t>TC-RBAC-07</t>
        </is>
      </c>
      <c r="C8" s="28" t="inlineStr">
        <is>
          <t>Business Web Group Management Against the New Endpoints</t>
        </is>
      </c>
      <c r="D8" s="29" t="inlineStr">
        <is>
          <t>High</t>
        </is>
      </c>
      <c r="E8" s="28" t="inlineStr">
        <is>
          <t>Business user on Web with group management privilege</t>
        </is>
      </c>
      <c r="F8" s="28" t="inlineStr">
        <is>
          <t>1. Create, edit, list and delete a custom group
2. Inspect the calls made</t>
        </is>
      </c>
      <c r="G8" s="28" t="inlineStr">
        <is>
          <t>All operations succeed against the business-scoped group endpoints and the UI reflects the results</t>
        </is>
      </c>
      <c r="H8" s="29" t="inlineStr">
        <is>
          <t>Not Tested</t>
        </is>
      </c>
      <c r="I8" s="29" t="inlineStr">
        <is>
          <t>Functional</t>
        </is>
      </c>
    </row>
    <row r="9" ht="36" customHeight="1">
      <c r="A9" s="28" t="inlineStr">
        <is>
          <t>Web Business</t>
        </is>
      </c>
      <c r="B9" s="29" t="inlineStr">
        <is>
          <t>TC-RBAC-08</t>
        </is>
      </c>
      <c r="C9" s="28" t="inlineStr">
        <is>
          <t>Business Web Role and Privilege Management</t>
        </is>
      </c>
      <c r="D9" s="29" t="inlineStr">
        <is>
          <t>High</t>
        </is>
      </c>
      <c r="E9" s="28" t="inlineStr">
        <is>
          <t>Business user on Web with role management privilege</t>
        </is>
      </c>
      <c r="F9" s="28" t="inlineStr">
        <is>
          <t>1. Create a role, assign privileges to it, then assign the role to a group</t>
        </is>
      </c>
      <c r="G9" s="28" t="inlineStr">
        <is>
          <t>All operations succeed against the business-scoped role and privilege endpoints and take effect for the assigned users</t>
        </is>
      </c>
      <c r="H9" s="29" t="inlineStr">
        <is>
          <t>Not Tested</t>
        </is>
      </c>
      <c r="I9" s="29" t="inlineStr">
        <is>
          <t>Security</t>
        </is>
      </c>
    </row>
    <row r="10" ht="36" customHeight="1">
      <c r="A10" s="28" t="inlineStr">
        <is>
          <t>Web Admin</t>
        </is>
      </c>
      <c r="B10" s="29" t="inlineStr">
        <is>
          <t>TC-RBAC-09</t>
        </is>
      </c>
      <c r="C10" s="28" t="inlineStr">
        <is>
          <t>Admin Web Manages Admin-Scoped Roles and Groups</t>
        </is>
      </c>
      <c r="D10" s="29" t="inlineStr">
        <is>
          <t>High</t>
        </is>
      </c>
      <c r="E10" s="28" t="inlineStr">
        <is>
          <t>Admin on Web</t>
        </is>
      </c>
      <c r="F10" s="28" t="inlineStr">
        <is>
          <t>1. Manage admin-scoped groups, roles and privileges</t>
        </is>
      </c>
      <c r="G10" s="28" t="inlineStr">
        <is>
          <t>Operations succeed against the admin-scoped endpoints and are kept separate from the business-scoped surface</t>
        </is>
      </c>
      <c r="H10" s="29" t="inlineStr">
        <is>
          <t>Not Tested</t>
        </is>
      </c>
      <c r="I10" s="29" t="inlineStr">
        <is>
          <t>Security</t>
        </is>
      </c>
    </row>
    <row r="11" ht="36" customHeight="1">
      <c r="A11" s="28" t="inlineStr">
        <is>
          <t>Platform</t>
        </is>
      </c>
      <c r="B11" s="29" t="inlineStr">
        <is>
          <t>TC-RBAC-10</t>
        </is>
      </c>
      <c r="C11" s="28" t="inlineStr">
        <is>
          <t>Android Business RBAC Flows Adapted</t>
        </is>
      </c>
      <c r="D11" s="29" t="inlineStr">
        <is>
          <t>High</t>
        </is>
      </c>
      <c r="E11" s="28" t="inlineStr">
        <is>
          <t>Business user on Android</t>
        </is>
      </c>
      <c r="F11" s="28" t="inlineStr">
        <is>
          <t>1. Exercise group, role and privilege flows</t>
        </is>
      </c>
      <c r="G11" s="28" t="inlineStr">
        <is>
          <t>All work against the new business-scoped endpoints with the new request and response models</t>
        </is>
      </c>
      <c r="H11" s="29" t="inlineStr">
        <is>
          <t>Not Tested</t>
        </is>
      </c>
      <c r="I11" s="29" t="inlineStr">
        <is>
          <t>Security</t>
        </is>
      </c>
    </row>
    <row r="12" ht="36" customHeight="1">
      <c r="A12" s="28" t="inlineStr">
        <is>
          <t>Platform</t>
        </is>
      </c>
      <c r="B12" s="29" t="inlineStr">
        <is>
          <t>TC-RBAC-11</t>
        </is>
      </c>
      <c r="C12" s="28" t="inlineStr">
        <is>
          <t>iOS Business RBAC Flows Adapted</t>
        </is>
      </c>
      <c r="D12" s="29" t="inlineStr">
        <is>
          <t>High</t>
        </is>
      </c>
      <c r="E12" s="28" t="inlineStr">
        <is>
          <t>Business user on iOS</t>
        </is>
      </c>
      <c r="F12" s="28" t="inlineStr">
        <is>
          <t>1. Exercise group, role and privilege flows</t>
        </is>
      </c>
      <c r="G12" s="28" t="inlineStr">
        <is>
          <t>All work against the new business-scoped endpoints with the new request and response models</t>
        </is>
      </c>
      <c r="H12" s="29" t="inlineStr">
        <is>
          <t>Not Tested</t>
        </is>
      </c>
      <c r="I12" s="29" t="inlineStr">
        <is>
          <t>Security</t>
        </is>
      </c>
    </row>
    <row r="13" ht="36" customHeight="1">
      <c r="A13" s="28" t="inlineStr">
        <is>
          <t>Platform</t>
        </is>
      </c>
      <c r="B13" s="29" t="inlineStr">
        <is>
          <t>TC-RBAC-12</t>
        </is>
      </c>
      <c r="C13" s="28" t="inlineStr">
        <is>
          <t>No Client Still Calls a Retired Endpoint</t>
        </is>
      </c>
      <c r="D13" s="29" t="inlineStr">
        <is>
          <t>High</t>
        </is>
      </c>
      <c r="E13" s="28" t="inlineStr">
        <is>
          <t>Network capture available on all clients</t>
        </is>
      </c>
      <c r="F13" s="28" t="inlineStr">
        <is>
          <t>1. Exercise every RBAC flow on Web Business, Web Admin, Android and iOS
2. Inspect the endpoints called</t>
        </is>
      </c>
      <c r="G13" s="28" t="inlineStr">
        <is>
          <t>No client calls a pre-redesign RBAC endpoint anywhere in the flow</t>
        </is>
      </c>
      <c r="H13" s="29" t="inlineStr">
        <is>
          <t>Not Tested</t>
        </is>
      </c>
      <c r="I13" s="29" t="inlineStr">
        <is>
          <t>Cross-Platform</t>
        </is>
      </c>
    </row>
    <row r="14" ht="36" customHeight="1">
      <c r="A14" s="28" t="inlineStr">
        <is>
          <t>Functional</t>
        </is>
      </c>
      <c r="B14" s="29" t="inlineStr">
        <is>
          <t>TC-RBAC-13</t>
        </is>
      </c>
      <c r="C14" s="28" t="inlineStr">
        <is>
          <t>Privilege Change Takes Effect for an Affected User</t>
        </is>
      </c>
      <c r="D14" s="29" t="inlineStr">
        <is>
          <t>High</t>
        </is>
      </c>
      <c r="E14" s="28" t="inlineStr">
        <is>
          <t>A user in a group whose privileges are changed</t>
        </is>
      </c>
      <c r="F14" s="28" t="inlineStr">
        <is>
          <t>1. Remove a privilege from the user's role
2. Have the user attempt the guarded action</t>
        </is>
      </c>
      <c r="G14" s="28" t="inlineStr">
        <is>
          <t>The action is refused after the change, on every client and at the API</t>
        </is>
      </c>
      <c r="H14" s="29" t="inlineStr">
        <is>
          <t>Not Tested</t>
        </is>
      </c>
      <c r="I14" s="29" t="inlineStr">
        <is>
          <t>Security</t>
        </is>
      </c>
    </row>
    <row r="15" ht="36" customHeight="1">
      <c r="A15" s="28" t="inlineStr">
        <is>
          <t>Functional</t>
        </is>
      </c>
      <c r="B15" s="29" t="inlineStr">
        <is>
          <t>TC-RBAC-14</t>
        </is>
      </c>
      <c r="C15" s="28" t="inlineStr">
        <is>
          <t>A User in Multiple Groups Gets the Correct Effective Privileges</t>
        </is>
      </c>
      <c r="D15" s="29" t="inlineStr">
        <is>
          <t>High</t>
        </is>
      </c>
      <c r="E15" s="28" t="inlineStr">
        <is>
          <t>A user belonging to two groups with different roles</t>
        </is>
      </c>
      <c r="F15" s="28" t="inlineStr">
        <is>
          <t>1. Determine the expected effective privilege set
2. Exercise guarded actions across both</t>
        </is>
      </c>
      <c r="G15" s="28" t="inlineStr">
        <is>
          <t>Effective privileges resolve as documented, with no privilege silently gained from group overlap</t>
        </is>
      </c>
      <c r="H15" s="29" t="inlineStr">
        <is>
          <t>Not Tested</t>
        </is>
      </c>
      <c r="I15" s="29" t="inlineStr">
        <is>
          <t>Security</t>
        </is>
      </c>
    </row>
    <row r="16" ht="36" customHeight="1">
      <c r="A16" s="28" t="inlineStr">
        <is>
          <t>Negative</t>
        </is>
      </c>
      <c r="B16" s="29" t="inlineStr">
        <is>
          <t>TC-RBAC-15</t>
        </is>
      </c>
      <c r="C16" s="28" t="inlineStr">
        <is>
          <t>Group Cannot Be Deleted While in Use, or Deletion Is Handled Explicitly</t>
        </is>
      </c>
      <c r="D16" s="29" t="inlineStr">
        <is>
          <t>Medium</t>
        </is>
      </c>
      <c r="E16" s="28" t="inlineStr">
        <is>
          <t>A group with users assigned</t>
        </is>
      </c>
      <c r="F16" s="28" t="inlineStr">
        <is>
          <t>1. Attempt to delete it</t>
        </is>
      </c>
      <c r="G16" s="28" t="inlineStr">
        <is>
          <t>Either the deletion is refused with a clear reason, or the documented reassignment behaviour is applied; users are never left with undefined privileges</t>
        </is>
      </c>
      <c r="H16" s="29" t="inlineStr">
        <is>
          <t>Not Tested</t>
        </is>
      </c>
      <c r="I16" s="29" t="inlineStr">
        <is>
          <t>Security</t>
        </is>
      </c>
    </row>
    <row r="17" ht="36" customHeight="1">
      <c r="A17" s="28" t="inlineStr">
        <is>
          <t>Negative</t>
        </is>
      </c>
      <c r="B17" s="29" t="inlineStr">
        <is>
          <t>TC-RBAC-16</t>
        </is>
      </c>
      <c r="C17" s="28" t="inlineStr">
        <is>
          <t>Duplicate Group or Role Name Is Rejected</t>
        </is>
      </c>
      <c r="D17" s="29" t="inlineStr">
        <is>
          <t>Medium</t>
        </is>
      </c>
      <c r="E17" s="28" t="inlineStr">
        <is>
          <t>An existing custom group and role</t>
        </is>
      </c>
      <c r="F17" s="28" t="inlineStr">
        <is>
          <t>1. Create another with the same name in the same scope</t>
        </is>
      </c>
      <c r="G17" s="28" t="inlineStr">
        <is>
          <t>Rejected with a clear message</t>
        </is>
      </c>
      <c r="H17" s="29" t="inlineStr">
        <is>
          <t>Not Tested</t>
        </is>
      </c>
      <c r="I17" s="29" t="inlineStr">
        <is>
          <t>Integration</t>
        </is>
      </c>
    </row>
    <row r="18" ht="36" customHeight="1">
      <c r="A18" s="28" t="inlineStr">
        <is>
          <t>Negative</t>
        </is>
      </c>
      <c r="B18" s="29" t="inlineStr">
        <is>
          <t>TC-RBAC-17</t>
        </is>
      </c>
      <c r="C18" s="28" t="inlineStr">
        <is>
          <t>Business Cannot Create or Read an Admin-Scoped Role</t>
        </is>
      </c>
      <c r="D18" s="29" t="inlineStr">
        <is>
          <t>High</t>
        </is>
      </c>
      <c r="E18" s="28" t="inlineStr">
        <is>
          <t>Business credentials</t>
        </is>
      </c>
      <c r="F18" s="28" t="inlineStr">
        <is>
          <t>1. Attempt to call the admin-scoped RBAC endpoints</t>
        </is>
      </c>
      <c r="G18" s="28" t="inlineStr">
        <is>
          <t>Refused; the two scopes are isolated and a business user cannot reach the admin surface</t>
        </is>
      </c>
      <c r="H18" s="29" t="inlineStr">
        <is>
          <t>Not Tested</t>
        </is>
      </c>
      <c r="I18" s="29" t="inlineStr">
        <is>
          <t>Negative</t>
        </is>
      </c>
    </row>
    <row r="19" ht="36" customHeight="1">
      <c r="A19" s="28" t="inlineStr">
        <is>
          <t>Negative</t>
        </is>
      </c>
      <c r="B19" s="29" t="inlineStr">
        <is>
          <t>TC-RBAC-18</t>
        </is>
      </c>
      <c r="C19" s="28" t="inlineStr">
        <is>
          <t>Unknown Privilege Key Is Rejected</t>
        </is>
      </c>
      <c r="D19" s="29" t="inlineStr">
        <is>
          <t>Medium</t>
        </is>
      </c>
      <c r="E19" s="28" t="inlineStr">
        <is>
          <t>Role editing available</t>
        </is>
      </c>
      <c r="F19" s="28" t="inlineStr">
        <is>
          <t>1. Assign a privilege key that does not exist</t>
        </is>
      </c>
      <c r="G19" s="28" t="inlineStr">
        <is>
          <t>Rejected at the API with a clear error rather than stored and silently ignored</t>
        </is>
      </c>
      <c r="H19" s="29" t="inlineStr">
        <is>
          <t>Not Tested</t>
        </is>
      </c>
      <c r="I19" s="29" t="inlineStr">
        <is>
          <t>Security</t>
        </is>
      </c>
    </row>
    <row r="20" ht="36" customHeight="1">
      <c r="A20" s="28" t="inlineStr">
        <is>
          <t>Regression</t>
        </is>
      </c>
      <c r="B20" s="29" t="inlineStr">
        <is>
          <t>TC-RBAC-19</t>
        </is>
      </c>
      <c r="C20" s="28" t="inlineStr">
        <is>
          <t>Existing Users Retain Their Access After the Adaptation</t>
        </is>
      </c>
      <c r="D20" s="29" t="inlineStr">
        <is>
          <t>High</t>
        </is>
      </c>
      <c r="E20" s="28" t="inlineStr">
        <is>
          <t>Users with established access before the change</t>
        </is>
      </c>
      <c r="F20" s="28" t="inlineStr">
        <is>
          <t>1. Sign in as several existing users across clients
2. Exercise their usual actions</t>
        </is>
      </c>
      <c r="G20" s="28" t="inlineStr">
        <is>
          <t>Each retains exactly the access they had; no user is locked out and none gains new access</t>
        </is>
      </c>
      <c r="H20" s="29" t="inlineStr">
        <is>
          <t>Not Tested</t>
        </is>
      </c>
      <c r="I20" s="29" t="inlineStr">
        <is>
          <t>Edge / Boundary</t>
        </is>
      </c>
    </row>
    <row r="21" ht="36" customHeight="1">
      <c r="A21" s="28" t="inlineStr">
        <is>
          <t>Non-Functional</t>
        </is>
      </c>
      <c r="B21" s="29" t="inlineStr">
        <is>
          <t>TC-RBAC-20</t>
        </is>
      </c>
      <c r="C21" s="28" t="inlineStr">
        <is>
          <t>Privilege Resolution Does Not Degrade Sign-In Latency</t>
        </is>
      </c>
      <c r="D21" s="29" t="inlineStr">
        <is>
          <t>Medium</t>
        </is>
      </c>
      <c r="E21" s="28" t="inlineStr">
        <is>
          <t>A user in many groups with many privileges</t>
        </is>
      </c>
      <c r="F21" s="28" t="inlineStr">
        <is>
          <t>1. Measure sign-in and first-screen latency</t>
        </is>
      </c>
      <c r="G21" s="28" t="inlineStr">
        <is>
          <t>Latency stays within the normal budget as group and privilege counts grow</t>
        </is>
      </c>
      <c r="H21" s="29" t="inlineStr">
        <is>
          <t>Not Tested</t>
        </is>
      </c>
      <c r="I21" s="29" t="inlineStr">
        <is>
          <t>Performance / NFR</t>
        </is>
      </c>
    </row>
  </sheetData>
  <autoFilter ref="A1:I21"/>
  <conditionalFormatting sqref="H2:H2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1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Contract</t>
        </is>
      </c>
      <c r="B2" s="29" t="inlineStr">
        <is>
          <t>TC-RegRef-01</t>
        </is>
      </c>
      <c r="C2" s="28" t="inlineStr">
        <is>
          <t>Verify OTP Response Parsed With the New Shape</t>
        </is>
      </c>
      <c r="D2" s="29" t="inlineStr">
        <is>
          <t>High</t>
        </is>
      </c>
      <c r="E2" s="28" t="inlineStr">
        <is>
          <t>Registration in progress at the OTP verification step</t>
        </is>
      </c>
      <c r="F2" s="28" t="inlineStr">
        <is>
          <t>1. Complete OTP verification
2. Inspect how the response is parsed</t>
        </is>
      </c>
      <c r="G2" s="28" t="inlineStr">
        <is>
          <t>sessionToken and refreshToken are parsed as objects carrying token and expirationDuration; the client does not expect the old flat shape</t>
        </is>
      </c>
      <c r="H2" s="29" t="inlineStr">
        <is>
          <t>Not Tested</t>
        </is>
      </c>
      <c r="I2" s="29" t="inlineStr">
        <is>
          <t>Contract / API</t>
        </is>
      </c>
    </row>
    <row r="3" ht="36" customHeight="1">
      <c r="A3" s="28" t="inlineStr">
        <is>
          <t>Contract</t>
        </is>
      </c>
      <c r="B3" s="29" t="inlineStr">
        <is>
          <t>TC-RegRef-02</t>
        </is>
      </c>
      <c r="C3" s="28" t="inlineStr">
        <is>
          <t>Mobile OTP Response Handles Nullable Token Objects</t>
        </is>
      </c>
      <c r="D3" s="29" t="inlineStr">
        <is>
          <t>High</t>
        </is>
      </c>
      <c r="E3" s="28" t="inlineStr">
        <is>
          <t>A registration where otpRequired is returned false</t>
        </is>
      </c>
      <c r="F3" s="28" t="inlineStr">
        <is>
          <t>1. Call the mobile OTP step
2. Inspect the parsed response</t>
        </is>
      </c>
      <c r="G3" s="28" t="inlineStr">
        <is>
          <t>sessionToken and refreshToken are present and parsed when otpRequired is false, and their absence is handled without error when it is true</t>
        </is>
      </c>
      <c r="H3" s="29" t="inlineStr">
        <is>
          <t>Not Tested</t>
        </is>
      </c>
      <c r="I3" s="29" t="inlineStr">
        <is>
          <t>Contract / API</t>
        </is>
      </c>
    </row>
    <row r="4" ht="36" customHeight="1">
      <c r="A4" s="28" t="inlineStr">
        <is>
          <t>Contract</t>
        </is>
      </c>
      <c r="B4" s="29" t="inlineStr">
        <is>
          <t>TC-RegRef-03</t>
        </is>
      </c>
      <c r="C4" s="28" t="inlineStr">
        <is>
          <t>expirationDuration Is Treated as Milliseconds</t>
        </is>
      </c>
      <c r="D4" s="29" t="inlineStr">
        <is>
          <t>High</t>
        </is>
      </c>
      <c r="E4" s="28" t="inlineStr">
        <is>
          <t>A registration session with a known expiry</t>
        </is>
      </c>
      <c r="F4" s="28" t="inlineStr">
        <is>
          <t>1. Read expirationDuration and compute the refresh moment
2. Observe when the client refreshes</t>
        </is>
      </c>
      <c r="G4" s="28" t="inlineStr">
        <is>
          <t>The value is interpreted in milliseconds; the refresh fires before expiry rather than far too early or too late</t>
        </is>
      </c>
      <c r="H4" s="29" t="inlineStr">
        <is>
          <t>Not Tested</t>
        </is>
      </c>
      <c r="I4" s="29" t="inlineStr">
        <is>
          <t>Contract / API</t>
        </is>
      </c>
    </row>
    <row r="5" ht="36" customHeight="1">
      <c r="A5" s="28" t="inlineStr">
        <is>
          <t>Functional</t>
        </is>
      </c>
      <c r="B5" s="29" t="inlineStr">
        <is>
          <t>TC-RegRef-04</t>
        </is>
      </c>
      <c r="C5" s="28" t="inlineStr">
        <is>
          <t>Session Is Refreshed Before It Expires</t>
        </is>
      </c>
      <c r="D5" s="29" t="inlineStr">
        <is>
          <t>High</t>
        </is>
      </c>
      <c r="E5" s="28" t="inlineStr">
        <is>
          <t>An in-progress registration approaching session expiry</t>
        </is>
      </c>
      <c r="F5" s="28" t="inlineStr">
        <is>
          <t>1. Hold the registration open past the original session lifetime
2. Observe the refresh call and continue the flow</t>
        </is>
      </c>
      <c r="G5" s="28" t="inlineStr">
        <is>
          <t>The refresh endpoint is called before expiry and the registration continues without restarting</t>
        </is>
      </c>
      <c r="H5" s="29" t="inlineStr">
        <is>
          <t>Not Tested</t>
        </is>
      </c>
      <c r="I5" s="29" t="inlineStr">
        <is>
          <t>Integration</t>
        </is>
      </c>
    </row>
    <row r="6" ht="36" customHeight="1">
      <c r="A6" s="28" t="inlineStr">
        <is>
          <t>Functional</t>
        </is>
      </c>
      <c r="B6" s="29" t="inlineStr">
        <is>
          <t>TC-RegRef-05</t>
        </is>
      </c>
      <c r="C6" s="28" t="inlineStr">
        <is>
          <t>Refresh Request Carries Both Credentials Correctly</t>
        </is>
      </c>
      <c r="D6" s="29" t="inlineStr">
        <is>
          <t>High</t>
        </is>
      </c>
      <c r="E6" s="28" t="inlineStr">
        <is>
          <t>An active registration session</t>
        </is>
      </c>
      <c r="F6" s="28" t="inlineStr">
        <is>
          <t>1. Capture the refresh request</t>
        </is>
      </c>
      <c r="G6" s="28" t="inlineStr">
        <is>
          <t>The current session token is sent as Authorization Bearer and the refresh token in the refreshToken header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Functional</t>
        </is>
      </c>
      <c r="B7" s="29" t="inlineStr">
        <is>
          <t>TC-RegRef-06</t>
        </is>
      </c>
      <c r="C7" s="28" t="inlineStr">
        <is>
          <t>Refreshed Session Continues the Same Registration</t>
        </is>
      </c>
      <c r="D7" s="29" t="inlineStr">
        <is>
          <t>High</t>
        </is>
      </c>
      <c r="E7" s="28" t="inlineStr">
        <is>
          <t>A registration mid-flow with entered data</t>
        </is>
      </c>
      <c r="F7" s="28" t="inlineStr">
        <is>
          <t>1. Let the session refresh
2. Continue to the next step</t>
        </is>
      </c>
      <c r="G7" s="28" t="inlineStr">
        <is>
          <t>The same registration continues with its data intact; the user is not returned to the start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Isolation</t>
        </is>
      </c>
      <c r="B8" s="29" t="inlineStr">
        <is>
          <t>TC-RegRef-07</t>
        </is>
      </c>
      <c r="C8" s="28" t="inlineStr">
        <is>
          <t>Registration Refresh Runs in Isolation From Login Refresh</t>
        </is>
      </c>
      <c r="D8" s="29" t="inlineStr">
        <is>
          <t>High</t>
        </is>
      </c>
      <c r="E8" s="28" t="inlineStr">
        <is>
          <t>A device with both an active login session and an in-progress registration</t>
        </is>
      </c>
      <c r="F8" s="28" t="inlineStr">
        <is>
          <t>1. Let the registration session refresh
2. Inspect the login session and its token store</t>
        </is>
      </c>
      <c r="G8" s="28" t="inlineStr">
        <is>
          <t>The two mechanisms are isolated; neither refresh disturbs the other's tokens or triggers the other's flow</t>
        </is>
      </c>
      <c r="H8" s="29" t="inlineStr">
        <is>
          <t>Not Tested</t>
        </is>
      </c>
      <c r="I8" s="29" t="inlineStr">
        <is>
          <t>Integration</t>
        </is>
      </c>
    </row>
    <row r="9" ht="36" customHeight="1">
      <c r="A9" s="28" t="inlineStr">
        <is>
          <t>Negative</t>
        </is>
      </c>
      <c r="B9" s="29" t="inlineStr">
        <is>
          <t>TC-RegRef-08</t>
        </is>
      </c>
      <c r="C9" s="28" t="inlineStr">
        <is>
          <t>Invalid Refresh Token Is Rejected and Registration Can Restart</t>
        </is>
      </c>
      <c r="D9" s="29" t="inlineStr">
        <is>
          <t>High</t>
        </is>
      </c>
      <c r="E9" s="28" t="inlineStr">
        <is>
          <t>An in-progress registration</t>
        </is>
      </c>
      <c r="F9" s="28" t="inlineStr">
        <is>
          <t>1. Corrupt the refresh token and let the refresh fire
2. Observe the client</t>
        </is>
      </c>
      <c r="G9" s="28" t="inlineStr">
        <is>
          <t>The refresh is rejected, the user is told clearly, and restarting registration works</t>
        </is>
      </c>
      <c r="H9" s="29" t="inlineStr">
        <is>
          <t>Not Tested</t>
        </is>
      </c>
      <c r="I9" s="29" t="inlineStr">
        <is>
          <t>Integration</t>
        </is>
      </c>
    </row>
    <row r="10" ht="36" customHeight="1">
      <c r="A10" s="28" t="inlineStr">
        <is>
          <t>Negative</t>
        </is>
      </c>
      <c r="B10" s="29" t="inlineStr">
        <is>
          <t>TC-RegRef-09</t>
        </is>
      </c>
      <c r="C10" s="28" t="inlineStr">
        <is>
          <t>Expired Refresh Token Is Rejected</t>
        </is>
      </c>
      <c r="D10" s="29" t="inlineStr">
        <is>
          <t>High</t>
        </is>
      </c>
      <c r="E10" s="28" t="inlineStr">
        <is>
          <t>A registration whose refresh token has expired</t>
        </is>
      </c>
      <c r="F10" s="28" t="inlineStr">
        <is>
          <t>1. Let the refresh fire</t>
        </is>
      </c>
      <c r="G10" s="28" t="inlineStr">
        <is>
          <t>Rejected; the client does not loop retrying and the user can restart</t>
        </is>
      </c>
      <c r="H10" s="29" t="inlineStr">
        <is>
          <t>Not Tested</t>
        </is>
      </c>
      <c r="I10" s="29" t="inlineStr">
        <is>
          <t>Integration</t>
        </is>
      </c>
    </row>
    <row r="11" ht="36" customHeight="1">
      <c r="A11" s="28" t="inlineStr">
        <is>
          <t>Negative</t>
        </is>
      </c>
      <c r="B11" s="29" t="inlineStr">
        <is>
          <t>TC-RegRef-10</t>
        </is>
      </c>
      <c r="C11" s="28" t="inlineStr">
        <is>
          <t>Refresh Without an Active Registration Session Is Refused</t>
        </is>
      </c>
      <c r="D11" s="29" t="inlineStr">
        <is>
          <t>High</t>
        </is>
      </c>
      <c r="E11" s="28" t="inlineStr">
        <is>
          <t>A valid refresh token with no active session</t>
        </is>
      </c>
      <c r="F11" s="28" t="inlineStr">
        <is>
          <t>1. Call the refresh endpoint</t>
        </is>
      </c>
      <c r="G11" s="28" t="inlineStr">
        <is>
          <t>Refused; the endpoint requires an active registration session</t>
        </is>
      </c>
      <c r="H11" s="29" t="inlineStr">
        <is>
          <t>Not Tested</t>
        </is>
      </c>
      <c r="I11" s="29" t="inlineStr">
        <is>
          <t>Negative</t>
        </is>
      </c>
    </row>
    <row r="12" ht="36" customHeight="1">
      <c r="A12" s="28" t="inlineStr">
        <is>
          <t>Negative</t>
        </is>
      </c>
      <c r="B12" s="29" t="inlineStr">
        <is>
          <t>TC-RegRef-11</t>
        </is>
      </c>
      <c r="C12" s="28" t="inlineStr">
        <is>
          <t>Refresh Failure Mid-Step Does Not Lose Entered Data Silently</t>
        </is>
      </c>
      <c r="D12" s="29" t="inlineStr">
        <is>
          <t>Medium</t>
        </is>
      </c>
      <c r="E12" s="28" t="inlineStr">
        <is>
          <t>A registration with data entered on the current step</t>
        </is>
      </c>
      <c r="F12" s="28" t="inlineStr">
        <is>
          <t>1. Force the refresh to fail
2. Observe the client</t>
        </is>
      </c>
      <c r="G12" s="28" t="inlineStr">
        <is>
          <t>The user is told what happened rather than the screen resetting or hanging with no explanation</t>
        </is>
      </c>
      <c r="H12" s="29" t="inlineStr">
        <is>
          <t>Not Tested</t>
        </is>
      </c>
      <c r="I12" s="29" t="inlineStr">
        <is>
          <t>Negative</t>
        </is>
      </c>
    </row>
    <row r="13" ht="36" customHeight="1">
      <c r="A13" s="28" t="inlineStr">
        <is>
          <t>Security</t>
        </is>
      </c>
      <c r="B13" s="29" t="inlineStr">
        <is>
          <t>TC-RegRef-12</t>
        </is>
      </c>
      <c r="C13" s="28" t="inlineStr">
        <is>
          <t>Refresh Token Is Not Logged or Exposed</t>
        </is>
      </c>
      <c r="D13" s="29" t="inlineStr">
        <is>
          <t>High</t>
        </is>
      </c>
      <c r="E13" s="28" t="inlineStr">
        <is>
          <t>Client logs and network capture available</t>
        </is>
      </c>
      <c r="F13" s="28" t="inlineStr">
        <is>
          <t>1. Complete a refresh cycle
2. Inspect logs and any diagnostic output</t>
        </is>
      </c>
      <c r="G13" s="28" t="inlineStr">
        <is>
          <t>Neither the session token nor the refresh token appears in client logs or diagnostics</t>
        </is>
      </c>
      <c r="H13" s="29" t="inlineStr">
        <is>
          <t>Not Tested</t>
        </is>
      </c>
      <c r="I13" s="29" t="inlineStr">
        <is>
          <t>Security</t>
        </is>
      </c>
    </row>
    <row r="14" ht="36" customHeight="1">
      <c r="A14" s="28" t="inlineStr">
        <is>
          <t>Security</t>
        </is>
      </c>
      <c r="B14" s="29" t="inlineStr">
        <is>
          <t>TC-RegRef-13</t>
        </is>
      </c>
      <c r="C14" s="28" t="inlineStr">
        <is>
          <t>A Refresh Token Cannot Be Reused After Rotation</t>
        </is>
      </c>
      <c r="D14" s="29" t="inlineStr">
        <is>
          <t>High</t>
        </is>
      </c>
      <c r="E14" s="28" t="inlineStr">
        <is>
          <t>A completed refresh cycle</t>
        </is>
      </c>
      <c r="F14" s="28" t="inlineStr">
        <is>
          <t>1. Replay the previous refresh token</t>
        </is>
      </c>
      <c r="G14" s="28" t="inlineStr">
        <is>
          <t>Rejected; a consumed refresh token cannot be reused</t>
        </is>
      </c>
      <c r="H14" s="29" t="inlineStr">
        <is>
          <t>Not Tested</t>
        </is>
      </c>
      <c r="I14" s="29" t="inlineStr">
        <is>
          <t>Integration</t>
        </is>
      </c>
    </row>
    <row r="15" ht="36" customHeight="1">
      <c r="A15" s="28" t="inlineStr">
        <is>
          <t>Platform</t>
        </is>
      </c>
      <c r="B15" s="29" t="inlineStr">
        <is>
          <t>TC-RegRef-14</t>
        </is>
      </c>
      <c r="C15" s="28" t="inlineStr">
        <is>
          <t>Android Business Registration Refresh</t>
        </is>
      </c>
      <c r="D15" s="29" t="inlineStr">
        <is>
          <t>High</t>
        </is>
      </c>
      <c r="E15" s="28" t="inlineStr">
        <is>
          <t>Business registration on Android</t>
        </is>
      </c>
      <c r="F15" s="28" t="inlineStr">
        <is>
          <t>1. Run the full refresh flow on Android</t>
        </is>
      </c>
      <c r="G15" s="28" t="inlineStr">
        <is>
          <t>Behaviour matches Web across parsing, refresh timing, isolation and error handling</t>
        </is>
      </c>
      <c r="H15" s="29" t="inlineStr">
        <is>
          <t>Not Tested</t>
        </is>
      </c>
      <c r="I15" s="29" t="inlineStr">
        <is>
          <t>Cross-Platform</t>
        </is>
      </c>
    </row>
    <row r="16" ht="36" customHeight="1">
      <c r="A16" s="28" t="inlineStr">
        <is>
          <t>Platform</t>
        </is>
      </c>
      <c r="B16" s="29" t="inlineStr">
        <is>
          <t>TC-RegRef-15</t>
        </is>
      </c>
      <c r="C16" s="28" t="inlineStr">
        <is>
          <t>iOS Business Registration Refresh</t>
        </is>
      </c>
      <c r="D16" s="29" t="inlineStr">
        <is>
          <t>High</t>
        </is>
      </c>
      <c r="E16" s="28" t="inlineStr">
        <is>
          <t>Business registration on iOS</t>
        </is>
      </c>
      <c r="F16" s="28" t="inlineStr">
        <is>
          <t>1. Run the full refresh flow on iOS</t>
        </is>
      </c>
      <c r="G16" s="28" t="inlineStr">
        <is>
          <t>Behaviour matches Web across parsing, refresh timing, isolation and error handling</t>
        </is>
      </c>
      <c r="H16" s="29" t="inlineStr">
        <is>
          <t>Not Tested</t>
        </is>
      </c>
      <c r="I16" s="29" t="inlineStr">
        <is>
          <t>Cross-Platform</t>
        </is>
      </c>
    </row>
    <row r="17" ht="36" customHeight="1">
      <c r="A17" s="28" t="inlineStr">
        <is>
          <t>Platform</t>
        </is>
      </c>
      <c r="B17" s="29" t="inlineStr">
        <is>
          <t>TC-RegRef-16</t>
        </is>
      </c>
      <c r="C17" s="28" t="inlineStr">
        <is>
          <t>Backgrounding the App Across the Refresh Window</t>
        </is>
      </c>
      <c r="D17" s="29" t="inlineStr">
        <is>
          <t>High</t>
        </is>
      </c>
      <c r="E17" s="28" t="inlineStr">
        <is>
          <t>An in-progress registration on Android and on iOS</t>
        </is>
      </c>
      <c r="F17" s="28" t="inlineStr">
        <is>
          <t>1. Background the app across the refresh moment
2. Return to the app and continue</t>
        </is>
      </c>
      <c r="G17" s="28" t="inlineStr">
        <is>
          <t>The session is refreshed or refreshes on resume; the registration continues without restart on both platforms</t>
        </is>
      </c>
      <c r="H17" s="29" t="inlineStr">
        <is>
          <t>Not Tested</t>
        </is>
      </c>
      <c r="I17" s="29" t="inlineStr">
        <is>
          <t>Integration</t>
        </is>
      </c>
    </row>
  </sheetData>
  <autoFilter ref="A1:I17"/>
  <conditionalFormatting sqref="H2:H1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17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PTS Fetch</t>
        </is>
      </c>
      <c r="B2" s="29" t="inlineStr">
        <is>
          <t>TC-ANB-01</t>
        </is>
      </c>
      <c r="C2" s="28" t="inlineStr">
        <is>
          <t>Job Runs on the Configured Schedule</t>
        </is>
      </c>
      <c r="D2" s="29" t="inlineStr">
        <is>
          <t>High</t>
        </is>
      </c>
      <c r="E2" s="28" t="inlineStr">
        <is>
          <t>PTS fetch job configured with a schedule</t>
        </is>
      </c>
      <c r="F2" s="28" t="inlineStr">
        <is>
          <t>1. Let the schedule fire
2. Inspect the run record</t>
        </is>
      </c>
      <c r="G2" s="28" t="inlineStr">
        <is>
          <t>The job runs at the configured time and records its execution; the schedule is configuration, not code</t>
        </is>
      </c>
      <c r="H2" s="29" t="inlineStr">
        <is>
          <t>Not Tested</t>
        </is>
      </c>
      <c r="I2" s="29" t="inlineStr">
        <is>
          <t>Integration</t>
        </is>
      </c>
    </row>
    <row r="3" ht="36" customHeight="1">
      <c r="A3" s="28" t="inlineStr">
        <is>
          <t>PTS Fetch</t>
        </is>
      </c>
      <c r="B3" s="29" t="inlineStr">
        <is>
          <t>TC-ANB-02</t>
        </is>
      </c>
      <c r="C3" s="28" t="inlineStr">
        <is>
          <t>Configurable Current and Look-Back Dates Are Honoured</t>
        </is>
      </c>
      <c r="D3" s="29" t="inlineStr">
        <is>
          <t>High</t>
        </is>
      </c>
      <c r="E3" s="28" t="inlineStr">
        <is>
          <t>A look-back window configured</t>
        </is>
      </c>
      <c r="F3" s="28" t="inlineStr">
        <is>
          <t>1. Set current and look-back dates
2. Run the job
3. Inspect which dates were pulled</t>
        </is>
      </c>
      <c r="G3" s="28" t="inlineStr">
        <is>
          <t>The job pulls exactly the configured current date and look-back range</t>
        </is>
      </c>
      <c r="H3" s="29" t="inlineStr">
        <is>
          <t>Not Tested</t>
        </is>
      </c>
      <c r="I3" s="29" t="inlineStr">
        <is>
          <t>Edge / Boundary</t>
        </is>
      </c>
    </row>
    <row r="4" ht="36" customHeight="1">
      <c r="A4" s="28" t="inlineStr">
        <is>
          <t>PTS Fetch</t>
        </is>
      </c>
      <c r="B4" s="29" t="inlineStr">
        <is>
          <t>TC-ANB-03</t>
        </is>
      </c>
      <c r="C4" s="28" t="inlineStr">
        <is>
          <t>Per-Date Cursor Advances Only After Successful Ingestion</t>
        </is>
      </c>
      <c r="D4" s="29" t="inlineStr">
        <is>
          <t>High</t>
        </is>
      </c>
      <c r="E4" s="28" t="inlineStr">
        <is>
          <t>A date whose ingestion can be made to fail</t>
        </is>
      </c>
      <c r="F4" s="28" t="inlineStr">
        <is>
          <t>1. Force the ingestion to fail for a date
2. Inspect the cursor
3. Fix and re-run</t>
        </is>
      </c>
      <c r="G4" s="28" t="inlineStr">
        <is>
          <t>The cursor does not advance on failure and advances only after successful validation and ingestion</t>
        </is>
      </c>
      <c r="H4" s="29" t="inlineStr">
        <is>
          <t>Not Tested</t>
        </is>
      </c>
      <c r="I4" s="29" t="inlineStr">
        <is>
          <t>Negative</t>
        </is>
      </c>
    </row>
    <row r="5" ht="36" customHeight="1">
      <c r="A5" s="28" t="inlineStr">
        <is>
          <t>PTS Fetch</t>
        </is>
      </c>
      <c r="B5" s="29" t="inlineStr">
        <is>
          <t>TC-ANB-04</t>
        </is>
      </c>
      <c r="C5" s="28" t="inlineStr">
        <is>
          <t>Re-Reading a File or Date Creates No Duplicates</t>
        </is>
      </c>
      <c r="D5" s="29" t="inlineStr">
        <is>
          <t>High</t>
        </is>
      </c>
      <c r="E5" s="28" t="inlineStr">
        <is>
          <t>A date already ingested</t>
        </is>
      </c>
      <c r="F5" s="28" t="inlineStr">
        <is>
          <t>1. Re-read the same file
2. Re-run the same date
3. Count the records</t>
        </is>
      </c>
      <c r="G5" s="28" t="inlineStr">
        <is>
          <t>No duplicate records are created by either action</t>
        </is>
      </c>
      <c r="H5" s="29" t="inlineStr">
        <is>
          <t>Not Tested</t>
        </is>
      </c>
      <c r="I5" s="29" t="inlineStr">
        <is>
          <t>Integration</t>
        </is>
      </c>
    </row>
    <row r="6" ht="36" customHeight="1">
      <c r="A6" s="28" t="inlineStr">
        <is>
          <t>PTS Fetch</t>
        </is>
      </c>
      <c r="B6" s="29" t="inlineStr">
        <is>
          <t>TC-ANB-05</t>
        </is>
      </c>
      <c r="C6" s="28" t="inlineStr">
        <is>
          <t>Malformed Input Is Rejected Without Partial Ingestion</t>
        </is>
      </c>
      <c r="D6" s="29" t="inlineStr">
        <is>
          <t>High</t>
        </is>
      </c>
      <c r="E6" s="28" t="inlineStr">
        <is>
          <t>A structurally malformed PTS file</t>
        </is>
      </c>
      <c r="F6" s="28" t="inlineStr">
        <is>
          <t>1. Run the job over it
2. Inspect the persisted records</t>
        </is>
      </c>
      <c r="G6" s="28" t="inlineStr">
        <is>
          <t>The file is rejected and nothing from it is persisted; there is no half-ingested date</t>
        </is>
      </c>
      <c r="H6" s="29" t="inlineStr">
        <is>
          <t>Not Tested</t>
        </is>
      </c>
      <c r="I6" s="29" t="inlineStr">
        <is>
          <t>Negative</t>
        </is>
      </c>
    </row>
    <row r="7" ht="36" customHeight="1">
      <c r="A7" s="28" t="inlineStr">
        <is>
          <t>PTS Fetch</t>
        </is>
      </c>
      <c r="B7" s="29" t="inlineStr">
        <is>
          <t>TC-ANB-06</t>
        </is>
      </c>
      <c r="C7" s="28" t="inlineStr">
        <is>
          <t>Changed Closed Slip Is Frozen and Alarmed</t>
        </is>
      </c>
      <c r="D7" s="29" t="inlineStr">
        <is>
          <t>High</t>
        </is>
      </c>
      <c r="E7" s="28" t="inlineStr">
        <is>
          <t>A previously ingested closed slip that arrives changed</t>
        </is>
      </c>
      <c r="F7" s="28" t="inlineStr">
        <is>
          <t>1. Deliver the changed slip
2. Inspect the stored record and the alarm channel</t>
        </is>
      </c>
      <c r="G7" s="28" t="inlineStr">
        <is>
          <t>The existing record is frozen rather than overwritten and an alarm is raised</t>
        </is>
      </c>
      <c r="H7" s="29" t="inlineStr">
        <is>
          <t>Not Tested</t>
        </is>
      </c>
      <c r="I7" s="29" t="inlineStr">
        <is>
          <t>Integration</t>
        </is>
      </c>
    </row>
    <row r="8" ht="36" customHeight="1">
      <c r="A8" s="28" t="inlineStr">
        <is>
          <t>PTS Fetch</t>
        </is>
      </c>
      <c r="B8" s="29" t="inlineStr">
        <is>
          <t>TC-ANB-07</t>
        </is>
      </c>
      <c r="C8" s="28" t="inlineStr">
        <is>
          <t>Missing Transactions Are Backfilled Through the Shared Flow</t>
        </is>
      </c>
      <c r="D8" s="29" t="inlineStr">
        <is>
          <t>High</t>
        </is>
      </c>
      <c r="E8" s="28" t="inlineStr">
        <is>
          <t>A PTS file containing transactions absent from our records</t>
        </is>
      </c>
      <c r="F8" s="28" t="inlineStr">
        <is>
          <t>1. Run the job
2. Trace how the missing transactions are created</t>
        </is>
      </c>
      <c r="G8" s="28" t="inlineStr">
        <is>
          <t>They are backfilled through the shared transaction-processing flow, not through a bespoke insert path</t>
        </is>
      </c>
      <c r="H8" s="29" t="inlineStr">
        <is>
          <t>Not Tested</t>
        </is>
      </c>
      <c r="I8" s="29" t="inlineStr">
        <is>
          <t>Integration</t>
        </is>
      </c>
    </row>
    <row r="9" ht="36" customHeight="1">
      <c r="A9" s="28" t="inlineStr">
        <is>
          <t>PTS Fetch</t>
        </is>
      </c>
      <c r="B9" s="29" t="inlineStr">
        <is>
          <t>TC-ANB-08</t>
        </is>
      </c>
      <c r="C9" s="28" t="inlineStr">
        <is>
          <t>Lineage and Fee Information Are Retained</t>
        </is>
      </c>
      <c r="D9" s="29" t="inlineStr">
        <is>
          <t>High</t>
        </is>
      </c>
      <c r="E9" s="28" t="inlineStr">
        <is>
          <t>An ingested PTS file</t>
        </is>
      </c>
      <c r="F9" s="28" t="inlineStr">
        <is>
          <t>1. Inspect a resulting record</t>
        </is>
      </c>
      <c r="G9" s="28" t="inlineStr">
        <is>
          <t>TR_SLIP, source-file lineage, applicable fee information and execution audit data are all retained and queryable</t>
        </is>
      </c>
      <c r="H9" s="29" t="inlineStr">
        <is>
          <t>Not Tested</t>
        </is>
      </c>
      <c r="I9" s="29" t="inlineStr">
        <is>
          <t>Integration</t>
        </is>
      </c>
    </row>
    <row r="10" ht="36" customHeight="1">
      <c r="A10" s="28" t="inlineStr">
        <is>
          <t>MT940</t>
        </is>
      </c>
      <c r="B10" s="29" t="inlineStr">
        <is>
          <t>TC-ANB-09</t>
        </is>
      </c>
      <c r="C10" s="28" t="inlineStr">
        <is>
          <t>Matching Uses Exact Reference Equality Only</t>
        </is>
      </c>
      <c r="D10" s="29" t="inlineStr">
        <is>
          <t>High</t>
        </is>
      </c>
      <c r="E10" s="28" t="inlineStr">
        <is>
          <t>An MT940 credit and a PTS settlement group</t>
        </is>
      </c>
      <c r="F10" s="28" t="inlineStr">
        <is>
          <t>1. Run matching
2. Trace the comparison performed</t>
        </is>
      </c>
      <c r="G10" s="28" t="inlineStr">
        <is>
          <t>Matching is on exact TR_SLIP or batch-reference equality; no amount, date, partial or fuzzy comparison is attempted at any point</t>
        </is>
      </c>
      <c r="H10" s="29" t="inlineStr">
        <is>
          <t>Not Tested</t>
        </is>
      </c>
      <c r="I10" s="29" t="inlineStr">
        <is>
          <t>Integration</t>
        </is>
      </c>
    </row>
    <row r="11" ht="36" customHeight="1">
      <c r="A11" s="28" t="inlineStr">
        <is>
          <t>MT940</t>
        </is>
      </c>
      <c r="B11" s="29" t="inlineStr">
        <is>
          <t>TC-ANB-10</t>
        </is>
      </c>
      <c r="C11" s="28" t="inlineStr">
        <is>
          <t>No Fallback Matching When the Reference Does Not Match</t>
        </is>
      </c>
      <c r="D11" s="29" t="inlineStr">
        <is>
          <t>High</t>
        </is>
      </c>
      <c r="E11" s="28" t="inlineStr">
        <is>
          <t>An MT940 credit whose reference matches nothing but whose amount and date match a group exactly</t>
        </is>
      </c>
      <c r="F11" s="28" t="inlineStr">
        <is>
          <t>1. Run matching</t>
        </is>
      </c>
      <c r="G11" s="28" t="inlineStr">
        <is>
          <t>No match is made; the credit is parked. A near-miss on amount and date must never produce a match</t>
        </is>
      </c>
      <c r="H11" s="29" t="inlineStr">
        <is>
          <t>Not Tested</t>
        </is>
      </c>
      <c r="I11" s="29" t="inlineStr">
        <is>
          <t>Integration</t>
        </is>
      </c>
    </row>
    <row r="12" ht="36" customHeight="1">
      <c r="A12" s="28" t="inlineStr">
        <is>
          <t>MT940</t>
        </is>
      </c>
      <c r="B12" s="29" t="inlineStr">
        <is>
          <t>TC-ANB-11</t>
        </is>
      </c>
      <c r="C12" s="28" t="inlineStr">
        <is>
          <t>Statement Amount Validated Against the Expected Group Amount</t>
        </is>
      </c>
      <c r="D12" s="29" t="inlineStr">
        <is>
          <t>High</t>
        </is>
      </c>
      <c r="E12" s="28" t="inlineStr">
        <is>
          <t>A matched reference whose statement amount differs from the settlement group amount</t>
        </is>
      </c>
      <c r="F12" s="28" t="inlineStr">
        <is>
          <t>1. Run matching
2. Inspect the outcome</t>
        </is>
      </c>
      <c r="G12" s="28" t="inlineStr">
        <is>
          <t>The mismatch is detected and reported as an exception rather than accepted</t>
        </is>
      </c>
      <c r="H12" s="29" t="inlineStr">
        <is>
          <t>Not Tested</t>
        </is>
      </c>
      <c r="I12" s="29" t="inlineStr">
        <is>
          <t>Integration</t>
        </is>
      </c>
    </row>
    <row r="13" ht="36" customHeight="1">
      <c r="A13" s="28" t="inlineStr">
        <is>
          <t>MT940</t>
        </is>
      </c>
      <c r="B13" s="29" t="inlineStr">
        <is>
          <t>TC-ANB-12</t>
        </is>
      </c>
      <c r="C13" s="28" t="inlineStr">
        <is>
          <t>Duplicate Credits Are Idempotent</t>
        </is>
      </c>
      <c r="D13" s="29" t="inlineStr">
        <is>
          <t>High</t>
        </is>
      </c>
      <c r="E13" s="28" t="inlineStr">
        <is>
          <t>The same MT940 credit delivered twice</t>
        </is>
      </c>
      <c r="F13" s="28" t="inlineStr">
        <is>
          <t>1. Process both
2. Count aggregates and ACH records</t>
        </is>
      </c>
      <c r="G13" s="28" t="inlineStr">
        <is>
          <t>The duplicate is absorbed; exactly one pending aggregate and one ACH record exist</t>
        </is>
      </c>
      <c r="H13" s="29" t="inlineStr">
        <is>
          <t>Not Tested</t>
        </is>
      </c>
      <c r="I13" s="29" t="inlineStr">
        <is>
          <t>Integration</t>
        </is>
      </c>
    </row>
    <row r="14" ht="36" customHeight="1">
      <c r="A14" s="28" t="inlineStr">
        <is>
          <t>MT940</t>
        </is>
      </c>
      <c r="B14" s="29" t="inlineStr">
        <is>
          <t>TC-ANB-13</t>
        </is>
      </c>
      <c r="C14" s="28" t="inlineStr">
        <is>
          <t>Unknown Reference Is Parked</t>
        </is>
      </c>
      <c r="D14" s="29" t="inlineStr">
        <is>
          <t>High</t>
        </is>
      </c>
      <c r="E14" s="28" t="inlineStr">
        <is>
          <t>An MT940 credit carrying a reference we do not recognise</t>
        </is>
      </c>
      <c r="F14" s="28" t="inlineStr">
        <is>
          <t>1. Run matching
2. Inspect the parked queue</t>
        </is>
      </c>
      <c r="G14" s="28" t="inlineStr">
        <is>
          <t>The credit is parked with its raw detail and is visible to Ops; it is not discarded and no wallet is credited</t>
        </is>
      </c>
      <c r="H14" s="29" t="inlineStr">
        <is>
          <t>Not Tested</t>
        </is>
      </c>
      <c r="I14" s="29" t="inlineStr">
        <is>
          <t>Negative</t>
        </is>
      </c>
    </row>
    <row r="15" ht="36" customHeight="1">
      <c r="A15" s="28" t="inlineStr">
        <is>
          <t>MT940</t>
        </is>
      </c>
      <c r="B15" s="29" t="inlineStr">
        <is>
          <t>TC-ANB-14</t>
        </is>
      </c>
      <c r="C15" s="28" t="inlineStr">
        <is>
          <t>Missing Credit Is Reported as an Exception</t>
        </is>
      </c>
      <c r="D15" s="29" t="inlineStr">
        <is>
          <t>High</t>
        </is>
      </c>
      <c r="E15" s="28" t="inlineStr">
        <is>
          <t>A settlement group with no corresponding MT940 credit</t>
        </is>
      </c>
      <c r="F15" s="28" t="inlineStr">
        <is>
          <t>1. Run matching for the day
2. Inspect the exception report</t>
        </is>
      </c>
      <c r="G15" s="28" t="inlineStr">
        <is>
          <t>The missing credit is reported as an exception rather than passing silently</t>
        </is>
      </c>
      <c r="H15" s="29" t="inlineStr">
        <is>
          <t>Not Tested</t>
        </is>
      </c>
      <c r="I15" s="29" t="inlineStr">
        <is>
          <t>Negative</t>
        </is>
      </c>
    </row>
    <row r="16" ht="36" customHeight="1">
      <c r="A16" s="28" t="inlineStr">
        <is>
          <t>MT940</t>
        </is>
      </c>
      <c r="B16" s="29" t="inlineStr">
        <is>
          <t>TC-ANB-15</t>
        </is>
      </c>
      <c r="C16" s="28" t="inlineStr">
        <is>
          <t>Each Eligible Group Creates Exactly One Aggregate and One ACH Record</t>
        </is>
      </c>
      <c r="D16" s="29" t="inlineStr">
        <is>
          <t>High</t>
        </is>
      </c>
      <c r="E16" s="28" t="inlineStr">
        <is>
          <t>Several eligible matched settlement groups</t>
        </is>
      </c>
      <c r="F16" s="28" t="inlineStr">
        <is>
          <t>1. Run the job
2. Count the aggregates and ACH records per group</t>
        </is>
      </c>
      <c r="G16" s="28" t="inlineStr">
        <is>
          <t>Exactly one pending aggregate and one ACH record exist per eligible group; none is created twice and none is missed</t>
        </is>
      </c>
      <c r="H16" s="29" t="inlineStr">
        <is>
          <t>Not Tested</t>
        </is>
      </c>
      <c r="I16" s="29" t="inlineStr">
        <is>
          <t>Edge / Boundary</t>
        </is>
      </c>
    </row>
    <row r="17" ht="36" customHeight="1">
      <c r="A17" s="28" t="inlineStr">
        <is>
          <t>MT940</t>
        </is>
      </c>
      <c r="B17" s="29" t="inlineStr">
        <is>
          <t>TC-ANB-16</t>
        </is>
      </c>
      <c r="C17" s="28" t="inlineStr">
        <is>
          <t>Only Matched and Funded Groups Become ACH-Eligible</t>
        </is>
      </c>
      <c r="D17" s="29" t="inlineStr">
        <is>
          <t>High</t>
        </is>
      </c>
      <c r="E17" s="28" t="inlineStr">
        <is>
          <t>A matched but unfunded group, an unmatched group and a matched funded group</t>
        </is>
      </c>
      <c r="F17" s="28" t="inlineStr">
        <is>
          <t>1. Run ACH eligibility</t>
        </is>
      </c>
      <c r="G17" s="28" t="inlineStr">
        <is>
          <t>Only the matched and funded group is eligible; the other two are excluded and their state is visible</t>
        </is>
      </c>
      <c r="H17" s="29" t="inlineStr">
        <is>
          <t>Not Tested</t>
        </is>
      </c>
      <c r="I17" s="29" t="inlineStr">
        <is>
          <t>Integration</t>
        </is>
      </c>
    </row>
    <row r="18" ht="36" customHeight="1">
      <c r="A18" s="28" t="inlineStr">
        <is>
          <t>Lifecycle</t>
        </is>
      </c>
      <c r="B18" s="29" t="inlineStr">
        <is>
          <t>TC-ANB-17</t>
        </is>
      </c>
      <c r="C18" s="28" t="inlineStr">
        <is>
          <t>Callback Stage Creates the Pending Ledger Entry With Its Reason</t>
        </is>
      </c>
      <c r="D18" s="29" t="inlineStr">
        <is>
          <t>High</t>
        </is>
      </c>
      <c r="E18" s="28" t="inlineStr">
        <is>
          <t>A POS transaction callback</t>
        </is>
      </c>
      <c r="F18" s="28" t="inlineStr">
        <is>
          <t>1. Ingest the callback
2. Inspect the transaction ledger pending entry, base transaction and POS ledger entry</t>
        </is>
      </c>
      <c r="G18" s="28" t="inlineStr">
        <is>
          <t>A pending ledger entry exists carrying its reason; the base transaction and POS ledger entry are created consistently</t>
        </is>
      </c>
      <c r="H18" s="29" t="inlineStr">
        <is>
          <t>Not Tested</t>
        </is>
      </c>
      <c r="I18" s="29" t="inlineStr">
        <is>
          <t>Functional</t>
        </is>
      </c>
    </row>
    <row r="19" ht="36" customHeight="1">
      <c r="A19" s="28" t="inlineStr">
        <is>
          <t>Lifecycle</t>
        </is>
      </c>
      <c r="B19" s="29" t="inlineStr">
        <is>
          <t>TC-ANB-18</t>
        </is>
      </c>
      <c r="C19" s="28" t="inlineStr">
        <is>
          <t>Callback Stage Populates Wallet Reserve Credit, Not Available</t>
        </is>
      </c>
      <c r="D19" s="29" t="inlineStr">
        <is>
          <t>High</t>
        </is>
      </c>
      <c r="E19" s="28" t="inlineStr">
        <is>
          <t>A POS transaction callback for a linked wallet</t>
        </is>
      </c>
      <c r="F19" s="28" t="inlineStr">
        <is>
          <t>1. Ingest the callback
2. Read the wallet running balance and reserve credit</t>
        </is>
      </c>
      <c r="G19" s="28" t="inlineStr">
        <is>
          <t>The amount sits in reserve credit; available and current are unchanged at this stage</t>
        </is>
      </c>
      <c r="H19" s="29" t="inlineStr">
        <is>
          <t>Not Tested</t>
        </is>
      </c>
      <c r="I19" s="29" t="inlineStr">
        <is>
          <t>Functional</t>
        </is>
      </c>
    </row>
    <row r="20" ht="36" customHeight="1">
      <c r="A20" s="28" t="inlineStr">
        <is>
          <t>Lifecycle</t>
        </is>
      </c>
      <c r="B20" s="29" t="inlineStr">
        <is>
          <t>TC-ANB-19</t>
        </is>
      </c>
      <c r="C20" s="28" t="inlineStr">
        <is>
          <t>BTS File Stage Advances the Transaction Correctly</t>
        </is>
      </c>
      <c r="D20" s="29" t="inlineStr">
        <is>
          <t>High</t>
        </is>
      </c>
      <c r="E20" s="28" t="inlineStr">
        <is>
          <t>A pending POS transaction and its BTS file</t>
        </is>
      </c>
      <c r="F20" s="28" t="inlineStr">
        <is>
          <t>1. Process the BTS file
2. Re-inspect all five observation points</t>
        </is>
      </c>
      <c r="G20" s="28" t="inlineStr">
        <is>
          <t>The ledger entry, base transaction, POS ledger entry, running balance and reserve credit all advance consistently with no gap between them</t>
        </is>
      </c>
      <c r="H20" s="29" t="inlineStr">
        <is>
          <t>Not Tested</t>
        </is>
      </c>
      <c r="I20" s="29" t="inlineStr">
        <is>
          <t>Functional</t>
        </is>
      </c>
    </row>
    <row r="21" ht="36" customHeight="1">
      <c r="A21" s="28" t="inlineStr">
        <is>
          <t>Lifecycle</t>
        </is>
      </c>
      <c r="B21" s="29" t="inlineStr">
        <is>
          <t>TC-ANB-20</t>
        </is>
      </c>
      <c r="C21" s="28" t="inlineStr">
        <is>
          <t>MT940 Stage Settles the Transaction End to End</t>
        </is>
      </c>
      <c r="D21" s="29" t="inlineStr">
        <is>
          <t>High</t>
        </is>
      </c>
      <c r="E21" s="28" t="inlineStr">
        <is>
          <t>A POS transaction that has passed callback and BTS stages</t>
        </is>
      </c>
      <c r="F21" s="28" t="inlineStr">
        <is>
          <t>1. Process the MT940
2. Re-inspect all five observation points</t>
        </is>
      </c>
      <c r="G21" s="28" t="inlineStr">
        <is>
          <t>Reserve credit is released into available, the running balance reflects the settlement, and the ledger and base transaction reach their settled state</t>
        </is>
      </c>
      <c r="H21" s="29" t="inlineStr">
        <is>
          <t>Not Tested</t>
        </is>
      </c>
      <c r="I21" s="29" t="inlineStr">
        <is>
          <t>Functional</t>
        </is>
      </c>
    </row>
    <row r="22" ht="36" customHeight="1">
      <c r="A22" s="28" t="inlineStr">
        <is>
          <t>Lifecycle</t>
        </is>
      </c>
      <c r="B22" s="29" t="inlineStr">
        <is>
          <t>TC-ANB-21</t>
        </is>
      </c>
      <c r="C22" s="28" t="inlineStr">
        <is>
          <t>Full Lifecycle Observed at Every Stage With No Inconsistent Window</t>
        </is>
      </c>
      <c r="D22" s="29" t="inlineStr">
        <is>
          <t>High</t>
        </is>
      </c>
      <c r="E22" s="28" t="inlineStr">
        <is>
          <t>A POS transaction driven callback to BTS to MT940</t>
        </is>
      </c>
      <c r="F22" s="28" t="inlineStr">
        <is>
          <t>1. After each stage, capture the pending ledger entry and reason, base transaction, POS ledger entry, running balance and reserve credit
2. Assert the bucket identity at every capture</t>
        </is>
      </c>
      <c r="G22" s="28" t="inlineStr">
        <is>
          <t>All five sources agree at every stage and current = available + reserve_debit holds throughout; there is no window in which the transaction is visible in an inconsistent state</t>
        </is>
      </c>
      <c r="H22" s="29" t="inlineStr">
        <is>
          <t>Not Tested</t>
        </is>
      </c>
      <c r="I22" s="29" t="inlineStr">
        <is>
          <t>Functional</t>
        </is>
      </c>
    </row>
    <row r="23" ht="36" customHeight="1">
      <c r="A23" s="28" t="inlineStr">
        <is>
          <t>Lifecycle</t>
        </is>
      </c>
      <c r="B23" s="29" t="inlineStr">
        <is>
          <t>TC-ANB-22</t>
        </is>
      </c>
      <c r="C23" s="28" t="inlineStr">
        <is>
          <t>Lifecycle Is Idempotent at Every Stage</t>
        </is>
      </c>
      <c r="D23" s="29" t="inlineStr">
        <is>
          <t>High</t>
        </is>
      </c>
      <c r="E23" s="28" t="inlineStr">
        <is>
          <t>A transaction that has completed the lifecycle</t>
        </is>
      </c>
      <c r="F23" s="28" t="inlineStr">
        <is>
          <t>1. Re-deliver the callback, re-process the BTS file and re-process the MT940
2. Inspect all five observation points</t>
        </is>
      </c>
      <c r="G23" s="28" t="inlineStr">
        <is>
          <t>Each re-delivery is absorbed; no stage double-applies and the final position is unchanged</t>
        </is>
      </c>
      <c r="H23" s="29" t="inlineStr">
        <is>
          <t>Not Tested</t>
        </is>
      </c>
      <c r="I23" s="29" t="inlineStr">
        <is>
          <t>Integration</t>
        </is>
      </c>
    </row>
    <row r="24" ht="36" customHeight="1">
      <c r="A24" s="28" t="inlineStr">
        <is>
          <t>Non-Functional</t>
        </is>
      </c>
      <c r="B24" s="29" t="inlineStr">
        <is>
          <t>TC-ANB-23</t>
        </is>
      </c>
      <c r="C24" s="28" t="inlineStr">
        <is>
          <t>Large File Ingestion Stays Within Budget and Memory</t>
        </is>
      </c>
      <c r="D24" s="29" t="inlineStr">
        <is>
          <t>High</t>
        </is>
      </c>
      <c r="E24" s="28" t="inlineStr">
        <is>
          <t>A production-scale PTS and MT940 file</t>
        </is>
      </c>
      <c r="F24" s="28" t="inlineStr">
        <is>
          <t>1. Run ingestion and capture duration, memory and query plans</t>
        </is>
      </c>
      <c r="G24" s="28" t="inlineStr">
        <is>
          <t>Ingestion completes within its window using bounded memory and indexed access, with no full-table scan</t>
        </is>
      </c>
      <c r="H24" s="29" t="inlineStr">
        <is>
          <t>Not Tested</t>
        </is>
      </c>
      <c r="I24" s="29" t="inlineStr">
        <is>
          <t>Performance / NFR</t>
        </is>
      </c>
    </row>
    <row r="25" ht="36" customHeight="1">
      <c r="A25" s="28" t="inlineStr">
        <is>
          <t>Non-Functional</t>
        </is>
      </c>
      <c r="B25" s="29" t="inlineStr">
        <is>
          <t>TC-ANB-24</t>
        </is>
      </c>
      <c r="C25" s="28" t="inlineStr">
        <is>
          <t>Job Failure Mid-File Is Resumable</t>
        </is>
      </c>
      <c r="D25" s="29" t="inlineStr">
        <is>
          <t>High</t>
        </is>
      </c>
      <c r="E25" s="28" t="inlineStr">
        <is>
          <t>A large file with ingestion interrupted part-way</t>
        </is>
      </c>
      <c r="F25" s="28" t="inlineStr">
        <is>
          <t>1. Interrupt the run
2. Re-run the job</t>
        </is>
      </c>
      <c r="G25" s="28" t="inlineStr">
        <is>
          <t>The run resumes or restarts cleanly with no duplicate and no partially ingested date left behind</t>
        </is>
      </c>
      <c r="H25" s="29" t="inlineStr">
        <is>
          <t>Not Tested</t>
        </is>
      </c>
      <c r="I25" s="29" t="inlineStr">
        <is>
          <t>Integration</t>
        </is>
      </c>
    </row>
  </sheetData>
  <autoFilter ref="A1:I25"/>
  <conditionalFormatting sqref="H2:H2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5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Architecture</t>
        </is>
      </c>
      <c r="B2" s="29" t="inlineStr">
        <is>
          <t>TC-Gateway-01</t>
        </is>
      </c>
      <c r="C2" s="28" t="inlineStr">
        <is>
          <t>Gateway Is a Separate Deployable Component</t>
        </is>
      </c>
      <c r="D2" s="29" t="inlineStr">
        <is>
          <t>High</t>
        </is>
      </c>
      <c r="E2" s="28" t="inlineStr">
        <is>
          <t>The deployed environment</t>
        </is>
      </c>
      <c r="F2" s="28" t="inlineStr">
        <is>
          <t>1. Inspect the deployment topology</t>
        </is>
      </c>
      <c r="G2" s="28" t="inlineStr">
        <is>
          <t>The POS Integration Gateway is deployed as its own component, not embedded in Payment Orchestrator or another business service</t>
        </is>
      </c>
      <c r="H2" s="29" t="inlineStr">
        <is>
          <t>Not Tested</t>
        </is>
      </c>
      <c r="I2" s="29" t="inlineStr">
        <is>
          <t>Architecture</t>
        </is>
      </c>
    </row>
    <row r="3" ht="36" customHeight="1">
      <c r="A3" s="28" t="inlineStr">
        <is>
          <t>Architecture</t>
        </is>
      </c>
      <c r="B3" s="29" t="inlineStr">
        <is>
          <t>TC-Gateway-02</t>
        </is>
      </c>
      <c r="C3" s="28" t="inlineStr">
        <is>
          <t>Gateway Is the Only Ingress for the Partner Feed</t>
        </is>
      </c>
      <c r="D3" s="29" t="inlineStr">
        <is>
          <t>High</t>
        </is>
      </c>
      <c r="E3" s="28" t="inlineStr">
        <is>
          <t>The partner transaction feed</t>
        </is>
      </c>
      <c r="F3" s="28" t="inlineStr">
        <is>
          <t>1. Attempt to submit the partner feed directly to Payment Orchestrator and to other internal services</t>
        </is>
      </c>
      <c r="G3" s="28" t="inlineStr">
        <is>
          <t>Only the gateway accepts the feed; every other ingress refuses it</t>
        </is>
      </c>
      <c r="H3" s="29" t="inlineStr">
        <is>
          <t>Not Tested</t>
        </is>
      </c>
      <c r="I3" s="29" t="inlineStr">
        <is>
          <t>Architecture</t>
        </is>
      </c>
    </row>
    <row r="4" ht="36" customHeight="1">
      <c r="A4" s="28" t="inlineStr">
        <is>
          <t>Architecture</t>
        </is>
      </c>
      <c r="B4" s="29" t="inlineStr">
        <is>
          <t>TC-Gateway-03</t>
        </is>
      </c>
      <c r="C4" s="28" t="inlineStr">
        <is>
          <t>No POS XML Handling Exists Outside the Gateway</t>
        </is>
      </c>
      <c r="D4" s="29" t="inlineStr">
        <is>
          <t>High</t>
        </is>
      </c>
      <c r="E4" s="28" t="inlineStr">
        <is>
          <t>Access to the internal services</t>
        </is>
      </c>
      <c r="F4" s="28" t="inlineStr">
        <is>
          <t>1. Search Payment Orchestrator and other internal services for POS XML parsing or handling</t>
        </is>
      </c>
      <c r="G4" s="28" t="inlineStr">
        <is>
          <t>None exists; XML handling is confined to the gateway</t>
        </is>
      </c>
      <c r="H4" s="29" t="inlineStr">
        <is>
          <t>Not Tested</t>
        </is>
      </c>
      <c r="I4" s="29" t="inlineStr">
        <is>
          <t>Architecture</t>
        </is>
      </c>
    </row>
    <row r="5" ht="36" customHeight="1">
      <c r="A5" s="28" t="inlineStr">
        <is>
          <t>Auth</t>
        </is>
      </c>
      <c r="B5" s="29" t="inlineStr">
        <is>
          <t>TC-Gateway-04</t>
        </is>
      </c>
      <c r="C5" s="28" t="inlineStr">
        <is>
          <t>Unauthenticated Request Is Refused</t>
        </is>
      </c>
      <c r="D5" s="29" t="inlineStr">
        <is>
          <t>High</t>
        </is>
      </c>
      <c r="E5" s="28" t="inlineStr">
        <is>
          <t>Gateway endpoint reachable</t>
        </is>
      </c>
      <c r="F5" s="28" t="inlineStr">
        <is>
          <t>1. Submit a well-formed request with no credentials</t>
        </is>
      </c>
      <c r="G5" s="28" t="inlineStr">
        <is>
          <t>Refused; every inbound POS request must be authenticated and authorised</t>
        </is>
      </c>
      <c r="H5" s="29" t="inlineStr">
        <is>
          <t>Not Tested</t>
        </is>
      </c>
      <c r="I5" s="29" t="inlineStr">
        <is>
          <t>Security</t>
        </is>
      </c>
    </row>
    <row r="6" ht="36" customHeight="1">
      <c r="A6" s="28" t="inlineStr">
        <is>
          <t>Auth</t>
        </is>
      </c>
      <c r="B6" s="29" t="inlineStr">
        <is>
          <t>TC-Gateway-05</t>
        </is>
      </c>
      <c r="C6" s="28" t="inlineStr">
        <is>
          <t>Invalid API Key or Client ID Is Refused</t>
        </is>
      </c>
      <c r="D6" s="29" t="inlineStr">
        <is>
          <t>High</t>
        </is>
      </c>
      <c r="E6" s="28" t="inlineStr">
        <is>
          <t>Gateway endpoint reachable</t>
        </is>
      </c>
      <c r="F6" s="28" t="inlineStr">
        <is>
          <t>1. Submit with a wrong API key, then a wrong client id</t>
        </is>
      </c>
      <c r="G6" s="28" t="inlineStr">
        <is>
          <t>Both are refused without processing the payload</t>
        </is>
      </c>
      <c r="H6" s="29" t="inlineStr">
        <is>
          <t>Not Tested</t>
        </is>
      </c>
      <c r="I6" s="29" t="inlineStr">
        <is>
          <t>Negative</t>
        </is>
      </c>
    </row>
    <row r="7" ht="36" customHeight="1">
      <c r="A7" s="28" t="inlineStr">
        <is>
          <t>Auth</t>
        </is>
      </c>
      <c r="B7" s="29" t="inlineStr">
        <is>
          <t>TC-Gateway-06</t>
        </is>
      </c>
      <c r="C7" s="28" t="inlineStr">
        <is>
          <t>Expired or Reused JWT Is Refused</t>
        </is>
      </c>
      <c r="D7" s="29" t="inlineStr">
        <is>
          <t>High</t>
        </is>
      </c>
      <c r="E7" s="28" t="inlineStr">
        <is>
          <t>A short-TTL one-time-use JWT</t>
        </is>
      </c>
      <c r="F7" s="28" t="inlineStr">
        <is>
          <t>1. Submit with an expired JWT
2. Submit twice with the same valid JWT</t>
        </is>
      </c>
      <c r="G7" s="28" t="inlineStr">
        <is>
          <t>The expired token is refused; the second use of a one-time token is refused</t>
        </is>
      </c>
      <c r="H7" s="29" t="inlineStr">
        <is>
          <t>Not Tested</t>
        </is>
      </c>
      <c r="I7" s="29" t="inlineStr">
        <is>
          <t>Negative</t>
        </is>
      </c>
    </row>
    <row r="8" ht="36" customHeight="1">
      <c r="A8" s="28" t="inlineStr">
        <is>
          <t>Auth</t>
        </is>
      </c>
      <c r="B8" s="29" t="inlineStr">
        <is>
          <t>TC-Gateway-07</t>
        </is>
      </c>
      <c r="C8" s="28" t="inlineStr">
        <is>
          <t>Mutual TLS Is Enforced</t>
        </is>
      </c>
      <c r="D8" s="29" t="inlineStr">
        <is>
          <t>High</t>
        </is>
      </c>
      <c r="E8" s="28" t="inlineStr">
        <is>
          <t>mTLS configured</t>
        </is>
      </c>
      <c r="F8" s="28" t="inlineStr">
        <is>
          <t>1. Connect without a client certificate
2. Connect with an untrusted certificate
3. Connect with the partner certificate</t>
        </is>
      </c>
      <c r="G8" s="28" t="inlineStr">
        <is>
          <t>Only the trusted partner certificate is accepted</t>
        </is>
      </c>
      <c r="H8" s="29" t="inlineStr">
        <is>
          <t>Not Tested</t>
        </is>
      </c>
      <c r="I8" s="29" t="inlineStr">
        <is>
          <t>Security</t>
        </is>
      </c>
    </row>
    <row r="9" ht="36" customHeight="1">
      <c r="A9" s="28" t="inlineStr">
        <is>
          <t>Auth</t>
        </is>
      </c>
      <c r="B9" s="29" t="inlineStr">
        <is>
          <t>TC-Gateway-08</t>
        </is>
      </c>
      <c r="C9" s="28" t="inlineStr">
        <is>
          <t>Partner IP Allowlisting Is Enforced</t>
        </is>
      </c>
      <c r="D9" s="29" t="inlineStr">
        <is>
          <t>High</t>
        </is>
      </c>
      <c r="E9" s="28" t="inlineStr">
        <is>
          <t>IP allowlist configured</t>
        </is>
      </c>
      <c r="F9" s="28" t="inlineStr">
        <is>
          <t>1. Submit a fully valid request from an address outside the allowlist</t>
        </is>
      </c>
      <c r="G9" s="28" t="inlineStr">
        <is>
          <t>Refused despite otherwise valid credentials</t>
        </is>
      </c>
      <c r="H9" s="29" t="inlineStr">
        <is>
          <t>Not Tested</t>
        </is>
      </c>
      <c r="I9" s="29" t="inlineStr">
        <is>
          <t>Security</t>
        </is>
      </c>
    </row>
    <row r="10" ht="36" customHeight="1">
      <c r="A10" s="28" t="inlineStr">
        <is>
          <t>Auth</t>
        </is>
      </c>
      <c r="B10" s="29" t="inlineStr">
        <is>
          <t>TC-Gateway-09</t>
        </is>
      </c>
      <c r="C10" s="28" t="inlineStr">
        <is>
          <t>Invalid HMAC Signature Is Refused</t>
        </is>
      </c>
      <c r="D10" s="29" t="inlineStr">
        <is>
          <t>High</t>
        </is>
      </c>
      <c r="E10" s="28" t="inlineStr">
        <is>
          <t>HMAC signing configured</t>
        </is>
      </c>
      <c r="F10" s="28" t="inlineStr">
        <is>
          <t>1. Submit with a missing signature, then a signature computed over altered content</t>
        </is>
      </c>
      <c r="G10" s="28" t="inlineStr">
        <is>
          <t>Both are refused; the signature must be valid over the raw payload</t>
        </is>
      </c>
      <c r="H10" s="29" t="inlineStr">
        <is>
          <t>Not Tested</t>
        </is>
      </c>
      <c r="I10" s="29" t="inlineStr">
        <is>
          <t>Security</t>
        </is>
      </c>
    </row>
    <row r="11" ht="36" customHeight="1">
      <c r="A11" s="28" t="inlineStr">
        <is>
          <t>Auth</t>
        </is>
      </c>
      <c r="B11" s="29" t="inlineStr">
        <is>
          <t>TC-Gateway-10</t>
        </is>
      </c>
      <c r="C11" s="28" t="inlineStr">
        <is>
          <t>Replay Protection Blocks a Repeated Authenticated Request</t>
        </is>
      </c>
      <c r="D11" s="29" t="inlineStr">
        <is>
          <t>High</t>
        </is>
      </c>
      <c r="E11" s="28" t="inlineStr">
        <is>
          <t>A valid signed request already processed</t>
        </is>
      </c>
      <c r="F11" s="28" t="inlineStr">
        <is>
          <t>1. Replay the identical authenticated request</t>
        </is>
      </c>
      <c r="G11" s="28" t="inlineStr">
        <is>
          <t>It is not processed a second time; replay protection refuses it</t>
        </is>
      </c>
      <c r="H11" s="29" t="inlineStr">
        <is>
          <t>Not Tested</t>
        </is>
      </c>
      <c r="I11" s="29" t="inlineStr">
        <is>
          <t>Security</t>
        </is>
      </c>
    </row>
    <row r="12" ht="36" customHeight="1">
      <c r="A12" s="28" t="inlineStr">
        <is>
          <t>Validation</t>
        </is>
      </c>
      <c r="B12" s="29" t="inlineStr">
        <is>
          <t>TC-Gateway-11</t>
        </is>
      </c>
      <c r="C12" s="28" t="inlineStr">
        <is>
          <t>XML Is Validated Against the Partner Schema Before Any Processing</t>
        </is>
      </c>
      <c r="D12" s="29" t="inlineStr">
        <is>
          <t>High</t>
        </is>
      </c>
      <c r="E12" s="28" t="inlineStr">
        <is>
          <t>The agreed mada Transaction Archive schema</t>
        </is>
      </c>
      <c r="F12" s="28" t="inlineStr">
        <is>
          <t>1. Submit a payload that violates the schema
2. Trace where validation occurs relative to transformation</t>
        </is>
      </c>
      <c r="G12" s="28" t="inlineStr">
        <is>
          <t>Validation happens before any transformation or business processing and the payload is rejected there</t>
        </is>
      </c>
      <c r="H12" s="29" t="inlineStr">
        <is>
          <t>Not Tested</t>
        </is>
      </c>
      <c r="I12" s="29" t="inlineStr">
        <is>
          <t>Integration</t>
        </is>
      </c>
    </row>
    <row r="13" ht="36" customHeight="1">
      <c r="A13" s="28" t="inlineStr">
        <is>
          <t>Validation</t>
        </is>
      </c>
      <c r="B13" s="29" t="inlineStr">
        <is>
          <t>TC-Gateway-12</t>
        </is>
      </c>
      <c r="C13" s="28" t="inlineStr">
        <is>
          <t>Invalid XML Is Not Forwarded Downstream</t>
        </is>
      </c>
      <c r="D13" s="29" t="inlineStr">
        <is>
          <t>High</t>
        </is>
      </c>
      <c r="E13" s="28" t="inlineStr">
        <is>
          <t>A schema-invalid payload</t>
        </is>
      </c>
      <c r="F13" s="28" t="inlineStr">
        <is>
          <t>1. Submit it
2. Inspect downstream services for any call</t>
        </is>
      </c>
      <c r="G13" s="28" t="inlineStr">
        <is>
          <t>No downstream service receives the request; rejection is terminal at the gateway</t>
        </is>
      </c>
      <c r="H13" s="29" t="inlineStr">
        <is>
          <t>Not Tested</t>
        </is>
      </c>
      <c r="I13" s="29" t="inlineStr">
        <is>
          <t>Negative</t>
        </is>
      </c>
    </row>
    <row r="14" ht="36" customHeight="1">
      <c r="A14" s="28" t="inlineStr">
        <is>
          <t>Validation</t>
        </is>
      </c>
      <c r="B14" s="29" t="inlineStr">
        <is>
          <t>TC-Gateway-13</t>
        </is>
      </c>
      <c r="C14" s="28" t="inlineStr">
        <is>
          <t>Malformed XML Is Rejected Cleanly</t>
        </is>
      </c>
      <c r="D14" s="29" t="inlineStr">
        <is>
          <t>High</t>
        </is>
      </c>
      <c r="E14" s="28" t="inlineStr">
        <is>
          <t>Gateway endpoint reachable</t>
        </is>
      </c>
      <c r="F14" s="28" t="inlineStr">
        <is>
          <t>1. Submit truncated XML, then XML with an unclosed element, then an empty body</t>
        </is>
      </c>
      <c r="G14" s="28" t="inlineStr">
        <is>
          <t>Each is rejected with a controlled error; none causes an unhandled failure</t>
        </is>
      </c>
      <c r="H14" s="29" t="inlineStr">
        <is>
          <t>Not Tested</t>
        </is>
      </c>
      <c r="I14" s="29" t="inlineStr">
        <is>
          <t>Negative</t>
        </is>
      </c>
    </row>
    <row r="15" ht="36" customHeight="1">
      <c r="A15" s="28" t="inlineStr">
        <is>
          <t>Validation</t>
        </is>
      </c>
      <c r="B15" s="29" t="inlineStr">
        <is>
          <t>TC-Gateway-14</t>
        </is>
      </c>
      <c r="C15" s="28" t="inlineStr">
        <is>
          <t>Validation Errors Are Logged Without Exposing Cardholder Data</t>
        </is>
      </c>
      <c r="D15" s="29" t="inlineStr">
        <is>
          <t>High</t>
        </is>
      </c>
      <c r="E15" s="28" t="inlineStr">
        <is>
          <t>A schema-invalid payload containing card data</t>
        </is>
      </c>
      <c r="F15" s="28" t="inlineStr">
        <is>
          <t>1. Submit it
2. Inspect the validation logs</t>
        </is>
      </c>
      <c r="G15" s="28" t="inlineStr">
        <is>
          <t>Logs carry enough detail to troubleshoot and contain no sensitive cardholder data</t>
        </is>
      </c>
      <c r="H15" s="29" t="inlineStr">
        <is>
          <t>Not Tested</t>
        </is>
      </c>
      <c r="I15" s="29" t="inlineStr">
        <is>
          <t>Negative</t>
        </is>
      </c>
    </row>
    <row r="16" ht="36" customHeight="1">
      <c r="A16" s="28" t="inlineStr">
        <is>
          <t>Mapping</t>
        </is>
      </c>
      <c r="B16" s="29" t="inlineStr">
        <is>
          <t>TC-Gateway-15</t>
        </is>
      </c>
      <c r="C16" s="28" t="inlineStr">
        <is>
          <t>Every Documented Field Maps to Its Internal Contract Field</t>
        </is>
      </c>
      <c r="D16" s="29" t="inlineStr">
        <is>
          <t>High</t>
        </is>
      </c>
      <c r="E16" s="28" t="inlineStr">
        <is>
          <t>A valid payload populating every mapped field</t>
        </is>
      </c>
      <c r="F16" s="28" t="inlineStr">
        <is>
          <t>1. Submit it
2. Compare the produced internal JSON against the documented mapping</t>
        </is>
      </c>
      <c r="G16" s="28" t="inlineStr">
        <is>
          <t>RRN, STAN, MerchantID, TerminalID, BankId, MCC, CardScheme, PAN, CardExpiryDate, TransactionType, Amount, EnglishCurrency, Result, ApprovalCode, EMV_Tags and the performance timestamps all map to their documented internal fields</t>
        </is>
      </c>
      <c r="H16" s="29" t="inlineStr">
        <is>
          <t>Not Tested</t>
        </is>
      </c>
      <c r="I16" s="29" t="inlineStr">
        <is>
          <t>Contract / API</t>
        </is>
      </c>
    </row>
    <row r="17" ht="36" customHeight="1">
      <c r="A17" s="28" t="inlineStr">
        <is>
          <t>Mapping</t>
        </is>
      </c>
      <c r="B17" s="29" t="inlineStr">
        <is>
          <t>TC-Gateway-16</t>
        </is>
      </c>
      <c r="C17" s="28" t="inlineStr">
        <is>
          <t>Performance Timestamps Map to Start and End Correctly</t>
        </is>
      </c>
      <c r="D17" s="29" t="inlineStr">
        <is>
          <t>Medium</t>
        </is>
      </c>
      <c r="E17" s="28" t="inlineStr">
        <is>
          <t>A payload with distinct performance timestamps</t>
        </is>
      </c>
      <c r="F17" s="28" t="inlineStr">
        <is>
          <t>1. Submit it and inspect terminalStartAt and terminalEndAt</t>
        </is>
      </c>
      <c r="G17" s="28" t="inlineStr">
        <is>
          <t>The two timestamps map to the correct fields in the correct order with no transposition</t>
        </is>
      </c>
      <c r="H17" s="29" t="inlineStr">
        <is>
          <t>Not Tested</t>
        </is>
      </c>
      <c r="I17" s="29" t="inlineStr">
        <is>
          <t>Contract / API</t>
        </is>
      </c>
    </row>
    <row r="18" ht="36" customHeight="1">
      <c r="A18" s="28" t="inlineStr">
        <is>
          <t>Mapping</t>
        </is>
      </c>
      <c r="B18" s="29" t="inlineStr">
        <is>
          <t>TC-Gateway-17</t>
        </is>
      </c>
      <c r="C18" s="28" t="inlineStr">
        <is>
          <t>Raw Document Is Referenced, Not Embedded</t>
        </is>
      </c>
      <c r="D18" s="29" t="inlineStr">
        <is>
          <t>High</t>
        </is>
      </c>
      <c r="E18" s="28" t="inlineStr">
        <is>
          <t>A valid payload</t>
        </is>
      </c>
      <c r="F18" s="28" t="inlineStr">
        <is>
          <t>1. Inspect the internal JSON produced</t>
        </is>
      </c>
      <c r="G18" s="28" t="inlineStr">
        <is>
          <t>The internal JSON carries rawPayloadRef pointing at the archived payload; the raw XML is not embedded in the JSON contract</t>
        </is>
      </c>
      <c r="H18" s="29" t="inlineStr">
        <is>
          <t>Not Tested</t>
        </is>
      </c>
      <c r="I18" s="29" t="inlineStr">
        <is>
          <t>Contract / API</t>
        </is>
      </c>
    </row>
    <row r="19" ht="36" customHeight="1">
      <c r="A19" s="28" t="inlineStr">
        <is>
          <t>Mapping</t>
        </is>
      </c>
      <c r="B19" s="29" t="inlineStr">
        <is>
          <t>TC-Gateway-18</t>
        </is>
      </c>
      <c r="C19" s="28" t="inlineStr">
        <is>
          <t>Optional and Absent Fields Are Handled Without Failure</t>
        </is>
      </c>
      <c r="D19" s="29" t="inlineStr">
        <is>
          <t>Medium</t>
        </is>
      </c>
      <c r="E19" s="28" t="inlineStr">
        <is>
          <t>A schema-valid payload omitting every optional field</t>
        </is>
      </c>
      <c r="F19" s="28" t="inlineStr">
        <is>
          <t>1. Submit it</t>
        </is>
      </c>
      <c r="G19" s="28" t="inlineStr">
        <is>
          <t>Transformation succeeds and absent optional fields are represented consistently rather than as empty strings or nulls at random</t>
        </is>
      </c>
      <c r="H19" s="29" t="inlineStr">
        <is>
          <t>Not Tested</t>
        </is>
      </c>
      <c r="I19" s="29" t="inlineStr">
        <is>
          <t>Negative</t>
        </is>
      </c>
    </row>
    <row r="20" ht="36" customHeight="1">
      <c r="A20" s="28" t="inlineStr">
        <is>
          <t>Amount</t>
        </is>
      </c>
      <c r="B20" s="29" t="inlineStr">
        <is>
          <t>TC-Gateway-19</t>
        </is>
      </c>
      <c r="C20" s="28" t="inlineStr">
        <is>
          <t>Amount Handling Uses BigDecimal With No Precision Loss</t>
        </is>
      </c>
      <c r="D20" s="29" t="inlineStr">
        <is>
          <t>High</t>
        </is>
      </c>
      <c r="E20" s="28" t="inlineStr">
        <is>
          <t>Payloads carrying amounts at high precision and at large magnitude</t>
        </is>
      </c>
      <c r="F20" s="28" t="inlineStr">
        <is>
          <t>1. Submit them and compare the internal amountMinor against the source</t>
        </is>
      </c>
      <c r="G20" s="28" t="inlineStr">
        <is>
          <t>No precision is lost and no float rounding is introduced</t>
        </is>
      </c>
      <c r="H20" s="29" t="inlineStr">
        <is>
          <t>Not Tested</t>
        </is>
      </c>
      <c r="I20" s="29" t="inlineStr">
        <is>
          <t>Functional</t>
        </is>
      </c>
    </row>
    <row r="21" ht="36" customHeight="1">
      <c r="A21" s="28" t="inlineStr">
        <is>
          <t>Amount</t>
        </is>
      </c>
      <c r="B21" s="29" t="inlineStr">
        <is>
          <t>TC-Gateway-20</t>
        </is>
      </c>
      <c r="C21" s="28" t="inlineStr">
        <is>
          <t>Minor-Unit Conversion Is Explicitly Deferred</t>
        </is>
      </c>
      <c r="D21" s="29" t="inlineStr">
        <is>
          <t>Medium</t>
        </is>
      </c>
      <c r="E21" s="28" t="inlineStr">
        <is>
          <t>A non-SAR currency payload</t>
        </is>
      </c>
      <c r="F21" s="28" t="inlineStr">
        <is>
          <t>1. Submit it and record the behaviour</t>
        </is>
      </c>
      <c r="G21" s="28" t="inlineStr">
        <is>
          <t>Currency-specific minor-unit validation and conversion are a future phase. Record the current behaviour as the baseline; do not assert conversion that has not been built</t>
        </is>
      </c>
      <c r="H21" s="29" t="inlineStr">
        <is>
          <t>Not Tested</t>
        </is>
      </c>
      <c r="I21" s="29" t="inlineStr">
        <is>
          <t>Functional</t>
        </is>
      </c>
    </row>
    <row r="22" ht="36" customHeight="1">
      <c r="A22" s="28" t="inlineStr">
        <is>
          <t>Merchant</t>
        </is>
      </c>
      <c r="B22" s="29" t="inlineStr">
        <is>
          <t>TC-Gateway-21</t>
        </is>
      </c>
      <c r="C22" s="28" t="inlineStr">
        <is>
          <t>MCC Mismatch Flags for Review and Does Not Reject</t>
        </is>
      </c>
      <c r="D22" s="29" t="inlineStr">
        <is>
          <t>High</t>
        </is>
      </c>
      <c r="E22" s="28" t="inlineStr">
        <is>
          <t>A payload whose MCC does not match the merchant record</t>
        </is>
      </c>
      <c r="F22" s="28" t="inlineStr">
        <is>
          <t>1. Submit it
2. Inspect the outcome and the review queue</t>
        </is>
      </c>
      <c r="G22" s="28" t="inlineStr">
        <is>
          <t>A review flag is raised and the transaction is not automatically rejected</t>
        </is>
      </c>
      <c r="H22" s="29" t="inlineStr">
        <is>
          <t>Not Tested</t>
        </is>
      </c>
      <c r="I22" s="29" t="inlineStr">
        <is>
          <t>Negative</t>
        </is>
      </c>
    </row>
    <row r="23" ht="36" customHeight="1">
      <c r="A23" s="28" t="inlineStr">
        <is>
          <t>Idempotency</t>
        </is>
      </c>
      <c r="B23" s="29" t="inlineStr">
        <is>
          <t>TC-Gateway-22</t>
        </is>
      </c>
      <c r="C23" s="28" t="inlineStr">
        <is>
          <t>Idempotency Key Is TerminalID Plus RRN Plus STAN</t>
        </is>
      </c>
      <c r="D23" s="29" t="inlineStr">
        <is>
          <t>High</t>
        </is>
      </c>
      <c r="E23" s="28" t="inlineStr">
        <is>
          <t>A processed transaction</t>
        </is>
      </c>
      <c r="F23" s="28" t="inlineStr">
        <is>
          <t>1. Inspect the idempotency key used</t>
        </is>
      </c>
      <c r="G23" s="28" t="inlineStr">
        <is>
          <t>It is composed of TerminalID, RRN and STAN exactly as specified</t>
        </is>
      </c>
      <c r="H23" s="29" t="inlineStr">
        <is>
          <t>Not Tested</t>
        </is>
      </c>
      <c r="I23" s="29" t="inlineStr">
        <is>
          <t>Integration</t>
        </is>
      </c>
    </row>
    <row r="24" ht="36" customHeight="1">
      <c r="A24" s="28" t="inlineStr">
        <is>
          <t>Idempotency</t>
        </is>
      </c>
      <c r="B24" s="29" t="inlineStr">
        <is>
          <t>TC-Gateway-23</t>
        </is>
      </c>
      <c r="C24" s="28" t="inlineStr">
        <is>
          <t>Retransmission Is Not Posted to the Subledger Again</t>
        </is>
      </c>
      <c r="D24" s="29" t="inlineStr">
        <is>
          <t>High</t>
        </is>
      </c>
      <c r="E24" s="28" t="inlineStr">
        <is>
          <t>A transaction already processed</t>
        </is>
      </c>
      <c r="F24" s="28" t="inlineStr">
        <is>
          <t>1. Retransmit it with the same idempotency key
2. Inspect the subledger</t>
        </is>
      </c>
      <c r="G24" s="28" t="inlineStr">
        <is>
          <t>No second subledger posting is created</t>
        </is>
      </c>
      <c r="H24" s="29" t="inlineStr">
        <is>
          <t>Not Tested</t>
        </is>
      </c>
      <c r="I24" s="29" t="inlineStr">
        <is>
          <t>Integration</t>
        </is>
      </c>
    </row>
    <row r="25" ht="36" customHeight="1">
      <c r="A25" s="28" t="inlineStr">
        <is>
          <t>Idempotency</t>
        </is>
      </c>
      <c r="B25" s="29" t="inlineStr">
        <is>
          <t>TC-Gateway-24</t>
        </is>
      </c>
      <c r="C25" s="28" t="inlineStr">
        <is>
          <t>Retransmission Returns the Previously Computed Result</t>
        </is>
      </c>
      <c r="D25" s="29" t="inlineStr">
        <is>
          <t>High</t>
        </is>
      </c>
      <c r="E25" s="28" t="inlineStr">
        <is>
          <t>A transaction already processed</t>
        </is>
      </c>
      <c r="F25" s="28" t="inlineStr">
        <is>
          <t>1. Retransmit it and compare the response with the original</t>
        </is>
      </c>
      <c r="G25" s="28" t="inlineStr">
        <is>
          <t>The gateway returns the previously computed processing result rather than reprocessing</t>
        </is>
      </c>
      <c r="H25" s="29" t="inlineStr">
        <is>
          <t>Not Tested</t>
        </is>
      </c>
      <c r="I25" s="29" t="inlineStr">
        <is>
          <t>Integration</t>
        </is>
      </c>
    </row>
    <row r="26" ht="36" customHeight="1">
      <c r="A26" s="28" t="inlineStr">
        <is>
          <t>Idempotency</t>
        </is>
      </c>
      <c r="B26" s="29" t="inlineStr">
        <is>
          <t>TC-Gateway-25</t>
        </is>
      </c>
      <c r="C26" s="28" t="inlineStr">
        <is>
          <t>Different STAN or RRN Is Treated as a New Transaction</t>
        </is>
      </c>
      <c r="D26" s="29" t="inlineStr">
        <is>
          <t>High</t>
        </is>
      </c>
      <c r="E26" s="28" t="inlineStr">
        <is>
          <t>Two payloads differing only in STAN, then only in RRN</t>
        </is>
      </c>
      <c r="F26" s="28" t="inlineStr">
        <is>
          <t>1. Submit each pair</t>
        </is>
      </c>
      <c r="G26" s="28" t="inlineStr">
        <is>
          <t>Each is treated as a distinct transaction; the key is not collapsed to the terminal alone</t>
        </is>
      </c>
      <c r="H26" s="29" t="inlineStr">
        <is>
          <t>Not Tested</t>
        </is>
      </c>
      <c r="I26" s="29" t="inlineStr">
        <is>
          <t>Integration</t>
        </is>
      </c>
    </row>
    <row r="27" ht="36" customHeight="1">
      <c r="A27" s="28" t="inlineStr">
        <is>
          <t>Archiving</t>
        </is>
      </c>
      <c r="B27" s="29" t="inlineStr">
        <is>
          <t>TC-Gateway-26</t>
        </is>
      </c>
      <c r="C27" s="28" t="inlineStr">
        <is>
          <t>Raw Inbound and Outbound Payloads Are Archived Unmodified</t>
        </is>
      </c>
      <c r="D27" s="29" t="inlineStr">
        <is>
          <t>High</t>
        </is>
      </c>
      <c r="E27" s="28" t="inlineStr">
        <is>
          <t>A processed transaction</t>
        </is>
      </c>
      <c r="F27" s="28" t="inlineStr">
        <is>
          <t>1. Compare the archived inbound XML byte-for-byte against the source
2. Compare the archived outbound response against what was returned</t>
        </is>
      </c>
      <c r="G27" s="28" t="inlineStr">
        <is>
          <t>Both are archived without modification</t>
        </is>
      </c>
      <c r="H27" s="29" t="inlineStr">
        <is>
          <t>Not Tested</t>
        </is>
      </c>
      <c r="I27" s="29" t="inlineStr">
        <is>
          <t>Security</t>
        </is>
      </c>
    </row>
    <row r="28" ht="36" customHeight="1">
      <c r="A28" s="28" t="inlineStr">
        <is>
          <t>Archiving</t>
        </is>
      </c>
      <c r="B28" s="29" t="inlineStr">
        <is>
          <t>TC-Gateway-27</t>
        </is>
      </c>
      <c r="C28" s="28" t="inlineStr">
        <is>
          <t>Archiving Happens Even When Downstream Processing Fails</t>
        </is>
      </c>
      <c r="D28" s="29" t="inlineStr">
        <is>
          <t>High</t>
        </is>
      </c>
      <c r="E28" s="28" t="inlineStr">
        <is>
          <t>A payload whose downstream processing is forced to fail</t>
        </is>
      </c>
      <c r="F28" s="28" t="inlineStr">
        <is>
          <t>1. Submit it
2. Inspect the archive</t>
        </is>
      </c>
      <c r="G28" s="28" t="inlineStr">
        <is>
          <t>The raw inbound payload is archived regardless of the downstream outcome</t>
        </is>
      </c>
      <c r="H28" s="29" t="inlineStr">
        <is>
          <t>Not Tested</t>
        </is>
      </c>
      <c r="I28" s="29" t="inlineStr">
        <is>
          <t>Negative</t>
        </is>
      </c>
    </row>
    <row r="29" ht="36" customHeight="1">
      <c r="A29" s="28" t="inlineStr">
        <is>
          <t>Archiving</t>
        </is>
      </c>
      <c r="B29" s="29" t="inlineStr">
        <is>
          <t>TC-Gateway-28</t>
        </is>
      </c>
      <c r="C29" s="28" t="inlineStr">
        <is>
          <t>Archived Data Meets Encryption, Access and Retention Requirements</t>
        </is>
      </c>
      <c r="D29" s="29" t="inlineStr">
        <is>
          <t>High</t>
        </is>
      </c>
      <c r="E29" s="28" t="inlineStr">
        <is>
          <t>Archived payloads present</t>
        </is>
      </c>
      <c r="F29" s="28" t="inlineStr">
        <is>
          <t>1. Inspect the archive's encryption, access control and retention configuration</t>
        </is>
      </c>
      <c r="G29" s="28" t="inlineStr">
        <is>
          <t>All three meet the applicable requirements; the archive is not a plain unprotected store</t>
        </is>
      </c>
      <c r="H29" s="29" t="inlineStr">
        <is>
          <t>Not Tested</t>
        </is>
      </c>
      <c r="I29" s="29" t="inlineStr">
        <is>
          <t>Security</t>
        </is>
      </c>
    </row>
    <row r="30" ht="36" customHeight="1">
      <c r="A30" s="28" t="inlineStr">
        <is>
          <t>Schema Independence</t>
        </is>
      </c>
      <c r="B30" s="29" t="inlineStr">
        <is>
          <t>TC-Gateway-29</t>
        </is>
      </c>
      <c r="C30" s="28" t="inlineStr">
        <is>
          <t>A Partner Schema Change Is Absorbed in the Mapping Layer</t>
        </is>
      </c>
      <c r="D30" s="29" t="inlineStr">
        <is>
          <t>High</t>
        </is>
      </c>
      <c r="E30" s="28" t="inlineStr">
        <is>
          <t>A partner payload with an added field and a renamed attribute</t>
        </is>
      </c>
      <c r="F30" s="28" t="inlineStr">
        <is>
          <t>1. Submit it
2. Inspect whether Payment Orchestrator or Product Management Service required any change</t>
        </is>
      </c>
      <c r="G30" s="28" t="inlineStr">
        <is>
          <t>The change is absorbed in the gateway mapping layer and no downstream service is modified while the internal JSON contract is unchanged</t>
        </is>
      </c>
      <c r="H30" s="29" t="inlineStr">
        <is>
          <t>Not Tested</t>
        </is>
      </c>
      <c r="I30" s="29" t="inlineStr">
        <is>
          <t>Architecture</t>
        </is>
      </c>
    </row>
    <row r="31" ht="36" customHeight="1">
      <c r="A31" s="28" t="inlineStr">
        <is>
          <t>Sensitive Data</t>
        </is>
      </c>
      <c r="B31" s="29" t="inlineStr">
        <is>
          <t>TC-Gateway-30</t>
        </is>
      </c>
      <c r="C31" s="28" t="inlineStr">
        <is>
          <t>Full PAN Is Never Accepted or Stored</t>
        </is>
      </c>
      <c r="D31" s="29" t="inlineStr">
        <is>
          <t>High</t>
        </is>
      </c>
      <c r="E31" s="28" t="inlineStr">
        <is>
          <t>A payload carrying a full PAN</t>
        </is>
      </c>
      <c r="F31" s="28" t="inlineStr">
        <is>
          <t>1. Submit it
2. Search the gateway store, the internal JSON and the archive for the full PAN</t>
        </is>
      </c>
      <c r="G31" s="28" t="inlineStr">
        <is>
          <t>The full PAN is never accepted or stored anywhere; only the partner-supplied masked PAN is retained</t>
        </is>
      </c>
      <c r="H31" s="29" t="inlineStr">
        <is>
          <t>Not Tested</t>
        </is>
      </c>
      <c r="I31" s="29" t="inlineStr">
        <is>
          <t>Security</t>
        </is>
      </c>
    </row>
    <row r="32" ht="36" customHeight="1">
      <c r="A32" s="28" t="inlineStr">
        <is>
          <t>Sensitive Data</t>
        </is>
      </c>
      <c r="B32" s="29" t="inlineStr">
        <is>
          <t>TC-Gateway-31</t>
        </is>
      </c>
      <c r="C32" s="28" t="inlineStr">
        <is>
          <t>EMV Data Is Passed Through but Not Interpreted</t>
        </is>
      </c>
      <c r="D32" s="29" t="inlineStr">
        <is>
          <t>High</t>
        </is>
      </c>
      <c r="E32" s="28" t="inlineStr">
        <is>
          <t>A payload carrying EMV tags</t>
        </is>
      </c>
      <c r="F32" s="28" t="inlineStr">
        <is>
          <t>1. Submit it
2. Trace whether any business decision reads the EMV data</t>
        </is>
      </c>
      <c r="G32" s="28" t="inlineStr">
        <is>
          <t>EMV data is retained for audit and dispute purposes and no business logic interprets it</t>
        </is>
      </c>
      <c r="H32" s="29" t="inlineStr">
        <is>
          <t>Not Tested</t>
        </is>
      </c>
      <c r="I32" s="29" t="inlineStr">
        <is>
          <t>Integration</t>
        </is>
      </c>
    </row>
    <row r="33" ht="36" customHeight="1">
      <c r="A33" s="28" t="inlineStr">
        <is>
          <t>Sensitive Data</t>
        </is>
      </c>
      <c r="B33" s="29" t="inlineStr">
        <is>
          <t>TC-Gateway-32</t>
        </is>
      </c>
      <c r="C33" s="28" t="inlineStr">
        <is>
          <t>Sensitive Data Never Reaches Generic Application Logs</t>
        </is>
      </c>
      <c r="D33" s="29" t="inlineStr">
        <is>
          <t>High</t>
        </is>
      </c>
      <c r="E33" s="28" t="inlineStr">
        <is>
          <t>A processed transaction carrying card data</t>
        </is>
      </c>
      <c r="F33" s="28" t="inlineStr">
        <is>
          <t>1. Inspect the generic application logs</t>
        </is>
      </c>
      <c r="G33" s="28" t="inlineStr">
        <is>
          <t>No masked or unmasked card data, EMV data or archived sensitive content appears in generic logs</t>
        </is>
      </c>
      <c r="H33" s="29" t="inlineStr">
        <is>
          <t>Not Tested</t>
        </is>
      </c>
      <c r="I33" s="29" t="inlineStr">
        <is>
          <t>Security</t>
        </is>
      </c>
    </row>
  </sheetData>
  <autoFilter ref="A1:I33"/>
  <conditionalFormatting sqref="H2:H3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33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Device Txns</t>
        </is>
      </c>
      <c r="B2" s="29" t="inlineStr">
        <is>
          <t>TC-AdminPos-01</t>
        </is>
      </c>
      <c r="C2" s="28" t="inlineStr">
        <is>
          <t>Admin Views POS Transactions Across All Devices</t>
        </is>
      </c>
      <c r="D2" s="29" t="inlineStr">
        <is>
          <t>High</t>
        </is>
      </c>
      <c r="E2" s="28" t="inlineStr">
        <is>
          <t>POS transactions across several devices and businesses; admin signed in</t>
        </is>
      </c>
      <c r="F2" s="28" t="inlineStr">
        <is>
          <t>1. Open the POS Device Transactions view</t>
        </is>
      </c>
      <c r="G2" s="28" t="inlineStr">
        <is>
          <t>A paginated list of POS transactions across all devices is shown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Device Txns</t>
        </is>
      </c>
      <c r="B3" s="29" t="inlineStr">
        <is>
          <t>TC-AdminPos-02</t>
        </is>
      </c>
      <c r="C3" s="28" t="inlineStr">
        <is>
          <t>Admin Filters or Navigates to a Selected Device or TID</t>
        </is>
      </c>
      <c r="D3" s="29" t="inlineStr">
        <is>
          <t>High</t>
        </is>
      </c>
      <c r="E3" s="28" t="inlineStr">
        <is>
          <t>A populated transaction list</t>
        </is>
      </c>
      <c r="F3" s="28" t="inlineStr">
        <is>
          <t>1. Filter by TID, then navigate from a device to its transactions</t>
        </is>
      </c>
      <c r="G3" s="28" t="inlineStr">
        <is>
          <t>Only that device's transactions are shown and the TID in view matches the selection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Device Txns</t>
        </is>
      </c>
      <c r="B4" s="29" t="inlineStr">
        <is>
          <t>TC-AdminPos-03</t>
        </is>
      </c>
      <c r="C4" s="28" t="inlineStr">
        <is>
          <t>Backend-Supported Filters Work With Pagination</t>
        </is>
      </c>
      <c r="D4" s="29" t="inlineStr">
        <is>
          <t>High</t>
        </is>
      </c>
      <c r="E4" s="28" t="inlineStr">
        <is>
          <t>A long transaction list</t>
        </is>
      </c>
      <c r="F4" s="28" t="inlineStr">
        <is>
          <t>1. Apply a filter, then page through the results</t>
        </is>
      </c>
      <c r="G4" s="28" t="inlineStr">
        <is>
          <t>The filter persists across pages and paging is stable with no duplicated or skipped rows</t>
        </is>
      </c>
      <c r="H4" s="29" t="inlineStr">
        <is>
          <t>Not Tested</t>
        </is>
      </c>
      <c r="I4" s="29" t="inlineStr">
        <is>
          <t>Integration</t>
        </is>
      </c>
    </row>
    <row r="5" ht="36" customHeight="1">
      <c r="A5" s="28" t="inlineStr">
        <is>
          <t>Device Txns</t>
        </is>
      </c>
      <c r="B5" s="29" t="inlineStr">
        <is>
          <t>TC-AdminPos-04</t>
        </is>
      </c>
      <c r="C5" s="28" t="inlineStr">
        <is>
          <t>Filters Can Be Reset</t>
        </is>
      </c>
      <c r="D5" s="29" t="inlineStr">
        <is>
          <t>Medium</t>
        </is>
      </c>
      <c r="E5" s="28" t="inlineStr">
        <is>
          <t>Filters applied</t>
        </is>
      </c>
      <c r="F5" s="28" t="inlineStr">
        <is>
          <t>1. Reset the filters</t>
        </is>
      </c>
      <c r="G5" s="28" t="inlineStr">
        <is>
          <t>The list returns to the unfiltered state and pagination resets with it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Device Txns</t>
        </is>
      </c>
      <c r="B6" s="29" t="inlineStr">
        <is>
          <t>TC-AdminPos-05</t>
        </is>
      </c>
      <c r="C6" s="28" t="inlineStr">
        <is>
          <t>Loading, Empty and Error States Are Handled</t>
        </is>
      </c>
      <c r="D6" s="29" t="inlineStr">
        <is>
          <t>High</t>
        </is>
      </c>
      <c r="E6" s="28" t="inlineStr">
        <is>
          <t>A slow response, an empty result and a failing endpoint</t>
        </is>
      </c>
      <c r="F6" s="28" t="inlineStr">
        <is>
          <t>1. Trigger each condition</t>
        </is>
      </c>
      <c r="G6" s="28" t="inlineStr">
        <is>
          <t>A loading state is shown, an empty result shows an empty state rather than a blank grid, and a failure shows a controlled error with a retry</t>
        </is>
      </c>
      <c r="H6" s="29" t="inlineStr">
        <is>
          <t>Not Tested</t>
        </is>
      </c>
      <c r="I6" s="29" t="inlineStr">
        <is>
          <t>Negative</t>
        </is>
      </c>
    </row>
    <row r="7" ht="36" customHeight="1">
      <c r="A7" s="28" t="inlineStr">
        <is>
          <t>ACH</t>
        </is>
      </c>
      <c r="B7" s="29" t="inlineStr">
        <is>
          <t>TC-AdminPos-06</t>
        </is>
      </c>
      <c r="C7" s="28" t="inlineStr">
        <is>
          <t>Admin Views ACH Records Across All Devices</t>
        </is>
      </c>
      <c r="D7" s="29" t="inlineStr">
        <is>
          <t>High</t>
        </is>
      </c>
      <c r="E7" s="28" t="inlineStr">
        <is>
          <t>ACH records present; admin signed in</t>
        </is>
      </c>
      <c r="F7" s="28" t="inlineStr">
        <is>
          <t>1. Open the ACH Records view</t>
        </is>
      </c>
      <c r="G7" s="28" t="inlineStr">
        <is>
          <t>A paginated list of ACH records across all devices is shown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ACH</t>
        </is>
      </c>
      <c r="B8" s="29" t="inlineStr">
        <is>
          <t>TC-AdminPos-07</t>
        </is>
      </c>
      <c r="C8" s="28" t="inlineStr">
        <is>
          <t>ACH Filters Including TID Apply and Reset</t>
        </is>
      </c>
      <c r="D8" s="29" t="inlineStr">
        <is>
          <t>High</t>
        </is>
      </c>
      <c r="E8" s="28" t="inlineStr">
        <is>
          <t>ACH records across several TIDs</t>
        </is>
      </c>
      <c r="F8" s="28" t="inlineStr">
        <is>
          <t>1. Apply the backend-supported filters including TID
2. Reset them</t>
        </is>
      </c>
      <c r="G8" s="28" t="inlineStr">
        <is>
          <t>Filters return the correct subset where TID is available and reset restores the full list</t>
        </is>
      </c>
      <c r="H8" s="29" t="inlineStr">
        <is>
          <t>Not Tested</t>
        </is>
      </c>
      <c r="I8" s="29" t="inlineStr">
        <is>
          <t>Functional</t>
        </is>
      </c>
    </row>
    <row r="9" ht="36" customHeight="1">
      <c r="A9" s="28" t="inlineStr">
        <is>
          <t>ACH</t>
        </is>
      </c>
      <c r="B9" s="29" t="inlineStr">
        <is>
          <t>TC-AdminPos-08</t>
        </is>
      </c>
      <c r="C9" s="28" t="inlineStr">
        <is>
          <t>Only Backend-Permitted Actions Are Displayed</t>
        </is>
      </c>
      <c r="D9" s="29" t="inlineStr">
        <is>
          <t>High</t>
        </is>
      </c>
      <c r="E9" s="28" t="inlineStr">
        <is>
          <t>ACH records in states permitting different actions</t>
        </is>
      </c>
      <c r="F9" s="28" t="inlineStr">
        <is>
          <t>1. Compare the actions shown per record against those the backend reports as available</t>
        </is>
      </c>
      <c r="G9" s="28" t="inlineStr">
        <is>
          <t>Only the actions the backend returns as available are displayed; the UI never offers an action the backend would refuse</t>
        </is>
      </c>
      <c r="H9" s="29" t="inlineStr">
        <is>
          <t>Not Tested</t>
        </is>
      </c>
      <c r="I9" s="29" t="inlineStr">
        <is>
          <t>Functional</t>
        </is>
      </c>
    </row>
    <row r="10" ht="36" customHeight="1">
      <c r="A10" s="28" t="inlineStr">
        <is>
          <t>ACH</t>
        </is>
      </c>
      <c r="B10" s="29" t="inlineStr">
        <is>
          <t>TC-AdminPos-09</t>
        </is>
      </c>
      <c r="C10" s="28" t="inlineStr">
        <is>
          <t>Release Requires Confirmation and Is Submitted Through the Backend</t>
        </is>
      </c>
      <c r="D10" s="29" t="inlineStr">
        <is>
          <t>High</t>
        </is>
      </c>
      <c r="E10" s="28" t="inlineStr">
        <is>
          <t>An ACH record with release available</t>
        </is>
      </c>
      <c r="F10" s="28" t="inlineStr">
        <is>
          <t>1. Trigger release
2. Observe the confirmation step
3. Confirm and inspect the request</t>
        </is>
      </c>
      <c r="G10" s="28" t="inlineStr">
        <is>
          <t>A confirmation is required before submission and the action is performed through the backend, not simulated client-side</t>
        </is>
      </c>
      <c r="H10" s="29" t="inlineStr">
        <is>
          <t>Not Tested</t>
        </is>
      </c>
      <c r="I10" s="29" t="inlineStr">
        <is>
          <t>Functional</t>
        </is>
      </c>
    </row>
    <row r="11" ht="36" customHeight="1">
      <c r="A11" s="28" t="inlineStr">
        <is>
          <t>ACH</t>
        </is>
      </c>
      <c r="B11" s="29" t="inlineStr">
        <is>
          <t>TC-AdminPos-10</t>
        </is>
      </c>
      <c r="C11" s="28" t="inlineStr">
        <is>
          <t>Reject Requires Confirmation and Refreshes State</t>
        </is>
      </c>
      <c r="D11" s="29" t="inlineStr">
        <is>
          <t>High</t>
        </is>
      </c>
      <c r="E11" s="28" t="inlineStr">
        <is>
          <t>An ACH record with reject available</t>
        </is>
      </c>
      <c r="F11" s="28" t="inlineStr">
        <is>
          <t>1. Trigger reject, confirm, and observe the record</t>
        </is>
      </c>
      <c r="G11" s="28" t="inlineStr">
        <is>
          <t>The record state refreshes after success and reflects what the backend returns</t>
        </is>
      </c>
      <c r="H11" s="29" t="inlineStr">
        <is>
          <t>Not Tested</t>
        </is>
      </c>
      <c r="I11" s="29" t="inlineStr">
        <is>
          <t>Functional</t>
        </is>
      </c>
    </row>
    <row r="12" ht="36" customHeight="1">
      <c r="A12" s="28" t="inlineStr">
        <is>
          <t>ACH</t>
        </is>
      </c>
      <c r="B12" s="29" t="inlineStr">
        <is>
          <t>TC-AdminPos-11</t>
        </is>
      </c>
      <c r="C12" s="28" t="inlineStr">
        <is>
          <t>Cancelling a Confirmation Performs No Action</t>
        </is>
      </c>
      <c r="D12" s="29" t="inlineStr">
        <is>
          <t>High</t>
        </is>
      </c>
      <c r="E12" s="28" t="inlineStr">
        <is>
          <t>An ACH record with an action available</t>
        </is>
      </c>
      <c r="F12" s="28" t="inlineStr">
        <is>
          <t>1. Trigger the action and cancel at the confirmation step
2. Inspect the record and the network calls</t>
        </is>
      </c>
      <c r="G12" s="28" t="inlineStr">
        <is>
          <t>No request is sent and the record is unchanged</t>
        </is>
      </c>
      <c r="H12" s="29" t="inlineStr">
        <is>
          <t>Not Tested</t>
        </is>
      </c>
      <c r="I12" s="29" t="inlineStr">
        <is>
          <t>Functional</t>
        </is>
      </c>
    </row>
    <row r="13" ht="36" customHeight="1">
      <c r="A13" s="28" t="inlineStr">
        <is>
          <t>ACH</t>
        </is>
      </c>
      <c r="B13" s="29" t="inlineStr">
        <is>
          <t>TC-AdminPos-12</t>
        </is>
      </c>
      <c r="C13" s="28" t="inlineStr">
        <is>
          <t>Action-Progress, Success and Error States Are Handled</t>
        </is>
      </c>
      <c r="D13" s="29" t="inlineStr">
        <is>
          <t>High</t>
        </is>
      </c>
      <c r="E13" s="28" t="inlineStr">
        <is>
          <t>An action that is slow, one that succeeds and one that fails</t>
        </is>
      </c>
      <c r="F13" s="28" t="inlineStr">
        <is>
          <t>1. Trigger each</t>
        </is>
      </c>
      <c r="G13" s="28" t="inlineStr">
        <is>
          <t>Progress is indicated, success refreshes the record, and failure shows a controlled error leaving the record in its prior state</t>
        </is>
      </c>
      <c r="H13" s="29" t="inlineStr">
        <is>
          <t>Not Tested</t>
        </is>
      </c>
      <c r="I13" s="29" t="inlineStr">
        <is>
          <t>Negative</t>
        </is>
      </c>
    </row>
    <row r="14" ht="36" customHeight="1">
      <c r="A14" s="28" t="inlineStr">
        <is>
          <t>ACH</t>
        </is>
      </c>
      <c r="B14" s="29" t="inlineStr">
        <is>
          <t>TC-AdminPos-13</t>
        </is>
      </c>
      <c r="C14" s="28" t="inlineStr">
        <is>
          <t>A Failed Action Does Not Optimistically Change the Displayed State</t>
        </is>
      </c>
      <c r="D14" s="29" t="inlineStr">
        <is>
          <t>High</t>
        </is>
      </c>
      <c r="E14" s="28" t="inlineStr">
        <is>
          <t>An action forced to fail at the backend</t>
        </is>
      </c>
      <c r="F14" s="28" t="inlineStr">
        <is>
          <t>1. Trigger it and observe the row</t>
        </is>
      </c>
      <c r="G14" s="28" t="inlineStr">
        <is>
          <t>The displayed state is not changed optimistically; it reflects the backend outcome only</t>
        </is>
      </c>
      <c r="H14" s="29" t="inlineStr">
        <is>
          <t>Not Tested</t>
        </is>
      </c>
      <c r="I14" s="29" t="inlineStr">
        <is>
          <t>Functional</t>
        </is>
      </c>
    </row>
    <row r="15" ht="36" customHeight="1">
      <c r="A15" s="28" t="inlineStr">
        <is>
          <t>Security</t>
        </is>
      </c>
      <c r="B15" s="29" t="inlineStr">
        <is>
          <t>TC-AdminPos-14</t>
        </is>
      </c>
      <c r="C15" s="28" t="inlineStr">
        <is>
          <t>Non-Admin Cannot Reach Either Admin View</t>
        </is>
      </c>
      <c r="D15" s="29" t="inlineStr">
        <is>
          <t>High</t>
        </is>
      </c>
      <c r="E15" s="28" t="inlineStr">
        <is>
          <t>A business user session</t>
        </is>
      </c>
      <c r="F15" s="28" t="inlineStr">
        <is>
          <t>1. Attempt to open both admin views and call their endpoints directly</t>
        </is>
      </c>
      <c r="G15" s="28" t="inlineStr">
        <is>
          <t>Both are refused; these are admin-scoped surfaces</t>
        </is>
      </c>
      <c r="H15" s="29" t="inlineStr">
        <is>
          <t>Not Tested</t>
        </is>
      </c>
      <c r="I15" s="29" t="inlineStr">
        <is>
          <t>Negative</t>
        </is>
      </c>
    </row>
    <row r="16" ht="36" customHeight="1">
      <c r="A16" s="28" t="inlineStr">
        <is>
          <t>Security</t>
        </is>
      </c>
      <c r="B16" s="29" t="inlineStr">
        <is>
          <t>TC-AdminPos-15</t>
        </is>
      </c>
      <c r="C16" s="28" t="inlineStr">
        <is>
          <t>Action Authorisation Is Enforced Server-Side</t>
        </is>
      </c>
      <c r="D16" s="29" t="inlineStr">
        <is>
          <t>High</t>
        </is>
      </c>
      <c r="E16" s="28" t="inlineStr">
        <is>
          <t>An admin lacking the ACH action privilege</t>
        </is>
      </c>
      <c r="F16" s="28" t="inlineStr">
        <is>
          <t>1. Call the release and reject endpoints directly</t>
        </is>
      </c>
      <c r="G16" s="28" t="inlineStr">
        <is>
          <t>Both are refused server-side regardless of what the UI offers</t>
        </is>
      </c>
      <c r="H16" s="29" t="inlineStr">
        <is>
          <t>Not Tested</t>
        </is>
      </c>
      <c r="I16" s="29" t="inlineStr">
        <is>
          <t>Negative</t>
        </is>
      </c>
    </row>
    <row r="17" ht="36" customHeight="1">
      <c r="A17" s="28" t="inlineStr">
        <is>
          <t>Non-Functional</t>
        </is>
      </c>
      <c r="B17" s="29" t="inlineStr">
        <is>
          <t>TC-AdminPos-16</t>
        </is>
      </c>
      <c r="C17" s="28" t="inlineStr">
        <is>
          <t>Large Result Sets Page Without Degradation</t>
        </is>
      </c>
      <c r="D17" s="29" t="inlineStr">
        <is>
          <t>Medium</t>
        </is>
      </c>
      <c r="E17" s="28" t="inlineStr">
        <is>
          <t>A production-scale volume of POS transactions and ACH records</t>
        </is>
      </c>
      <c r="F17" s="28" t="inlineStr">
        <is>
          <t>1. Page deep into both lists and measure response time</t>
        </is>
      </c>
      <c r="G17" s="28" t="inlineStr">
        <is>
          <t>Paging stays responsive and the backend uses indexed access rather than scanning</t>
        </is>
      </c>
      <c r="H17" s="29" t="inlineStr">
        <is>
          <t>Not Tested</t>
        </is>
      </c>
      <c r="I17" s="29" t="inlineStr">
        <is>
          <t>Performance / NFR</t>
        </is>
      </c>
    </row>
  </sheetData>
  <autoFilter ref="A1:I17"/>
  <conditionalFormatting sqref="H2:H1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17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Amount Calc</t>
        </is>
      </c>
      <c r="B2" s="29" t="inlineStr">
        <is>
          <t>TC-Amount-01</t>
        </is>
      </c>
      <c r="C2" s="28" t="inlineStr">
        <is>
          <t>Base Transaction Amount Includes Commission and VAT</t>
        </is>
      </c>
      <c r="D2" s="29" t="inlineStr">
        <is>
          <t>High</t>
        </is>
      </c>
      <c r="E2" s="28" t="inlineStr">
        <is>
          <t>An applicable transaction type with commission and VAT configured</t>
        </is>
      </c>
      <c r="F2" s="28" t="inlineStr">
        <is>
          <t>1. Complete a transaction
2. Read the amount stored in the Base Transaction table</t>
        </is>
      </c>
      <c r="G2" s="28" t="inlineStr">
        <is>
          <t>The stored amount equals transaction amount plus commission amount plus VAT amount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Amount Calc</t>
        </is>
      </c>
      <c r="B3" s="29" t="inlineStr">
        <is>
          <t>TC-Amount-02</t>
        </is>
      </c>
      <c r="C3" s="28" t="inlineStr">
        <is>
          <t>Transaction Log Carries the Correct Amount</t>
        </is>
      </c>
      <c r="D3" s="29" t="inlineStr">
        <is>
          <t>High</t>
        </is>
      </c>
      <c r="E3" s="28" t="inlineStr">
        <is>
          <t>A completed applicable transaction</t>
        </is>
      </c>
      <c r="F3" s="28" t="inlineStr">
        <is>
          <t>1. Read the transaction log entry</t>
        </is>
      </c>
      <c r="G3" s="28" t="inlineStr">
        <is>
          <t>The log amount includes commission and VAT where applicable and agrees with the base transaction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Amount Calc</t>
        </is>
      </c>
      <c r="B4" s="29" t="inlineStr">
        <is>
          <t>TC-Amount-03</t>
        </is>
      </c>
      <c r="C4" s="28" t="inlineStr">
        <is>
          <t>External Party Receives the Amount It Is Expected to Receive</t>
        </is>
      </c>
      <c r="D4" s="29" t="inlineStr">
        <is>
          <t>High</t>
        </is>
      </c>
      <c r="E4" s="28" t="inlineStr">
        <is>
          <t>An applicable transaction routed to an external party</t>
        </is>
      </c>
      <c r="F4" s="28" t="inlineStr">
        <is>
          <t>1. Capture the outbound request
2. Compare against the expected receivable amount</t>
        </is>
      </c>
      <c r="G4" s="28" t="inlineStr">
        <is>
          <t>The amount sent matches what the external party is expected to receive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Amount Calc</t>
        </is>
      </c>
      <c r="B5" s="29" t="inlineStr">
        <is>
          <t>TC-Amount-04</t>
        </is>
      </c>
      <c r="C5" s="28" t="inlineStr">
        <is>
          <t>HyperPay Integration Amount Is Correct</t>
        </is>
      </c>
      <c r="D5" s="29" t="inlineStr">
        <is>
          <t>High</t>
        </is>
      </c>
      <c r="E5" s="28" t="inlineStr">
        <is>
          <t>A transaction routed through HyperPay</t>
        </is>
      </c>
      <c r="F5" s="28" t="inlineStr">
        <is>
          <t>1. Complete it and compare the amount at every hop</t>
        </is>
      </c>
      <c r="G5" s="28" t="inlineStr">
        <is>
          <t>The amount is consistent across base transaction, transaction log and the HyperPay request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Amount Calc</t>
        </is>
      </c>
      <c r="B6" s="29" t="inlineStr">
        <is>
          <t>TC-Amount-05</t>
        </is>
      </c>
      <c r="C6" s="28" t="inlineStr">
        <is>
          <t>Bank Integration Amount Is Correct</t>
        </is>
      </c>
      <c r="D6" s="29" t="inlineStr">
        <is>
          <t>High</t>
        </is>
      </c>
      <c r="E6" s="28" t="inlineStr">
        <is>
          <t>A transaction routed to the bank</t>
        </is>
      </c>
      <c r="F6" s="28" t="inlineStr">
        <is>
          <t>1. Complete it and compare the amount at every hop</t>
        </is>
      </c>
      <c r="G6" s="28" t="inlineStr">
        <is>
          <t>The amount is consistent across base transaction, transaction log and the bank request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Amount Calc</t>
        </is>
      </c>
      <c r="B7" s="29" t="inlineStr">
        <is>
          <t>TC-Amount-06</t>
        </is>
      </c>
      <c r="C7" s="28" t="inlineStr">
        <is>
          <t>OTC Integration Amount Is Correct</t>
        </is>
      </c>
      <c r="D7" s="29" t="inlineStr">
        <is>
          <t>High</t>
        </is>
      </c>
      <c r="E7" s="28" t="inlineStr">
        <is>
          <t>A transaction routed through OTC</t>
        </is>
      </c>
      <c r="F7" s="28" t="inlineStr">
        <is>
          <t>1. Complete it and compare the amount at every hop</t>
        </is>
      </c>
      <c r="G7" s="28" t="inlineStr">
        <is>
          <t>The amount is consistent across base transaction, transaction log and the OTC request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Amount Calc</t>
        </is>
      </c>
      <c r="B8" s="29" t="inlineStr">
        <is>
          <t>TC-Amount-07</t>
        </is>
      </c>
      <c r="C8" s="28" t="inlineStr">
        <is>
          <t>Cash-Out Is Not Affected by the Change</t>
        </is>
      </c>
      <c r="D8" s="29" t="inlineStr">
        <is>
          <t>High</t>
        </is>
      </c>
      <c r="E8" s="28" t="inlineStr">
        <is>
          <t>A Cash-Out transaction</t>
        </is>
      </c>
      <c r="F8" s="28" t="inlineStr">
        <is>
          <t>1. Complete it and compare the calculation against the pre-change behaviour</t>
        </is>
      </c>
      <c r="G8" s="28" t="inlineStr">
        <is>
          <t>Cash-Out amount calculation is unchanged; commission and VAT are not folded into the stored amount</t>
        </is>
      </c>
      <c r="H8" s="29" t="inlineStr">
        <is>
          <t>Not Tested</t>
        </is>
      </c>
      <c r="I8" s="29" t="inlineStr">
        <is>
          <t>Functional</t>
        </is>
      </c>
    </row>
    <row r="9" ht="36" customHeight="1">
      <c r="A9" s="28" t="inlineStr">
        <is>
          <t>Amount Calc</t>
        </is>
      </c>
      <c r="B9" s="29" t="inlineStr">
        <is>
          <t>TC-Amount-08</t>
        </is>
      </c>
      <c r="C9" s="28" t="inlineStr">
        <is>
          <t>VIBAN Is Not Affected by the Change</t>
        </is>
      </c>
      <c r="D9" s="29" t="inlineStr">
        <is>
          <t>High</t>
        </is>
      </c>
      <c r="E9" s="28" t="inlineStr">
        <is>
          <t>A VIBAN transaction</t>
        </is>
      </c>
      <c r="F9" s="28" t="inlineStr">
        <is>
          <t>1. Complete it and compare against the pre-change behaviour</t>
        </is>
      </c>
      <c r="G9" s="28" t="inlineStr">
        <is>
          <t>VIBAN amount calculation is unchanged</t>
        </is>
      </c>
      <c r="H9" s="29" t="inlineStr">
        <is>
          <t>Not Tested</t>
        </is>
      </c>
      <c r="I9" s="29" t="inlineStr">
        <is>
          <t>Functional</t>
        </is>
      </c>
    </row>
    <row r="10" ht="36" customHeight="1">
      <c r="A10" s="28" t="inlineStr">
        <is>
          <t>Amount Calc</t>
        </is>
      </c>
      <c r="B10" s="29" t="inlineStr">
        <is>
          <t>TC-Amount-09</t>
        </is>
      </c>
      <c r="C10" s="28" t="inlineStr">
        <is>
          <t>Commission and VAT Are Never Added Twice</t>
        </is>
      </c>
      <c r="D10" s="29" t="inlineStr">
        <is>
          <t>High</t>
        </is>
      </c>
      <c r="E10" s="28" t="inlineStr">
        <is>
          <t>An applicable transaction traced through its full flow</t>
        </is>
      </c>
      <c r="F10" s="28" t="inlineStr">
        <is>
          <t>1. Trace the amount at initiation, ledger posting, external call and settlement
2. Compare against the expected single application</t>
        </is>
      </c>
      <c r="G10" s="28" t="inlineStr">
        <is>
          <t>Commission and VAT are applied exactly once; no stage adds them a second time</t>
        </is>
      </c>
      <c r="H10" s="29" t="inlineStr">
        <is>
          <t>Not Tested</t>
        </is>
      </c>
      <c r="I10" s="29" t="inlineStr">
        <is>
          <t>Integration</t>
        </is>
      </c>
    </row>
    <row r="11" ht="36" customHeight="1">
      <c r="A11" s="28" t="inlineStr">
        <is>
          <t>Amount Calc</t>
        </is>
      </c>
      <c r="B11" s="29" t="inlineStr">
        <is>
          <t>TC-Amount-10</t>
        </is>
      </c>
      <c r="C11" s="28" t="inlineStr">
        <is>
          <t>Every Applicable Transaction Type Is Covered</t>
        </is>
      </c>
      <c r="D11" s="29" t="inlineStr">
        <is>
          <t>High</t>
        </is>
      </c>
      <c r="E11" s="28" t="inlineStr">
        <is>
          <t>One transaction of each applicable type</t>
        </is>
      </c>
      <c r="F11" s="28" t="inlineStr">
        <is>
          <t>1. Complete each type
2. Verify the amount rule on each</t>
        </is>
      </c>
      <c r="G11" s="28" t="inlineStr">
        <is>
          <t>Every applicable type follows the rule; the two documented exclusions are the only exceptions</t>
        </is>
      </c>
      <c r="H11" s="29" t="inlineStr">
        <is>
          <t>Not Tested</t>
        </is>
      </c>
      <c r="I11" s="29" t="inlineStr">
        <is>
          <t>Functional</t>
        </is>
      </c>
    </row>
    <row r="12" ht="36" customHeight="1">
      <c r="A12" s="28" t="inlineStr">
        <is>
          <t>Amount Calc</t>
        </is>
      </c>
      <c r="B12" s="29" t="inlineStr">
        <is>
          <t>TC-Amount-11</t>
        </is>
      </c>
      <c r="C12" s="28" t="inlineStr">
        <is>
          <t>Zero-Commission Configuration Still Computes Correctly</t>
        </is>
      </c>
      <c r="D12" s="29" t="inlineStr">
        <is>
          <t>Medium</t>
        </is>
      </c>
      <c r="E12" s="28" t="inlineStr">
        <is>
          <t>A transaction type with no commission or VAT configured</t>
        </is>
      </c>
      <c r="F12" s="28" t="inlineStr">
        <is>
          <t>1. Complete a transaction</t>
        </is>
      </c>
      <c r="G12" s="28" t="inlineStr">
        <is>
          <t>The stored amount equals the transaction amount with no phantom fee added</t>
        </is>
      </c>
      <c r="H12" s="29" t="inlineStr">
        <is>
          <t>Not Tested</t>
        </is>
      </c>
      <c r="I12" s="29" t="inlineStr">
        <is>
          <t>Edge / Boundary</t>
        </is>
      </c>
    </row>
    <row r="13" ht="36" customHeight="1">
      <c r="A13" s="28" t="inlineStr">
        <is>
          <t>Fees</t>
        </is>
      </c>
      <c r="B13" s="29" t="inlineStr">
        <is>
          <t>TC-Fees-01</t>
        </is>
      </c>
      <c r="C13" s="28" t="inlineStr">
        <is>
          <t>Source Validation - Fees ON_TOP Checks Wallet Can Cover Them</t>
        </is>
      </c>
      <c r="D13" s="29" t="inlineStr">
        <is>
          <t>High</t>
        </is>
      </c>
      <c r="E13" s="28" t="inlineStr">
        <is>
          <t>A source wallet whose balance covers the amount but not the amount plus on-top fee</t>
        </is>
      </c>
      <c r="F13" s="28" t="inlineStr">
        <is>
          <t>1. Attempt the transaction</t>
        </is>
      </c>
      <c r="G13" s="28" t="inlineStr">
        <is>
          <t>It is refused; the balance check covers the amount plus the on-top fee, not the amount alone</t>
        </is>
      </c>
      <c r="H13" s="29" t="inlineStr">
        <is>
          <t>Not Tested</t>
        </is>
      </c>
      <c r="I13" s="29" t="inlineStr">
        <is>
          <t>Negative</t>
        </is>
      </c>
    </row>
    <row r="14" ht="36" customHeight="1">
      <c r="A14" s="28" t="inlineStr">
        <is>
          <t>Fees</t>
        </is>
      </c>
      <c r="B14" s="29" t="inlineStr">
        <is>
          <t>TC-Fees-02</t>
        </is>
      </c>
      <c r="C14" s="28" t="inlineStr">
        <is>
          <t>Source Validation - Fees From Amount Cannot Drive It Negative</t>
        </is>
      </c>
      <c r="D14" s="29" t="inlineStr">
        <is>
          <t>High</t>
        </is>
      </c>
      <c r="E14" s="28" t="inlineStr">
        <is>
          <t>A source transaction whose fee taken from the amount would exceed the amount</t>
        </is>
      </c>
      <c r="F14" s="28" t="inlineStr">
        <is>
          <t>1. Attempt the transaction</t>
        </is>
      </c>
      <c r="G14" s="28" t="inlineStr">
        <is>
          <t>It is refused; the net amount is never allowed to go negative</t>
        </is>
      </c>
      <c r="H14" s="29" t="inlineStr">
        <is>
          <t>Not Tested</t>
        </is>
      </c>
      <c r="I14" s="29" t="inlineStr">
        <is>
          <t>Negative</t>
        </is>
      </c>
    </row>
    <row r="15" ht="36" customHeight="1">
      <c r="A15" s="28" t="inlineStr">
        <is>
          <t>Fees</t>
        </is>
      </c>
      <c r="B15" s="29" t="inlineStr">
        <is>
          <t>TC-Fees-03</t>
        </is>
      </c>
      <c r="C15" s="28" t="inlineStr">
        <is>
          <t>Source Validation - Limits Checked Against the Correct Total</t>
        </is>
      </c>
      <c r="D15" s="29" t="inlineStr">
        <is>
          <t>High</t>
        </is>
      </c>
      <c r="E15" s="28" t="inlineStr">
        <is>
          <t>A source wallet near its limit, with an on-top fee that would breach it</t>
        </is>
      </c>
      <c r="F15" s="28" t="inlineStr">
        <is>
          <t>1. Attempt the transaction</t>
        </is>
      </c>
      <c r="G15" s="28" t="inlineStr">
        <is>
          <t>The limit check accounts for the fee and the transaction is refused; the limit is not checked on the bare amount</t>
        </is>
      </c>
      <c r="H15" s="29" t="inlineStr">
        <is>
          <t>Not Tested</t>
        </is>
      </c>
      <c r="I15" s="29" t="inlineStr">
        <is>
          <t>Negative</t>
        </is>
      </c>
    </row>
    <row r="16" ht="36" customHeight="1">
      <c r="A16" s="28" t="inlineStr">
        <is>
          <t>Fees</t>
        </is>
      </c>
      <c r="B16" s="29" t="inlineStr">
        <is>
          <t>TC-Fees-04</t>
        </is>
      </c>
      <c r="C16" s="28" t="inlineStr">
        <is>
          <t>Destination Validation - No Fee ON_TOP Is Applied</t>
        </is>
      </c>
      <c r="D16" s="29" t="inlineStr">
        <is>
          <t>High</t>
        </is>
      </c>
      <c r="E16" s="28" t="inlineStr">
        <is>
          <t>A destination-side transaction</t>
        </is>
      </c>
      <c r="F16" s="28" t="inlineStr">
        <is>
          <t>1. Complete it and inspect the destination fee entries</t>
        </is>
      </c>
      <c r="G16" s="28" t="inlineStr">
        <is>
          <t>No on-top fee is added on the destination side</t>
        </is>
      </c>
      <c r="H16" s="29" t="inlineStr">
        <is>
          <t>Not Tested</t>
        </is>
      </c>
      <c r="I16" s="29" t="inlineStr">
        <is>
          <t>Functional</t>
        </is>
      </c>
    </row>
    <row r="17" ht="36" customHeight="1">
      <c r="A17" s="28" t="inlineStr">
        <is>
          <t>Fees</t>
        </is>
      </c>
      <c r="B17" s="29" t="inlineStr">
        <is>
          <t>TC-Fees-05</t>
        </is>
      </c>
      <c r="C17" s="28" t="inlineStr">
        <is>
          <t>Destination Validation - Fees From Amount Cannot Drive It Negative</t>
        </is>
      </c>
      <c r="D17" s="29" t="inlineStr">
        <is>
          <t>High</t>
        </is>
      </c>
      <c r="E17" s="28" t="inlineStr">
        <is>
          <t>A destination transaction whose fee from amount would exceed the amount</t>
        </is>
      </c>
      <c r="F17" s="28" t="inlineStr">
        <is>
          <t>1. Attempt it</t>
        </is>
      </c>
      <c r="G17" s="28" t="inlineStr">
        <is>
          <t>It is refused; the net cannot go negative on the destination side either</t>
        </is>
      </c>
      <c r="H17" s="29" t="inlineStr">
        <is>
          <t>Not Tested</t>
        </is>
      </c>
      <c r="I17" s="29" t="inlineStr">
        <is>
          <t>Negative</t>
        </is>
      </c>
    </row>
    <row r="18" ht="36" customHeight="1">
      <c r="A18" s="28" t="inlineStr">
        <is>
          <t>Fees</t>
        </is>
      </c>
      <c r="B18" s="29" t="inlineStr">
        <is>
          <t>TC-Fees-06</t>
        </is>
      </c>
      <c r="C18" s="28" t="inlineStr">
        <is>
          <t>Destination Validation - Limits Checked Properly</t>
        </is>
      </c>
      <c r="D18" s="29" t="inlineStr">
        <is>
          <t>High</t>
        </is>
      </c>
      <c r="E18" s="28" t="inlineStr">
        <is>
          <t>A destination wallet near its limit</t>
        </is>
      </c>
      <c r="F18" s="28" t="inlineStr">
        <is>
          <t>1. Attempt a transaction that would breach it once fees are accounted for</t>
        </is>
      </c>
      <c r="G18" s="28" t="inlineStr">
        <is>
          <t>The limit check is applied correctly on the destination side</t>
        </is>
      </c>
      <c r="H18" s="29" t="inlineStr">
        <is>
          <t>Not Tested</t>
        </is>
      </c>
      <c r="I18" s="29" t="inlineStr">
        <is>
          <t>Functional</t>
        </is>
      </c>
    </row>
    <row r="19" ht="36" customHeight="1">
      <c r="A19" s="28" t="inlineStr">
        <is>
          <t>Fees</t>
        </is>
      </c>
      <c r="B19" s="29" t="inlineStr">
        <is>
          <t>TC-Fees-07</t>
        </is>
      </c>
      <c r="C19" s="28" t="inlineStr">
        <is>
          <t>Fee Behaviour Is Correct Per Transaction Type</t>
        </is>
      </c>
      <c r="D19" s="29" t="inlineStr">
        <is>
          <t>High</t>
        </is>
      </c>
      <c r="E19" s="28" t="inlineStr">
        <is>
          <t>Each transaction type with its configured fee model</t>
        </is>
      </c>
      <c r="F19" s="28" t="inlineStr">
        <is>
          <t>1. Complete one of each and inspect the fee entries and validations applied</t>
        </is>
      </c>
      <c r="G19" s="28" t="inlineStr">
        <is>
          <t>Each type applies its own configured fee model; no type inherits another's on-top or from-amount behaviour</t>
        </is>
      </c>
      <c r="H19" s="29" t="inlineStr">
        <is>
          <t>Not Tested</t>
        </is>
      </c>
      <c r="I19" s="29" t="inlineStr">
        <is>
          <t>Functional</t>
        </is>
      </c>
    </row>
    <row r="20" ht="36" customHeight="1">
      <c r="A20" s="28" t="inlineStr">
        <is>
          <t>Fees</t>
        </is>
      </c>
      <c r="B20" s="29" t="inlineStr">
        <is>
          <t>TC-Fees-08</t>
        </is>
      </c>
      <c r="C20" s="28" t="inlineStr">
        <is>
          <t>Exact-Balance Boundary</t>
        </is>
      </c>
      <c r="D20" s="29" t="inlineStr">
        <is>
          <t>High</t>
        </is>
      </c>
      <c r="E20" s="28" t="inlineStr">
        <is>
          <t>A source wallet holding exactly the amount plus the on-top fee</t>
        </is>
      </c>
      <c r="F20" s="28" t="inlineStr">
        <is>
          <t>1. Attempt the transaction</t>
        </is>
      </c>
      <c r="G20" s="28" t="inlineStr">
        <is>
          <t>It succeeds and leaves a zero balance; the boundary is inclusive and not rejected by an off-by-one</t>
        </is>
      </c>
      <c r="H20" s="29" t="inlineStr">
        <is>
          <t>Not Tested</t>
        </is>
      </c>
      <c r="I20" s="29" t="inlineStr">
        <is>
          <t>Negative</t>
        </is>
      </c>
    </row>
    <row r="21" ht="36" customHeight="1">
      <c r="A21" s="28" t="inlineStr">
        <is>
          <t>Metadata</t>
        </is>
      </c>
      <c r="B21" s="29" t="inlineStr">
        <is>
          <t>TC-Meta-01</t>
        </is>
      </c>
      <c r="C21" s="28" t="inlineStr">
        <is>
          <t>swiftCode Is Present in Metadata</t>
        </is>
      </c>
      <c r="D21" s="29" t="inlineStr">
        <is>
          <t>High</t>
        </is>
      </c>
      <c r="E21" s="28" t="inlineStr">
        <is>
          <t>A transaction whose metadata should carry swiftCode</t>
        </is>
      </c>
      <c r="F21" s="28" t="inlineStr">
        <is>
          <t>1. Complete it and inspect the stored metadata</t>
        </is>
      </c>
      <c r="G21" s="28" t="inlineStr">
        <is>
          <t>swiftCode is present and correct</t>
        </is>
      </c>
      <c r="H21" s="29" t="inlineStr">
        <is>
          <t>Not Tested</t>
        </is>
      </c>
      <c r="I21" s="29" t="inlineStr">
        <is>
          <t>Functional</t>
        </is>
      </c>
    </row>
    <row r="22" ht="36" customHeight="1">
      <c r="A22" s="28" t="inlineStr">
        <is>
          <t>Metadata</t>
        </is>
      </c>
      <c r="B22" s="29" t="inlineStr">
        <is>
          <t>TC-Meta-02</t>
        </is>
      </c>
      <c r="C22" s="28" t="inlineStr">
        <is>
          <t>swiftCode Absence Is Handled Without Failure</t>
        </is>
      </c>
      <c r="D22" s="29" t="inlineStr">
        <is>
          <t>Medium</t>
        </is>
      </c>
      <c r="E22" s="28" t="inlineStr">
        <is>
          <t>A transaction where no swiftCode is available</t>
        </is>
      </c>
      <c r="F22" s="28" t="inlineStr">
        <is>
          <t>1. Complete it</t>
        </is>
      </c>
      <c r="G22" s="28" t="inlineStr">
        <is>
          <t>The transaction completes and the absent field is represented consistently rather than causing an error</t>
        </is>
      </c>
      <c r="H22" s="29" t="inlineStr">
        <is>
          <t>Not Tested</t>
        </is>
      </c>
      <c r="I22" s="29" t="inlineStr">
        <is>
          <t>Negative</t>
        </is>
      </c>
    </row>
    <row r="23" ht="36" customHeight="1">
      <c r="A23" s="28" t="inlineStr">
        <is>
          <t>Metadata</t>
        </is>
      </c>
      <c r="B23" s="29" t="inlineStr">
        <is>
          <t>TC-Meta-03</t>
        </is>
      </c>
      <c r="C23" s="28" t="inlineStr">
        <is>
          <t>Beneficiary IBAN and Name Are Populated on AchTransfer</t>
        </is>
      </c>
      <c r="D23" s="29" t="inlineStr">
        <is>
          <t>High</t>
        </is>
      </c>
      <c r="E23" s="28" t="inlineStr">
        <is>
          <t>An ACH transfer with a known beneficiary</t>
        </is>
      </c>
      <c r="F23" s="28" t="inlineStr">
        <is>
          <t>1. Complete it and inspect the AchTransfer record</t>
        </is>
      </c>
      <c r="G23" s="28" t="inlineStr">
        <is>
          <t>Both the beneficiary IBAN and the beneficiary name are populated and match the beneficiary</t>
        </is>
      </c>
      <c r="H23" s="29" t="inlineStr">
        <is>
          <t>Not Tested</t>
        </is>
      </c>
      <c r="I23" s="29" t="inlineStr">
        <is>
          <t>Functional</t>
        </is>
      </c>
    </row>
    <row r="24" ht="36" customHeight="1">
      <c r="A24" s="28" t="inlineStr">
        <is>
          <t>Metadata</t>
        </is>
      </c>
      <c r="B24" s="29" t="inlineStr">
        <is>
          <t>TC-Meta-04</t>
        </is>
      </c>
      <c r="C24" s="28" t="inlineStr">
        <is>
          <t>Beneficiary Fields Match the Downstream ACH File</t>
        </is>
      </c>
      <c r="D24" s="29" t="inlineStr">
        <is>
          <t>High</t>
        </is>
      </c>
      <c r="E24" s="28" t="inlineStr">
        <is>
          <t>An ACH transfer record with populated beneficiary fields</t>
        </is>
      </c>
      <c r="F24" s="28" t="inlineStr">
        <is>
          <t>1. Compare the record against the generated ACH file</t>
        </is>
      </c>
      <c r="G24" s="28" t="inlineStr">
        <is>
          <t>The IBAN and name in the record and in the file agree exactly</t>
        </is>
      </c>
      <c r="H24" s="29" t="inlineStr">
        <is>
          <t>Not Tested</t>
        </is>
      </c>
      <c r="I24" s="29" t="inlineStr">
        <is>
          <t>Edge / Boundary</t>
        </is>
      </c>
    </row>
    <row r="25" ht="36" customHeight="1">
      <c r="A25" s="28" t="inlineStr">
        <is>
          <t>Metadata</t>
        </is>
      </c>
      <c r="B25" s="29" t="inlineStr">
        <is>
          <t>TC-Meta-05</t>
        </is>
      </c>
      <c r="C25" s="28" t="inlineStr">
        <is>
          <t>Arabic Beneficiary Name Is Stored and Rendered Correctly</t>
        </is>
      </c>
      <c r="D25" s="29" t="inlineStr">
        <is>
          <t>Medium</t>
        </is>
      </c>
      <c r="E25" s="28" t="inlineStr">
        <is>
          <t>A beneficiary with an Arabic name</t>
        </is>
      </c>
      <c r="F25" s="28" t="inlineStr">
        <is>
          <t>1. Complete an ACH transfer and inspect the record, the file and every display surface</t>
        </is>
      </c>
      <c r="G25" s="28" t="inlineStr">
        <is>
          <t>The name is stored and rendered without corruption or transliteration anywhere</t>
        </is>
      </c>
      <c r="H25" s="29" t="inlineStr">
        <is>
          <t>Not Tested</t>
        </is>
      </c>
      <c r="I25" s="29" t="inlineStr">
        <is>
          <t>Negative</t>
        </is>
      </c>
    </row>
    <row r="26" ht="36" customHeight="1">
      <c r="A26" s="28" t="inlineStr">
        <is>
          <t>Regression</t>
        </is>
      </c>
      <c r="B26" s="29" t="inlineStr">
        <is>
          <t>TC-Amount-12</t>
        </is>
      </c>
      <c r="C26" s="28" t="inlineStr">
        <is>
          <t>Existing Transactions Are Not Retrospectively Re-Priced</t>
        </is>
      </c>
      <c r="D26" s="29" t="inlineStr">
        <is>
          <t>High</t>
        </is>
      </c>
      <c r="E26" s="28" t="inlineStr">
        <is>
          <t>Transactions completed before the amount-calculation change</t>
        </is>
      </c>
      <c r="F26" s="28" t="inlineStr">
        <is>
          <t>1. Re-read their base transaction and log amounts</t>
        </is>
      </c>
      <c r="G26" s="28" t="inlineStr">
        <is>
          <t>Historical amounts are unchanged; the new rule applies only to new transactions</t>
        </is>
      </c>
      <c r="H26" s="29" t="inlineStr">
        <is>
          <t>Not Tested</t>
        </is>
      </c>
      <c r="I26" s="29" t="inlineStr">
        <is>
          <t>Regression</t>
        </is>
      </c>
    </row>
  </sheetData>
  <autoFilter ref="A1:I26"/>
  <conditionalFormatting sqref="H2:H2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6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Reason</t>
        </is>
      </c>
      <c r="B2" s="29" t="inlineStr">
        <is>
          <t>TC-Reason-01</t>
        </is>
      </c>
      <c r="C2" s="28" t="inlineStr">
        <is>
          <t>Reason Is Persisted Whenever a Transaction Is Left Pending</t>
        </is>
      </c>
      <c r="D2" s="29" t="inlineStr">
        <is>
          <t>High</t>
        </is>
      </c>
      <c r="E2" s="28" t="inlineStr">
        <is>
          <t>A transaction that will be left in a pending state</t>
        </is>
      </c>
      <c r="F2" s="28" t="inlineStr">
        <is>
          <t>1. Drive it to pending
2. Read the reason on the base transaction</t>
        </is>
      </c>
      <c r="G2" s="28" t="inlineStr">
        <is>
          <t>The reason is persisted on the base transaction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Reason</t>
        </is>
      </c>
      <c r="B3" s="29" t="inlineStr">
        <is>
          <t>TC-Reason-02</t>
        </is>
      </c>
      <c r="C3" s="28" t="inlineStr">
        <is>
          <t>Reason Is Persisted for Every Pending Cause</t>
        </is>
      </c>
      <c r="D3" s="29" t="inlineStr">
        <is>
          <t>High</t>
        </is>
      </c>
      <c r="E3" s="28" t="inlineStr">
        <is>
          <t>Several distinct causes that leave a transaction pending</t>
        </is>
      </c>
      <c r="F3" s="28" t="inlineStr">
        <is>
          <t>1. Drive a transaction to pending by each cause in turn
2. Read the reason each time</t>
        </is>
      </c>
      <c r="G3" s="28" t="inlineStr">
        <is>
          <t>Every cause persists a reason and each reason distinguishes its cause; none is left null or a generic placeholder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Reason</t>
        </is>
      </c>
      <c r="B4" s="29" t="inlineStr">
        <is>
          <t>TC-Reason-03</t>
        </is>
      </c>
      <c r="C4" s="28" t="inlineStr">
        <is>
          <t>Reason Survives Through to Settlement or Failure</t>
        </is>
      </c>
      <c r="D4" s="29" t="inlineStr">
        <is>
          <t>High</t>
        </is>
      </c>
      <c r="E4" s="28" t="inlineStr">
        <is>
          <t>A pending transaction that later settles, and another that later fails</t>
        </is>
      </c>
      <c r="F4" s="28" t="inlineStr">
        <is>
          <t>1. Advance each to its terminal state
2. Read the record</t>
        </is>
      </c>
      <c r="G4" s="28" t="inlineStr">
        <is>
          <t>The pending reason remains available for audit after the transaction reaches its terminal state</t>
        </is>
      </c>
      <c r="H4" s="29" t="inlineStr">
        <is>
          <t>Not Tested</t>
        </is>
      </c>
      <c r="I4" s="29" t="inlineStr">
        <is>
          <t>Negative</t>
        </is>
      </c>
    </row>
    <row r="5" ht="36" customHeight="1">
      <c r="A5" s="28" t="inlineStr">
        <is>
          <t>Reason</t>
        </is>
      </c>
      <c r="B5" s="29" t="inlineStr">
        <is>
          <t>TC-Reason-04</t>
        </is>
      </c>
      <c r="C5" s="28" t="inlineStr">
        <is>
          <t>Reason Is Visible to Ops on the Pending Queue</t>
        </is>
      </c>
      <c r="D5" s="29" t="inlineStr">
        <is>
          <t>Medium</t>
        </is>
      </c>
      <c r="E5" s="28" t="inlineStr">
        <is>
          <t>Pending transactions of several causes</t>
        </is>
      </c>
      <c r="F5" s="28" t="inlineStr">
        <is>
          <t>1. Open the Ops pending view</t>
        </is>
      </c>
      <c r="G5" s="28" t="inlineStr">
        <is>
          <t>The reason is displayed per transaction, so the cause is visible without opening the record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Reason</t>
        </is>
      </c>
      <c r="B6" s="29" t="inlineStr">
        <is>
          <t>TC-Reason-05</t>
        </is>
      </c>
      <c r="C6" s="28" t="inlineStr">
        <is>
          <t>Reason Is Consistent With the Transaction Ledger Pending Entry</t>
        </is>
      </c>
      <c r="D6" s="29" t="inlineStr">
        <is>
          <t>High</t>
        </is>
      </c>
      <c r="E6" s="28" t="inlineStr">
        <is>
          <t>A pending POS transaction</t>
        </is>
      </c>
      <c r="F6" s="28" t="inlineStr">
        <is>
          <t>1. Compare the base transaction reason with the transaction ledger pending entry reason</t>
        </is>
      </c>
      <c r="G6" s="28" t="inlineStr">
        <is>
          <t>The two agree; there is no divergence between the base transaction and the ledger view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Rebuild Fix</t>
        </is>
      </c>
      <c r="B7" s="29" t="inlineStr">
        <is>
          <t>TC-RebuildFix-01</t>
        </is>
      </c>
      <c r="C7" s="28" t="inlineStr">
        <is>
          <t>Rebuild Running Balance Completes Without the Reported Failure</t>
        </is>
      </c>
      <c r="D7" s="29" t="inlineStr">
        <is>
          <t>High</t>
        </is>
      </c>
      <c r="E7" s="28" t="inlineStr">
        <is>
          <t>The scenario that previously caused the rebuild to fail</t>
        </is>
      </c>
      <c r="F7" s="28" t="inlineStr">
        <is>
          <t>1. Reproduce the scenario
2. Run the rebuild</t>
        </is>
      </c>
      <c r="G7" s="28" t="inlineStr">
        <is>
          <t>The rebuild completes; the previously reported failure does not recur</t>
        </is>
      </c>
      <c r="H7" s="29" t="inlineStr">
        <is>
          <t>Not Tested</t>
        </is>
      </c>
      <c r="I7" s="29" t="inlineStr">
        <is>
          <t>Negative</t>
        </is>
      </c>
    </row>
    <row r="8" ht="36" customHeight="1">
      <c r="A8" s="28" t="inlineStr">
        <is>
          <t>Rebuild Fix</t>
        </is>
      </c>
      <c r="B8" s="29" t="inlineStr">
        <is>
          <t>TC-RebuildFix-02</t>
        </is>
      </c>
      <c r="C8" s="28" t="inlineStr">
        <is>
          <t>Rebuilt Balances Match the Ledger-Derived Values</t>
        </is>
      </c>
      <c r="D8" s="29" t="inlineStr">
        <is>
          <t>High</t>
        </is>
      </c>
      <c r="E8" s="28" t="inlineStr">
        <is>
          <t>A wallet rebuilt after the fix</t>
        </is>
      </c>
      <c r="F8" s="28" t="inlineStr">
        <is>
          <t>1. Compare the rebuilt balances against a ledger-derived recompute</t>
        </is>
      </c>
      <c r="G8" s="28" t="inlineStr">
        <is>
          <t>The two agree across all four buckets</t>
        </is>
      </c>
      <c r="H8" s="29" t="inlineStr">
        <is>
          <t>Not Tested</t>
        </is>
      </c>
      <c r="I8" s="29" t="inlineStr">
        <is>
          <t>Regression</t>
        </is>
      </c>
    </row>
    <row r="9" ht="36" customHeight="1">
      <c r="A9" s="28" t="inlineStr">
        <is>
          <t>Rebuild Fix</t>
        </is>
      </c>
      <c r="B9" s="29" t="inlineStr">
        <is>
          <t>TC-RebuildFix-03</t>
        </is>
      </c>
      <c r="C9" s="28" t="inlineStr">
        <is>
          <t>Rebuild Is Idempotent After the Fix</t>
        </is>
      </c>
      <c r="D9" s="29" t="inlineStr">
        <is>
          <t>High</t>
        </is>
      </c>
      <c r="E9" s="28" t="inlineStr">
        <is>
          <t>A completed rebuild over an unchanged ledger</t>
        </is>
      </c>
      <c r="F9" s="28" t="inlineStr">
        <is>
          <t>1. Re-run the identical rebuild</t>
        </is>
      </c>
      <c r="G9" s="28" t="inlineStr">
        <is>
          <t>The second run makes no change; the fix did not reintroduce mutation on every execution</t>
        </is>
      </c>
      <c r="H9" s="29" t="inlineStr">
        <is>
          <t>Not Tested</t>
        </is>
      </c>
      <c r="I9" s="29" t="inlineStr">
        <is>
          <t>Integration</t>
        </is>
      </c>
    </row>
    <row r="10" ht="36" customHeight="1">
      <c r="A10" s="28" t="inlineStr">
        <is>
          <t>Rebuild Fix</t>
        </is>
      </c>
      <c r="B10" s="29" t="inlineStr">
        <is>
          <t>TC-RebuildFix-04</t>
        </is>
      </c>
      <c r="C10" s="28" t="inlineStr">
        <is>
          <t>Fix Does Not Alter Entry Ordering</t>
        </is>
      </c>
      <c r="D10" s="29" t="inlineStr">
        <is>
          <t>High</t>
        </is>
      </c>
      <c r="E10" s="28" t="inlineStr">
        <is>
          <t>A wallet with a known statement sequence</t>
        </is>
      </c>
      <c r="F10" s="28" t="inlineStr">
        <is>
          <t>1. Rebuild and compare the entry sequence against the expected order</t>
        </is>
      </c>
      <c r="G10" s="28" t="inlineStr">
        <is>
          <t>Ordering is unchanged by the fix; the sequence is reproducible across runs</t>
        </is>
      </c>
      <c r="H10" s="29" t="inlineStr">
        <is>
          <t>Not Tested</t>
        </is>
      </c>
      <c r="I10" s="29" t="inlineStr">
        <is>
          <t>Regression</t>
        </is>
      </c>
    </row>
    <row r="11" ht="36" customHeight="1">
      <c r="A11" s="28" t="inlineStr">
        <is>
          <t>Rebuild Fix</t>
        </is>
      </c>
      <c r="B11" s="29" t="inlineStr">
        <is>
          <t>TC-RebuildFix-05</t>
        </is>
      </c>
      <c r="C11" s="28" t="inlineStr">
        <is>
          <t>Fix Is Consistent With the Newer Rebuild Design</t>
        </is>
      </c>
      <c r="D11" s="29" t="inlineStr">
        <is>
          <t>Medium</t>
        </is>
      </c>
      <c r="E11" s="28" t="inlineStr">
        <is>
          <t>The EMI-5945 statement rebuild criteria</t>
        </is>
      </c>
      <c r="F11" s="28" t="inlineStr">
        <is>
          <t>1. Compare the fixed behaviour against the archive-then-replay design EMI-5945 defines</t>
        </is>
      </c>
      <c r="G11" s="28" t="inlineStr">
        <is>
          <t>The fix does not contradict the newer design. Any divergence is recorded so the two are reconciled rather than left to drift</t>
        </is>
      </c>
      <c r="H11" s="29" t="inlineStr">
        <is>
          <t>Not Tested</t>
        </is>
      </c>
      <c r="I11" s="29" t="inlineStr">
        <is>
          <t>Integration</t>
        </is>
      </c>
    </row>
  </sheetData>
  <autoFilter ref="A1:I11"/>
  <conditionalFormatting sqref="H2:H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11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OTP Hashing</t>
        </is>
      </c>
      <c r="B2" s="29" t="inlineStr">
        <is>
          <t>TC-Sec-01</t>
        </is>
      </c>
      <c r="C2" s="28" t="inlineStr">
        <is>
          <t>OTP Is Hashed in the Notification Log</t>
        </is>
      </c>
      <c r="D2" s="29" t="inlineStr">
        <is>
          <t>High</t>
        </is>
      </c>
      <c r="E2" s="28" t="inlineStr">
        <is>
          <t>A notification carrying an OTP</t>
        </is>
      </c>
      <c r="F2" s="28" t="inlineStr">
        <is>
          <t>1. Trigger it
2. Read the Notification Log collection in MongoDB</t>
        </is>
      </c>
      <c r="G2" s="28" t="inlineStr">
        <is>
          <t>The OTP is stored hashed; no plain-text OTP is present</t>
        </is>
      </c>
      <c r="H2" s="29" t="inlineStr">
        <is>
          <t>Not Tested</t>
        </is>
      </c>
      <c r="I2" s="29" t="inlineStr">
        <is>
          <t>Security</t>
        </is>
      </c>
    </row>
    <row r="3" ht="36" customHeight="1">
      <c r="A3" s="28" t="inlineStr">
        <is>
          <t>OTP Hashing</t>
        </is>
      </c>
      <c r="B3" s="29" t="inlineStr">
        <is>
          <t>TC-Sec-02</t>
        </is>
      </c>
      <c r="C3" s="28" t="inlineStr">
        <is>
          <t>OTP Is Hashed in the Taqnyat HTTP Log</t>
        </is>
      </c>
      <c r="D3" s="29" t="inlineStr">
        <is>
          <t>High</t>
        </is>
      </c>
      <c r="E3" s="28" t="inlineStr">
        <is>
          <t>A Taqnyat request carrying an OTP</t>
        </is>
      </c>
      <c r="F3" s="28" t="inlineStr">
        <is>
          <t>1. Trigger it
2. Read the HTTP Log collection</t>
        </is>
      </c>
      <c r="G3" s="28" t="inlineStr">
        <is>
          <t>The OTP is stored hashed in the HTTP log</t>
        </is>
      </c>
      <c r="H3" s="29" t="inlineStr">
        <is>
          <t>Not Tested</t>
        </is>
      </c>
      <c r="I3" s="29" t="inlineStr">
        <is>
          <t>Security</t>
        </is>
      </c>
    </row>
    <row r="4" ht="36" customHeight="1">
      <c r="A4" s="28" t="inlineStr">
        <is>
          <t>OTP Hashing</t>
        </is>
      </c>
      <c r="B4" s="29" t="inlineStr">
        <is>
          <t>TC-Sec-03</t>
        </is>
      </c>
      <c r="C4" s="28" t="inlineStr">
        <is>
          <t>Only Taqnyat Stores OTP Data in the HTTP Log</t>
        </is>
      </c>
      <c r="D4" s="29" t="inlineStr">
        <is>
          <t>High</t>
        </is>
      </c>
      <c r="E4" s="28" t="inlineStr">
        <is>
          <t>Traffic across all integrations</t>
        </is>
      </c>
      <c r="F4" s="28" t="inlineStr">
        <is>
          <t>1. Exercise Wathiq, Nafath, Yaqeen, Taqnyat, Lean, MOZN, HyperPay, WS1, WS3 and ANB
2. Search the HTTP Log for OTP-related content per integration</t>
        </is>
      </c>
      <c r="G4" s="28" t="inlineStr">
        <is>
          <t>Only Taqnyat carries OTP-related data, and it is hashed. Any other integration storing OTP data is a finding</t>
        </is>
      </c>
      <c r="H4" s="29" t="inlineStr">
        <is>
          <t>Not Tested</t>
        </is>
      </c>
      <c r="I4" s="29" t="inlineStr">
        <is>
          <t>Security</t>
        </is>
      </c>
    </row>
    <row r="5" ht="36" customHeight="1">
      <c r="A5" s="28" t="inlineStr">
        <is>
          <t>OTP Hashing</t>
        </is>
      </c>
      <c r="B5" s="29" t="inlineStr">
        <is>
          <t>TC-Sec-04</t>
        </is>
      </c>
      <c r="C5" s="28" t="inlineStr">
        <is>
          <t>Login Flow Stores No Plain-Text OTP</t>
        </is>
      </c>
      <c r="D5" s="29" t="inlineStr">
        <is>
          <t>High</t>
        </is>
      </c>
      <c r="E5" s="28" t="inlineStr">
        <is>
          <t>Login with OTP</t>
        </is>
      </c>
      <c r="F5" s="28" t="inlineStr">
        <is>
          <t>1. Complete a login
2. Search both log collections for the OTP value</t>
        </is>
      </c>
      <c r="G5" s="28" t="inlineStr">
        <is>
          <t>No plain-text OTP is persisted anywhere</t>
        </is>
      </c>
      <c r="H5" s="29" t="inlineStr">
        <is>
          <t>Not Tested</t>
        </is>
      </c>
      <c r="I5" s="29" t="inlineStr">
        <is>
          <t>Security</t>
        </is>
      </c>
    </row>
    <row r="6" ht="36" customHeight="1">
      <c r="A6" s="28" t="inlineStr">
        <is>
          <t>OTP Hashing</t>
        </is>
      </c>
      <c r="B6" s="29" t="inlineStr">
        <is>
          <t>TC-Sec-05</t>
        </is>
      </c>
      <c r="C6" s="28" t="inlineStr">
        <is>
          <t>Registration Flow Stores No Plain-Text OTP</t>
        </is>
      </c>
      <c r="D6" s="29" t="inlineStr">
        <is>
          <t>High</t>
        </is>
      </c>
      <c r="E6" s="28" t="inlineStr">
        <is>
          <t>Registration with OTP</t>
        </is>
      </c>
      <c r="F6" s="28" t="inlineStr">
        <is>
          <t>1. Complete a registration
2. Search both log collections</t>
        </is>
      </c>
      <c r="G6" s="28" t="inlineStr">
        <is>
          <t>No plain-text OTP is persisted</t>
        </is>
      </c>
      <c r="H6" s="29" t="inlineStr">
        <is>
          <t>Not Tested</t>
        </is>
      </c>
      <c r="I6" s="29" t="inlineStr">
        <is>
          <t>Security</t>
        </is>
      </c>
    </row>
    <row r="7" ht="36" customHeight="1">
      <c r="A7" s="28" t="inlineStr">
        <is>
          <t>OTP Hashing</t>
        </is>
      </c>
      <c r="B7" s="29" t="inlineStr">
        <is>
          <t>TC-Sec-06</t>
        </is>
      </c>
      <c r="C7" s="28" t="inlineStr">
        <is>
          <t>Top-Up and Bank Transfer Store No Plain-Text OTP</t>
        </is>
      </c>
      <c r="D7" s="29" t="inlineStr">
        <is>
          <t>High</t>
        </is>
      </c>
      <c r="E7" s="28" t="inlineStr">
        <is>
          <t>A top-up and a bank transfer, both OTP-verified</t>
        </is>
      </c>
      <c r="F7" s="28" t="inlineStr">
        <is>
          <t>1. Complete both
2. Search both log collections</t>
        </is>
      </c>
      <c r="G7" s="28" t="inlineStr">
        <is>
          <t>No plain-text OTP is persisted for either</t>
        </is>
      </c>
      <c r="H7" s="29" t="inlineStr">
        <is>
          <t>Not Tested</t>
        </is>
      </c>
      <c r="I7" s="29" t="inlineStr">
        <is>
          <t>Security</t>
        </is>
      </c>
    </row>
    <row r="8" ht="36" customHeight="1">
      <c r="A8" s="28" t="inlineStr">
        <is>
          <t>OTP Hashing</t>
        </is>
      </c>
      <c r="B8" s="29" t="inlineStr">
        <is>
          <t>TC-Sec-07</t>
        </is>
      </c>
      <c r="C8" s="28" t="inlineStr">
        <is>
          <t>Every OTP-Verified Transaction Type Is Covered</t>
        </is>
      </c>
      <c r="D8" s="29" t="inlineStr">
        <is>
          <t>High</t>
        </is>
      </c>
      <c r="E8" s="28" t="inlineStr">
        <is>
          <t>One transaction of each type requiring OTP verification</t>
        </is>
      </c>
      <c r="F8" s="28" t="inlineStr">
        <is>
          <t>1. Complete each
2. Search both log collections</t>
        </is>
      </c>
      <c r="G8" s="28" t="inlineStr">
        <is>
          <t>No transaction type leaves a plain-text OTP in either collection</t>
        </is>
      </c>
      <c r="H8" s="29" t="inlineStr">
        <is>
          <t>Not Tested</t>
        </is>
      </c>
      <c r="I8" s="29" t="inlineStr">
        <is>
          <t>Security</t>
        </is>
      </c>
    </row>
    <row r="9" ht="36" customHeight="1">
      <c r="A9" s="28" t="inlineStr">
        <is>
          <t>OTP Hashing</t>
        </is>
      </c>
      <c r="B9" s="29" t="inlineStr">
        <is>
          <t>TC-Sec-08</t>
        </is>
      </c>
      <c r="C9" s="28" t="inlineStr">
        <is>
          <t>Incoming Transaction Job Stores No Plain-Text OTP</t>
        </is>
      </c>
      <c r="D9" s="29" t="inlineStr">
        <is>
          <t>High</t>
        </is>
      </c>
      <c r="E9" s="28" t="inlineStr">
        <is>
          <t>The incoming transaction job running with OTP-bearing notifications</t>
        </is>
      </c>
      <c r="F9" s="28" t="inlineStr">
        <is>
          <t>1. Let the job run
2. Search both log collections</t>
        </is>
      </c>
      <c r="G9" s="28" t="inlineStr">
        <is>
          <t>No plain-text OTP is persisted by the job path</t>
        </is>
      </c>
      <c r="H9" s="29" t="inlineStr">
        <is>
          <t>Not Tested</t>
        </is>
      </c>
      <c r="I9" s="29" t="inlineStr">
        <is>
          <t>Security</t>
        </is>
      </c>
    </row>
    <row r="10" ht="36" customHeight="1">
      <c r="A10" s="28" t="inlineStr">
        <is>
          <t>OTP Hashing</t>
        </is>
      </c>
      <c r="B10" s="29" t="inlineStr">
        <is>
          <t>TC-Sec-09</t>
        </is>
      </c>
      <c r="C10" s="28" t="inlineStr">
        <is>
          <t>Hash Is Not Trivially Reversible to the OTP</t>
        </is>
      </c>
      <c r="D10" s="29" t="inlineStr">
        <is>
          <t>High</t>
        </is>
      </c>
      <c r="E10" s="28" t="inlineStr">
        <is>
          <t>A hashed OTP in the log</t>
        </is>
      </c>
      <c r="F10" s="28" t="inlineStr">
        <is>
          <t>1. Attempt to recover the OTP from the stored value by direct comparison against the small OTP keyspace</t>
        </is>
      </c>
      <c r="G10" s="28" t="inlineStr">
        <is>
          <t>The hashing approach does not make the short OTP keyspace trivially reversible. If it does, record it as a finding rather than passing the test</t>
        </is>
      </c>
      <c r="H10" s="29" t="inlineStr">
        <is>
          <t>Not Tested</t>
        </is>
      </c>
      <c r="I10" s="29" t="inlineStr">
        <is>
          <t>Security</t>
        </is>
      </c>
    </row>
    <row r="11" ht="36" customHeight="1">
      <c r="A11" s="28" t="inlineStr">
        <is>
          <t>Lean</t>
        </is>
      </c>
      <c r="B11" s="29" t="inlineStr">
        <is>
          <t>TC-Lean-01</t>
        </is>
      </c>
      <c r="C11" s="28" t="inlineStr">
        <is>
          <t>Auth Failure Throws LeanAuthenticationException With Its Code</t>
        </is>
      </c>
      <c r="D11" s="29" t="inlineStr">
        <is>
          <t>High</t>
        </is>
      </c>
      <c r="E11" s="28" t="inlineStr">
        <is>
          <t>Lean access-token call able to fail authentication</t>
        </is>
      </c>
      <c r="F11" s="28" t="inlineStr">
        <is>
          <t>1. Force an auth failure
2. Inspect the exception and the returned error code</t>
        </is>
      </c>
      <c r="G11" s="28" t="inlineStr">
        <is>
          <t>LeanAuthenticationException is thrown and LEAN_AUTHENTICATION_FAILED is returned, not a raw or unhandled error</t>
        </is>
      </c>
      <c r="H11" s="29" t="inlineStr">
        <is>
          <t>Not Tested</t>
        </is>
      </c>
      <c r="I11" s="29" t="inlineStr">
        <is>
          <t>Negative</t>
        </is>
      </c>
    </row>
    <row r="12" ht="36" customHeight="1">
      <c r="A12" s="28" t="inlineStr">
        <is>
          <t>Lean</t>
        </is>
      </c>
      <c r="B12" s="29" t="inlineStr">
        <is>
          <t>TC-Lean-02</t>
        </is>
      </c>
      <c r="C12" s="28" t="inlineStr">
        <is>
          <t>Business Verification Failure Throws LeanVerificationException</t>
        </is>
      </c>
      <c r="D12" s="29" t="inlineStr">
        <is>
          <t>High</t>
        </is>
      </c>
      <c r="E12" s="28" t="inlineStr">
        <is>
          <t>verifyBusinessAccount able to fail</t>
        </is>
      </c>
      <c r="F12" s="28" t="inlineStr">
        <is>
          <t>1. Force a verification failure</t>
        </is>
      </c>
      <c r="G12" s="28" t="inlineStr">
        <is>
          <t>LeanVerificationException is thrown and LEAN_VERIFICATION_FAILED is returned</t>
        </is>
      </c>
      <c r="H12" s="29" t="inlineStr">
        <is>
          <t>Not Tested</t>
        </is>
      </c>
      <c r="I12" s="29" t="inlineStr">
        <is>
          <t>Negative</t>
        </is>
      </c>
    </row>
    <row r="13" ht="36" customHeight="1">
      <c r="A13" s="28" t="inlineStr">
        <is>
          <t>Lean</t>
        </is>
      </c>
      <c r="B13" s="29" t="inlineStr">
        <is>
          <t>TC-Lean-03</t>
        </is>
      </c>
      <c r="C13" s="28" t="inlineStr">
        <is>
          <t>Customer Verification Failure Behaves Identically</t>
        </is>
      </c>
      <c r="D13" s="29" t="inlineStr">
        <is>
          <t>High</t>
        </is>
      </c>
      <c r="E13" s="28" t="inlineStr">
        <is>
          <t>verifyCustomerAccount able to fail</t>
        </is>
      </c>
      <c r="F13" s="28" t="inlineStr">
        <is>
          <t>1. Force a verification failure</t>
        </is>
      </c>
      <c r="G13" s="28" t="inlineStr">
        <is>
          <t>LeanVerificationException is thrown and LEAN_VERIFICATION_FAILED is returned, matching the business path</t>
        </is>
      </c>
      <c r="H13" s="29" t="inlineStr">
        <is>
          <t>Not Tested</t>
        </is>
      </c>
      <c r="I13" s="29" t="inlineStr">
        <is>
          <t>Negative</t>
        </is>
      </c>
    </row>
    <row r="14" ht="36" customHeight="1">
      <c r="A14" s="28" t="inlineStr">
        <is>
          <t>Lean</t>
        </is>
      </c>
      <c r="B14" s="29" t="inlineStr">
        <is>
          <t>TC-Lean-04</t>
        </is>
      </c>
      <c r="C14" s="28" t="inlineStr">
        <is>
          <t>Lean Raw Error Body Is Parsed and Logged</t>
        </is>
      </c>
      <c r="D14" s="29" t="inlineStr">
        <is>
          <t>High</t>
        </is>
      </c>
      <c r="E14" s="28" t="inlineStr">
        <is>
          <t>A verification failure carrying a Lean error body</t>
        </is>
      </c>
      <c r="F14" s="28" t="inlineStr">
        <is>
          <t>1. Force it and inspect the logs</t>
        </is>
      </c>
      <c r="G14" s="28" t="inlineStr">
        <is>
          <t>Lean's raw error response body is parsed and logged, and its message is included in the returned error</t>
        </is>
      </c>
      <c r="H14" s="29" t="inlineStr">
        <is>
          <t>Not Tested</t>
        </is>
      </c>
      <c r="I14" s="29" t="inlineStr">
        <is>
          <t>Integration</t>
        </is>
      </c>
    </row>
    <row r="15" ht="36" customHeight="1">
      <c r="A15" s="28" t="inlineStr">
        <is>
          <t>Lean</t>
        </is>
      </c>
      <c r="B15" s="29" t="inlineStr">
        <is>
          <t>TC-Lean-05</t>
        </is>
      </c>
      <c r="C15" s="28" t="inlineStr">
        <is>
          <t>4xx Fails Fast With No Retry</t>
        </is>
      </c>
      <c r="D15" s="29" t="inlineStr">
        <is>
          <t>High</t>
        </is>
      </c>
      <c r="E15" s="28" t="inlineStr">
        <is>
          <t>Lean returning a 4xx</t>
        </is>
      </c>
      <c r="F15" s="28" t="inlineStr">
        <is>
          <t>1. Force a 4xx
2. Inspect the logs for retry attempts</t>
        </is>
      </c>
      <c r="G15" s="28" t="inlineStr">
        <is>
          <t>The call fails fast with LEAN_VERIFICATION_FAILED and no retry attempt appears in the logs</t>
        </is>
      </c>
      <c r="H15" s="29" t="inlineStr">
        <is>
          <t>Not Tested</t>
        </is>
      </c>
      <c r="I15" s="29" t="inlineStr">
        <is>
          <t>Negative</t>
        </is>
      </c>
    </row>
    <row r="16" ht="36" customHeight="1">
      <c r="A16" s="28" t="inlineStr">
        <is>
          <t>Lean</t>
        </is>
      </c>
      <c r="B16" s="29" t="inlineStr">
        <is>
          <t>TC-Lean-06</t>
        </is>
      </c>
      <c r="C16" s="28" t="inlineStr">
        <is>
          <t>5xx Retries Up to the Configured Maximum</t>
        </is>
      </c>
      <c r="D16" s="29" t="inlineStr">
        <is>
          <t>High</t>
        </is>
      </c>
      <c r="E16" s="28" t="inlineStr">
        <is>
          <t>Lean returning a 5xx</t>
        </is>
      </c>
      <c r="F16" s="28" t="inlineStr">
        <is>
          <t>1. Force repeated 5xx responses
2. Count the attempts</t>
        </is>
      </c>
      <c r="G16" s="28" t="inlineStr">
        <is>
          <t>The call retries up to lean.max.retries (default 3) with the configured delay (default 1000ms), then returns LEAN_VERIFICATION_FAILED</t>
        </is>
      </c>
      <c r="H16" s="29" t="inlineStr">
        <is>
          <t>Not Tested</t>
        </is>
      </c>
      <c r="I16" s="29" t="inlineStr">
        <is>
          <t>Edge / Boundary</t>
        </is>
      </c>
    </row>
    <row r="17" ht="36" customHeight="1">
      <c r="A17" s="28" t="inlineStr">
        <is>
          <t>Lean</t>
        </is>
      </c>
      <c r="B17" s="29" t="inlineStr">
        <is>
          <t>TC-Lean-07</t>
        </is>
      </c>
      <c r="C17" s="28" t="inlineStr">
        <is>
          <t>Timeout Is Retried Like a 5xx</t>
        </is>
      </c>
      <c r="D17" s="29" t="inlineStr">
        <is>
          <t>High</t>
        </is>
      </c>
      <c r="E17" s="28" t="inlineStr">
        <is>
          <t>Lean timing out</t>
        </is>
      </c>
      <c r="F17" s="28" t="inlineStr">
        <is>
          <t>1. Force timeouts
2. Count the attempts</t>
        </is>
      </c>
      <c r="G17" s="28" t="inlineStr">
        <is>
          <t>Timeouts retry up to the configured maximum then return LEAN_VERIFICATION_FAILED</t>
        </is>
      </c>
      <c r="H17" s="29" t="inlineStr">
        <is>
          <t>Not Tested</t>
        </is>
      </c>
      <c r="I17" s="29" t="inlineStr">
        <is>
          <t>Edge / Boundary</t>
        </is>
      </c>
    </row>
    <row r="18" ht="36" customHeight="1">
      <c r="A18" s="28" t="inlineStr">
        <is>
          <t>Lean</t>
        </is>
      </c>
      <c r="B18" s="29" t="inlineStr">
        <is>
          <t>TC-Lean-08</t>
        </is>
      </c>
      <c r="C18" s="28" t="inlineStr">
        <is>
          <t>Unknown JSON Properties Are Ignored</t>
        </is>
      </c>
      <c r="D18" s="29" t="inlineStr">
        <is>
          <t>High</t>
        </is>
      </c>
      <c r="E18" s="28" t="inlineStr">
        <is>
          <t>Lean returning extra or unrecognised fields</t>
        </is>
      </c>
      <c r="F18" s="28" t="inlineStr">
        <is>
          <t>1. Return additional fields on the verification and error responses
2. Observe parsing</t>
        </is>
      </c>
      <c r="G18" s="28" t="inlineStr">
        <is>
          <t>AccountVerificationResponse, Verifications and LeanErrorResponse all ignore unknown properties and parsing succeeds</t>
        </is>
      </c>
      <c r="H18" s="29" t="inlineStr">
        <is>
          <t>Not Tested</t>
        </is>
      </c>
      <c r="I18" s="29" t="inlineStr">
        <is>
          <t>Negative</t>
        </is>
      </c>
    </row>
    <row r="19" ht="36" customHeight="1">
      <c r="A19" s="28" t="inlineStr">
        <is>
          <t>Lean</t>
        </is>
      </c>
      <c r="B19" s="29" t="inlineStr">
        <is>
          <t>TC-Lean-09</t>
        </is>
      </c>
      <c r="C19" s="28" t="inlineStr">
        <is>
          <t>Verifications Carries the matching Field</t>
        </is>
      </c>
      <c r="D19" s="29" t="inlineStr">
        <is>
          <t>Medium</t>
        </is>
      </c>
      <c r="E19" s="28" t="inlineStr">
        <is>
          <t>A successful verification response</t>
        </is>
      </c>
      <c r="F19" s="28" t="inlineStr">
        <is>
          <t>1. Inspect the parsed Verifications object</t>
        </is>
      </c>
      <c r="G19" s="28" t="inlineStr">
        <is>
          <t>The matching field is present and populated</t>
        </is>
      </c>
      <c r="H19" s="29" t="inlineStr">
        <is>
          <t>Not Tested</t>
        </is>
      </c>
      <c r="I19" s="29" t="inlineStr">
        <is>
          <t>Integration</t>
        </is>
      </c>
    </row>
    <row r="20" ht="36" customHeight="1">
      <c r="A20" s="28" t="inlineStr">
        <is>
          <t>Lean</t>
        </is>
      </c>
      <c r="B20" s="29" t="inlineStr">
        <is>
          <t>TC-Lean-10</t>
        </is>
      </c>
      <c r="C20" s="28" t="inlineStr">
        <is>
          <t>Business Verification Happy Path</t>
        </is>
      </c>
      <c r="D20" s="29" t="inlineStr">
        <is>
          <t>High</t>
        </is>
      </c>
      <c r="E20" s="28" t="inlineStr">
        <is>
          <t>A valid business with unifiedNumber, optional crn and iban</t>
        </is>
      </c>
      <c r="F20" s="28" t="inlineStr">
        <is>
          <t>1. Run verification</t>
        </is>
      </c>
      <c r="G20" s="28" t="inlineStr">
        <is>
          <t>Verification succeeds and the result is returned correctly</t>
        </is>
      </c>
      <c r="H20" s="29" t="inlineStr">
        <is>
          <t>Not Tested</t>
        </is>
      </c>
      <c r="I20" s="29" t="inlineStr">
        <is>
          <t>Integration</t>
        </is>
      </c>
    </row>
    <row r="21" ht="36" customHeight="1">
      <c r="A21" s="28" t="inlineStr">
        <is>
          <t>Lean</t>
        </is>
      </c>
      <c r="B21" s="29" t="inlineStr">
        <is>
          <t>TC-Lean-11</t>
        </is>
      </c>
      <c r="C21" s="28" t="inlineStr">
        <is>
          <t>Customer Verification Happy Path</t>
        </is>
      </c>
      <c r="D21" s="29" t="inlineStr">
        <is>
          <t>High</t>
        </is>
      </c>
      <c r="E21" s="28" t="inlineStr">
        <is>
          <t>A valid customer with nationalId and iban</t>
        </is>
      </c>
      <c r="F21" s="28" t="inlineStr">
        <is>
          <t>1. Run verification</t>
        </is>
      </c>
      <c r="G21" s="28" t="inlineStr">
        <is>
          <t>Verification succeeds and the result is returned correctly</t>
        </is>
      </c>
      <c r="H21" s="29" t="inlineStr">
        <is>
          <t>Not Tested</t>
        </is>
      </c>
      <c r="I21" s="29" t="inlineStr">
        <is>
          <t>Integration</t>
        </is>
      </c>
    </row>
    <row r="22" ht="36" customHeight="1">
      <c r="A22" s="28" t="inlineStr">
        <is>
          <t>Lean</t>
        </is>
      </c>
      <c r="B22" s="29" t="inlineStr">
        <is>
          <t>TC-Lean-12</t>
        </is>
      </c>
      <c r="C22" s="28" t="inlineStr">
        <is>
          <t>Both Flows Regression-Checked Across Release Branches</t>
        </is>
      </c>
      <c r="D22" s="29" t="inlineStr">
        <is>
          <t>Medium</t>
        </is>
      </c>
      <c r="E22" s="28" t="inlineStr">
        <is>
          <t>The environments QA covers for the affected release branches</t>
        </is>
      </c>
      <c r="F22" s="28" t="inlineStr">
        <is>
          <t>1. Run both verification flows on each covered environment</t>
        </is>
      </c>
      <c r="G22" s="28" t="inlineStr">
        <is>
          <t>Behaviour is identical on every environment the fix was backported to</t>
        </is>
      </c>
      <c r="H22" s="29" t="inlineStr">
        <is>
          <t>Not Tested</t>
        </is>
      </c>
      <c r="I22" s="29" t="inlineStr">
        <is>
          <t>Integration</t>
        </is>
      </c>
    </row>
    <row r="23" ht="36" customHeight="1">
      <c r="A23" s="28" t="inlineStr">
        <is>
          <t>Remediation</t>
        </is>
      </c>
      <c r="B23" s="29" t="inlineStr">
        <is>
          <t>TC-Sec-10</t>
        </is>
      </c>
      <c r="C23" s="28" t="inlineStr">
        <is>
          <t>Android Security Audit Findings Are Remediated</t>
        </is>
      </c>
      <c r="D23" s="29" t="inlineStr">
        <is>
          <t>High</t>
        </is>
      </c>
      <c r="E23" s="28" t="inlineStr">
        <is>
          <t>The Android security audit finding list</t>
        </is>
      </c>
      <c r="F23" s="28" t="inlineStr">
        <is>
          <t>1. Re-test each finding on the remediated build</t>
        </is>
      </c>
      <c r="G23" s="28" t="inlineStr">
        <is>
          <t>Every finding is closed or has a recorded accepted-risk decision; none is silently left open</t>
        </is>
      </c>
      <c r="H23" s="29" t="inlineStr">
        <is>
          <t>Not Tested</t>
        </is>
      </c>
      <c r="I23" s="29" t="inlineStr">
        <is>
          <t>Security</t>
        </is>
      </c>
    </row>
    <row r="24" ht="36" customHeight="1">
      <c r="A24" s="28" t="inlineStr">
        <is>
          <t>Remediation</t>
        </is>
      </c>
      <c r="B24" s="29" t="inlineStr">
        <is>
          <t>TC-Sec-11</t>
        </is>
      </c>
      <c r="C24" s="28" t="inlineStr">
        <is>
          <t>Remediation Introduced No Functional Regression</t>
        </is>
      </c>
      <c r="D24" s="29" t="inlineStr">
        <is>
          <t>High</t>
        </is>
      </c>
      <c r="E24" s="28" t="inlineStr">
        <is>
          <t>The remediated Android build</t>
        </is>
      </c>
      <c r="F24" s="28" t="inlineStr">
        <is>
          <t>1. Run the core business flows: login, registration, transfer, bill payment, top-up</t>
        </is>
      </c>
      <c r="G24" s="28" t="inlineStr">
        <is>
          <t>All core flows work unchanged after the security remediation</t>
        </is>
      </c>
      <c r="H24" s="29" t="inlineStr">
        <is>
          <t>Not Tested</t>
        </is>
      </c>
      <c r="I24" s="29" t="inlineStr">
        <is>
          <t>Security</t>
        </is>
      </c>
    </row>
  </sheetData>
  <autoFilter ref="A1:I24"/>
  <conditionalFormatting sqref="H2:H2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24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Locale</t>
        </is>
      </c>
      <c r="B2" s="29" t="inlineStr">
        <is>
          <t>TC-Locale-01</t>
        </is>
      </c>
      <c r="C2" s="28" t="inlineStr">
        <is>
          <t>Response Language Follows the Requested Locale</t>
        </is>
      </c>
      <c r="D2" s="29" t="inlineStr">
        <is>
          <t>High</t>
        </is>
      </c>
      <c r="E2" s="28" t="inlineStr">
        <is>
          <t>Endpoints returning user-facing messages</t>
        </is>
      </c>
      <c r="F2" s="28" t="inlineStr">
        <is>
          <t>1. Call a representative set with an Arabic locale, then an English locale</t>
        </is>
      </c>
      <c r="G2" s="28" t="inlineStr">
        <is>
          <t>Each returns messages in the requested language; nothing is pinned to a single hardcoded locale</t>
        </is>
      </c>
      <c r="H2" s="29" t="inlineStr">
        <is>
          <t>Not Tested</t>
        </is>
      </c>
      <c r="I2" s="29" t="inlineStr">
        <is>
          <t>Localisation</t>
        </is>
      </c>
    </row>
    <row r="3" ht="36" customHeight="1">
      <c r="A3" s="28" t="inlineStr">
        <is>
          <t>Locale</t>
        </is>
      </c>
      <c r="B3" s="29" t="inlineStr">
        <is>
          <t>TC-Locale-02</t>
        </is>
      </c>
      <c r="C3" s="28" t="inlineStr">
        <is>
          <t>No Hardcoded Locale Remains in the Audited Paths</t>
        </is>
      </c>
      <c r="D3" s="29" t="inlineStr">
        <is>
          <t>High</t>
        </is>
      </c>
      <c r="E3" s="28" t="inlineStr">
        <is>
          <t>The hardcoded-locale audit list produced by the task</t>
        </is>
      </c>
      <c r="F3" s="28" t="inlineStr">
        <is>
          <t>1. Exercise each listed path in both locales</t>
        </is>
      </c>
      <c r="G3" s="28" t="inlineStr">
        <is>
          <t>Each resolves the locale dynamically; none returns a fixed language regardless of the request</t>
        </is>
      </c>
      <c r="H3" s="29" t="inlineStr">
        <is>
          <t>Not Tested</t>
        </is>
      </c>
      <c r="I3" s="29" t="inlineStr">
        <is>
          <t>Localisation</t>
        </is>
      </c>
    </row>
    <row r="4" ht="36" customHeight="1">
      <c r="A4" s="28" t="inlineStr">
        <is>
          <t>Locale</t>
        </is>
      </c>
      <c r="B4" s="29" t="inlineStr">
        <is>
          <t>TC-Locale-03</t>
        </is>
      </c>
      <c r="C4" s="28" t="inlineStr">
        <is>
          <t>Unsupported or Missing Locale Falls Back Predictably</t>
        </is>
      </c>
      <c r="D4" s="29" t="inlineStr">
        <is>
          <t>Medium</t>
        </is>
      </c>
      <c r="E4" s="28" t="inlineStr">
        <is>
          <t>Endpoints returning user-facing messages</t>
        </is>
      </c>
      <c r="F4" s="28" t="inlineStr">
        <is>
          <t>1. Call with an unsupported locale, then with none at all</t>
        </is>
      </c>
      <c r="G4" s="28" t="inlineStr">
        <is>
          <t>A documented default is applied consistently rather than the response varying by endpoint</t>
        </is>
      </c>
      <c r="H4" s="29" t="inlineStr">
        <is>
          <t>Not Tested</t>
        </is>
      </c>
      <c r="I4" s="29" t="inlineStr">
        <is>
          <t>Negative</t>
        </is>
      </c>
    </row>
    <row r="5" ht="36" customHeight="1">
      <c r="A5" s="28" t="inlineStr">
        <is>
          <t>Locale</t>
        </is>
      </c>
      <c r="B5" s="29" t="inlineStr">
        <is>
          <t>TC-Locale-04</t>
        </is>
      </c>
      <c r="C5" s="28" t="inlineStr">
        <is>
          <t>Locale Is Honoured on Error Responses Too</t>
        </is>
      </c>
      <c r="D5" s="29" t="inlineStr">
        <is>
          <t>High</t>
        </is>
      </c>
      <c r="E5" s="28" t="inlineStr">
        <is>
          <t>An endpoint that returns a validation error</t>
        </is>
      </c>
      <c r="F5" s="28" t="inlineStr">
        <is>
          <t>1. Force the error in each locale</t>
        </is>
      </c>
      <c r="G5" s="28" t="inlineStr">
        <is>
          <t>Error messages follow the requested locale, not only success messages</t>
        </is>
      </c>
      <c r="H5" s="29" t="inlineStr">
        <is>
          <t>Not Tested</t>
        </is>
      </c>
      <c r="I5" s="29" t="inlineStr">
        <is>
          <t>Localisation</t>
        </is>
      </c>
    </row>
    <row r="6" ht="36" customHeight="1">
      <c r="A6" s="28" t="inlineStr">
        <is>
          <t>Messages</t>
        </is>
      </c>
      <c r="B6" s="29" t="inlineStr">
        <is>
          <t>TC-Msg-01</t>
        </is>
      </c>
      <c r="C6" s="28" t="inlineStr">
        <is>
          <t>Every Database-Stored Exception Message Has an Arabic Translation</t>
        </is>
      </c>
      <c r="D6" s="29" t="inlineStr">
        <is>
          <t>High</t>
        </is>
      </c>
      <c r="E6" s="28" t="inlineStr">
        <is>
          <t>The list of exceptions using database-stored messages</t>
        </is>
      </c>
      <c r="F6" s="28" t="inlineStr">
        <is>
          <t>1. Trigger or query each
2. Check the Arabic text</t>
        </is>
      </c>
      <c r="G6" s="28" t="inlineStr">
        <is>
          <t>Every listed message has Arabic coverage; any missing translation is recorded as a finding</t>
        </is>
      </c>
      <c r="H6" s="29" t="inlineStr">
        <is>
          <t>Not Tested</t>
        </is>
      </c>
      <c r="I6" s="29" t="inlineStr">
        <is>
          <t>Negative</t>
        </is>
      </c>
    </row>
    <row r="7" ht="36" customHeight="1">
      <c r="A7" s="28" t="inlineStr">
        <is>
          <t>Messages</t>
        </is>
      </c>
      <c r="B7" s="29" t="inlineStr">
        <is>
          <t>TC-Msg-02</t>
        </is>
      </c>
      <c r="C7" s="28" t="inlineStr">
        <is>
          <t>Every Database-Stored Exception Message Has an English Translation</t>
        </is>
      </c>
      <c r="D7" s="29" t="inlineStr">
        <is>
          <t>High</t>
        </is>
      </c>
      <c r="E7" s="28" t="inlineStr">
        <is>
          <t>The same list</t>
        </is>
      </c>
      <c r="F7" s="28" t="inlineStr">
        <is>
          <t>1. Trigger or query each
2. Check the English text</t>
        </is>
      </c>
      <c r="G7" s="28" t="inlineStr">
        <is>
          <t>Every listed message has English coverage; gaps are recorded</t>
        </is>
      </c>
      <c r="H7" s="29" t="inlineStr">
        <is>
          <t>Not Tested</t>
        </is>
      </c>
      <c r="I7" s="29" t="inlineStr">
        <is>
          <t>Localisation</t>
        </is>
      </c>
    </row>
    <row r="8" ht="36" customHeight="1">
      <c r="A8" s="28" t="inlineStr">
        <is>
          <t>Messages</t>
        </is>
      </c>
      <c r="B8" s="29" t="inlineStr">
        <is>
          <t>TC-Msg-03</t>
        </is>
      </c>
      <c r="C8" s="28" t="inlineStr">
        <is>
          <t>No Message Falls Back to a Raw Key or Code</t>
        </is>
      </c>
      <c r="D8" s="29" t="inlineStr">
        <is>
          <t>High</t>
        </is>
      </c>
      <c r="E8" s="28" t="inlineStr">
        <is>
          <t>All database-stored messages in both locales</t>
        </is>
      </c>
      <c r="F8" s="28" t="inlineStr">
        <is>
          <t>1. Render each in both locales</t>
        </is>
      </c>
      <c r="G8" s="28" t="inlineStr">
        <is>
          <t>No surface shows a raw translation key, an enum name or a bare error code to the user</t>
        </is>
      </c>
      <c r="H8" s="29" t="inlineStr">
        <is>
          <t>Not Tested</t>
        </is>
      </c>
      <c r="I8" s="29" t="inlineStr">
        <is>
          <t>Localisation</t>
        </is>
      </c>
    </row>
    <row r="9" ht="36" customHeight="1">
      <c r="A9" s="28" t="inlineStr">
        <is>
          <t>Messages</t>
        </is>
      </c>
      <c r="B9" s="29" t="inlineStr">
        <is>
          <t>TC-Msg-04</t>
        </is>
      </c>
      <c r="C9" s="28" t="inlineStr">
        <is>
          <t>Message Audit List Is Complete</t>
        </is>
      </c>
      <c r="D9" s="29" t="inlineStr">
        <is>
          <t>Medium</t>
        </is>
      </c>
      <c r="E9" s="28" t="inlineStr">
        <is>
          <t>The produced list of exceptions using database-stored messages</t>
        </is>
      </c>
      <c r="F9" s="28" t="inlineStr">
        <is>
          <t>1. Cross-check the list against the exceptions actually reachable in the product</t>
        </is>
      </c>
      <c r="G9" s="28" t="inlineStr">
        <is>
          <t>The list covers every reachable database-stored message; an incomplete audit is itself a finding</t>
        </is>
      </c>
      <c r="H9" s="29" t="inlineStr">
        <is>
          <t>Not Tested</t>
        </is>
      </c>
      <c r="I9" s="29" t="inlineStr">
        <is>
          <t>Localisation</t>
        </is>
      </c>
    </row>
    <row r="10" ht="36" customHeight="1">
      <c r="A10" s="28" t="inlineStr">
        <is>
          <t>Translations</t>
        </is>
      </c>
      <c r="B10" s="29" t="inlineStr">
        <is>
          <t>TC-Trans-01</t>
        </is>
      </c>
      <c r="C10" s="28" t="inlineStr">
        <is>
          <t>Saudi Banking Language Guidelines Are Applied</t>
        </is>
      </c>
      <c r="D10" s="29" t="inlineStr">
        <is>
          <t>High</t>
        </is>
      </c>
      <c r="E10" s="28" t="inlineStr">
        <is>
          <t>The approved language guidelines</t>
        </is>
      </c>
      <c r="F10" s="28" t="inlineStr">
        <is>
          <t>1. Review the Arabic wording across the main flows against the guidelines</t>
        </is>
      </c>
      <c r="G10" s="28" t="inlineStr">
        <is>
          <t>Wording follows the approved guidelines and reads correctly for the Saudi banking context</t>
        </is>
      </c>
      <c r="H10" s="29" t="inlineStr">
        <is>
          <t>Not Tested</t>
        </is>
      </c>
      <c r="I10" s="29" t="inlineStr">
        <is>
          <t>Localisation</t>
        </is>
      </c>
    </row>
    <row r="11" ht="36" customHeight="1">
      <c r="A11" s="28" t="inlineStr">
        <is>
          <t>Translations</t>
        </is>
      </c>
      <c r="B11" s="29" t="inlineStr">
        <is>
          <t>TC-Trans-02</t>
        </is>
      </c>
      <c r="C11" s="28" t="inlineStr">
        <is>
          <t>Common Terms Are Consistent Across the Application</t>
        </is>
      </c>
      <c r="D11" s="29" t="inlineStr">
        <is>
          <t>High</t>
        </is>
      </c>
      <c r="E11" s="28" t="inlineStr">
        <is>
          <t>A list of recurring terms such as balance, wallet, transfer, commission and VAT</t>
        </is>
      </c>
      <c r="F11" s="28" t="inlineStr">
        <is>
          <t>1. Compare how each term is rendered across every screen that uses it</t>
        </is>
      </c>
      <c r="G11" s="28" t="inlineStr">
        <is>
          <t>Each term is rendered consistently everywhere; the shared common file is the single source for them</t>
        </is>
      </c>
      <c r="H11" s="29" t="inlineStr">
        <is>
          <t>Not Tested</t>
        </is>
      </c>
      <c r="I11" s="29" t="inlineStr">
        <is>
          <t>Localisation</t>
        </is>
      </c>
    </row>
    <row r="12" ht="36" customHeight="1">
      <c r="A12" s="28" t="inlineStr">
        <is>
          <t>Translations</t>
        </is>
      </c>
      <c r="B12" s="29" t="inlineStr">
        <is>
          <t>TC-Trans-03</t>
        </is>
      </c>
      <c r="C12" s="28" t="inlineStr">
        <is>
          <t>Screen-Specific Wording Is Preserved Where Needed</t>
        </is>
      </c>
      <c r="D12" s="29" t="inlineStr">
        <is>
          <t>Medium</t>
        </is>
      </c>
      <c r="E12" s="28" t="inlineStr">
        <is>
          <t>Screens whose wording is deliberately specific</t>
        </is>
      </c>
      <c r="F12" s="28" t="inlineStr">
        <is>
          <t>1. Review those screens against the shared common wording</t>
        </is>
      </c>
      <c r="G12" s="28" t="inlineStr">
        <is>
          <t>Deliberately specific wording is retained rather than flattened into the shared term</t>
        </is>
      </c>
      <c r="H12" s="29" t="inlineStr">
        <is>
          <t>Not Tested</t>
        </is>
      </c>
      <c r="I12" s="29" t="inlineStr">
        <is>
          <t>Localisation</t>
        </is>
      </c>
    </row>
    <row r="13" ht="36" customHeight="1">
      <c r="A13" s="28" t="inlineStr">
        <is>
          <t>Translations</t>
        </is>
      </c>
      <c r="B13" s="29" t="inlineStr">
        <is>
          <t>TC-Trans-04</t>
        </is>
      </c>
      <c r="C13" s="28" t="inlineStr">
        <is>
          <t>No Untranslated String Remains in Arabic</t>
        </is>
      </c>
      <c r="D13" s="29" t="inlineStr">
        <is>
          <t>High</t>
        </is>
      </c>
      <c r="E13" s="28" t="inlineStr">
        <is>
          <t>The Arabic locale</t>
        </is>
      </c>
      <c r="F13" s="28" t="inlineStr">
        <is>
          <t>1. Walk the main flows end to end in Arabic</t>
        </is>
      </c>
      <c r="G13" s="28" t="inlineStr">
        <is>
          <t>No English string, placeholder or raw key appears in the Arabic experience</t>
        </is>
      </c>
      <c r="H13" s="29" t="inlineStr">
        <is>
          <t>Not Tested</t>
        </is>
      </c>
      <c r="I13" s="29" t="inlineStr">
        <is>
          <t>Localisation</t>
        </is>
      </c>
    </row>
    <row r="14" ht="36" customHeight="1">
      <c r="A14" s="28" t="inlineStr">
        <is>
          <t>Translations</t>
        </is>
      </c>
      <c r="B14" s="29" t="inlineStr">
        <is>
          <t>TC-Trans-05</t>
        </is>
      </c>
      <c r="C14" s="28" t="inlineStr">
        <is>
          <t>Right-to-Left Layout Holds With the Updated Wording</t>
        </is>
      </c>
      <c r="D14" s="29" t="inlineStr">
        <is>
          <t>High</t>
        </is>
      </c>
      <c r="E14" s="28" t="inlineStr">
        <is>
          <t>The Arabic locale on Web</t>
        </is>
      </c>
      <c r="F14" s="28" t="inlineStr">
        <is>
          <t>1. Walk the main flows and inspect layout, alignment and numeric rendering</t>
        </is>
      </c>
      <c r="G14" s="28" t="inlineStr">
        <is>
          <t>Layout holds under RTL with the new wording; nothing overflows, truncates or mirrors incorrectly</t>
        </is>
      </c>
      <c r="H14" s="29" t="inlineStr">
        <is>
          <t>Not Tested</t>
        </is>
      </c>
      <c r="I14" s="29" t="inlineStr">
        <is>
          <t>Localisation</t>
        </is>
      </c>
    </row>
    <row r="15" ht="36" customHeight="1">
      <c r="A15" s="28" t="inlineStr">
        <is>
          <t>Translations</t>
        </is>
      </c>
      <c r="B15" s="29" t="inlineStr">
        <is>
          <t>TC-Trans-06</t>
        </is>
      </c>
      <c r="C15" s="28" t="inlineStr">
        <is>
          <t>Longer Translations Do Not Break Layout</t>
        </is>
      </c>
      <c r="D15" s="29" t="inlineStr">
        <is>
          <t>Medium</t>
        </is>
      </c>
      <c r="E15" s="28" t="inlineStr">
        <is>
          <t>Screens whose new wording is materially longer than before</t>
        </is>
      </c>
      <c r="F15" s="28" t="inlineStr">
        <is>
          <t>1. Review those screens at the smallest supported viewport</t>
        </is>
      </c>
      <c r="G15" s="28" t="inlineStr">
        <is>
          <t>Text wraps or truncates gracefully; no control is pushed off screen or overlapped</t>
        </is>
      </c>
      <c r="H15" s="29" t="inlineStr">
        <is>
          <t>Not Tested</t>
        </is>
      </c>
      <c r="I15" s="29" t="inlineStr">
        <is>
          <t>Integration</t>
        </is>
      </c>
    </row>
    <row r="16" ht="36" customHeight="1">
      <c r="A16" s="28" t="inlineStr">
        <is>
          <t>Translations</t>
        </is>
      </c>
      <c r="B16" s="29" t="inlineStr">
        <is>
          <t>TC-Trans-07</t>
        </is>
      </c>
      <c r="C16" s="28" t="inlineStr">
        <is>
          <t>Interpolated Values Render Correctly in Both Locales</t>
        </is>
      </c>
      <c r="D16" s="29" t="inlineStr">
        <is>
          <t>High</t>
        </is>
      </c>
      <c r="E16" s="28" t="inlineStr">
        <is>
          <t>Messages carrying amounts, dates, names and counts</t>
        </is>
      </c>
      <c r="F16" s="28" t="inlineStr">
        <is>
          <t>1. Render each in Arabic and English</t>
        </is>
      </c>
      <c r="G16" s="28" t="inlineStr">
        <is>
          <t>Placeholders are substituted correctly in both, with no reversed or misplaced values under RTL</t>
        </is>
      </c>
      <c r="H16" s="29" t="inlineStr">
        <is>
          <t>Not Tested</t>
        </is>
      </c>
      <c r="I16" s="29" t="inlineStr">
        <is>
          <t>Localisation</t>
        </is>
      </c>
    </row>
  </sheetData>
  <autoFilter ref="A1:I16"/>
  <conditionalFormatting sqref="H2:H1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16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1" t="inlineStr">
        <is>
          <t>Subtopic / Category</t>
        </is>
      </c>
      <c r="B1" s="21" t="inlineStr">
        <is>
          <t>TC ID</t>
        </is>
      </c>
      <c r="C1" s="21" t="inlineStr">
        <is>
          <t>Title</t>
        </is>
      </c>
      <c r="D1" s="21" t="inlineStr">
        <is>
          <t>Priority</t>
        </is>
      </c>
      <c r="E1" s="21" t="inlineStr">
        <is>
          <t>Preconditions</t>
        </is>
      </c>
      <c r="F1" s="21" t="inlineStr">
        <is>
          <t>Steps</t>
        </is>
      </c>
      <c r="G1" s="21" t="inlineStr">
        <is>
          <t>Expected Result</t>
        </is>
      </c>
      <c r="H1" s="21" t="inlineStr">
        <is>
          <t>Status</t>
        </is>
      </c>
      <c r="I1" s="21" t="inlineStr">
        <is>
          <t>Test Type</t>
        </is>
      </c>
    </row>
    <row r="2" ht="36" customHeight="1">
      <c r="A2" s="28" t="inlineStr">
        <is>
          <t>BalanceCard</t>
        </is>
      </c>
      <c r="B2" s="29" t="inlineStr">
        <is>
          <t>TC-App-01</t>
        </is>
      </c>
      <c r="C2" s="28" t="inlineStr">
        <is>
          <t>BalanceCard Owns Balance Fetch and Refresh</t>
        </is>
      </c>
      <c r="D2" s="29" t="inlineStr">
        <is>
          <t>High</t>
        </is>
      </c>
      <c r="E2" s="28" t="inlineStr">
        <is>
          <t>Android customer app on a screen hosting BalanceCard</t>
        </is>
      </c>
      <c r="F2" s="28" t="inlineStr">
        <is>
          <t>1. Open the screen and observe where the balance fetch originates</t>
        </is>
      </c>
      <c r="G2" s="28" t="inlineStr">
        <is>
          <t>BalanceCard owns the fetch and refresh state; the host screen does not fetch the balance itself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BalanceCard</t>
        </is>
      </c>
      <c r="B3" s="29" t="inlineStr">
        <is>
          <t>TC-App-02</t>
        </is>
      </c>
      <c r="C3" s="28" t="inlineStr">
        <is>
          <t>Redundant Home Balance Fetch Is Removed</t>
        </is>
      </c>
      <c r="D3" s="29" t="inlineStr">
        <is>
          <t>High</t>
        </is>
      </c>
      <c r="E3" s="28" t="inlineStr">
        <is>
          <t>Android customer Home screen</t>
        </is>
      </c>
      <c r="F3" s="28" t="inlineStr">
        <is>
          <t>1. Open Home and capture the network calls</t>
        </is>
      </c>
      <c r="G3" s="28" t="inlineStr">
        <is>
          <t>The balance is fetched once by BalanceCard; the previous duplicate Home fetch no longer occurs</t>
        </is>
      </c>
      <c r="H3" s="29" t="inlineStr">
        <is>
          <t>Not Tested</t>
        </is>
      </c>
      <c r="I3" s="29" t="inlineStr">
        <is>
          <t>Integration</t>
        </is>
      </c>
    </row>
    <row r="4" ht="36" customHeight="1">
      <c r="A4" s="28" t="inlineStr">
        <is>
          <t>BalanceCard</t>
        </is>
      </c>
      <c r="B4" s="29" t="inlineStr">
        <is>
          <t>TC-App-03</t>
        </is>
      </c>
      <c r="C4" s="28" t="inlineStr">
        <is>
          <t>Balance Refreshes on Return After a Successful Payment</t>
        </is>
      </c>
      <c r="D4" s="29" t="inlineStr">
        <is>
          <t>High</t>
        </is>
      </c>
      <c r="E4" s="28" t="inlineStr">
        <is>
          <t>A supported payment flow on Android customer</t>
        </is>
      </c>
      <c r="F4" s="28" t="inlineStr">
        <is>
          <t>1. Complete a payment successfully and return to the host screen</t>
        </is>
      </c>
      <c r="G4" s="28" t="inlineStr">
        <is>
          <t>The balance refreshes automatically and reflects the completed payment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BalanceCard</t>
        </is>
      </c>
      <c r="B5" s="29" t="inlineStr">
        <is>
          <t>TC-App-04</t>
        </is>
      </c>
      <c r="C5" s="28" t="inlineStr">
        <is>
          <t>Balance Refreshes on Return After a Failed or Cancelled Flow</t>
        </is>
      </c>
      <c r="D5" s="29" t="inlineStr">
        <is>
          <t>High</t>
        </is>
      </c>
      <c r="E5" s="28" t="inlineStr">
        <is>
          <t>A supported payment or transfer flow</t>
        </is>
      </c>
      <c r="F5" s="28" t="inlineStr">
        <is>
          <t>1. Fail a transaction and return
2. Cancel another and return</t>
        </is>
      </c>
      <c r="G5" s="28" t="inlineStr">
        <is>
          <t>The balance refreshes on resume in both cases and shows the correct unchanged value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BalanceCard</t>
        </is>
      </c>
      <c r="B6" s="29" t="inlineStr">
        <is>
          <t>TC-App-05</t>
        </is>
      </c>
      <c r="C6" s="28" t="inlineStr">
        <is>
          <t>Pull-to-Refresh Is Driven Through the Host Screen</t>
        </is>
      </c>
      <c r="D6" s="29" t="inlineStr">
        <is>
          <t>Medium</t>
        </is>
      </c>
      <c r="E6" s="28" t="inlineStr">
        <is>
          <t>A host screen with pull-to-refresh</t>
        </is>
      </c>
      <c r="F6" s="28" t="inlineStr">
        <is>
          <t>1. Pull to refresh</t>
        </is>
      </c>
      <c r="G6" s="28" t="inlineStr">
        <is>
          <t>The host screen triggers the refresh through its UI state and actions and BalanceCard performs it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BalanceCard</t>
        </is>
      </c>
      <c r="B7" s="29" t="inlineStr">
        <is>
          <t>TC-App-06</t>
        </is>
      </c>
      <c r="C7" s="28" t="inlineStr">
        <is>
          <t>Shimmer Is Shown While Loading and Refreshing</t>
        </is>
      </c>
      <c r="D7" s="29" t="inlineStr">
        <is>
          <t>Medium</t>
        </is>
      </c>
      <c r="E7" s="28" t="inlineStr">
        <is>
          <t>A slow balance response</t>
        </is>
      </c>
      <c r="F7" s="28" t="inlineStr">
        <is>
          <t>1. Open the screen and pull to refresh</t>
        </is>
      </c>
      <c r="G7" s="28" t="inlineStr">
        <is>
          <t>A shimmer is displayed during both the initial load and the refresh, and is replaced by the value on completion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BalanceCard</t>
        </is>
      </c>
      <c r="B8" s="29" t="inlineStr">
        <is>
          <t>TC-App-07</t>
        </is>
      </c>
      <c r="C8" s="28" t="inlineStr">
        <is>
          <t>Balance Fetch Failure Is Handled Without a Blank Card</t>
        </is>
      </c>
      <c r="D8" s="29" t="inlineStr">
        <is>
          <t>High</t>
        </is>
      </c>
      <c r="E8" s="28" t="inlineStr">
        <is>
          <t>A failing balance endpoint</t>
        </is>
      </c>
      <c r="F8" s="28" t="inlineStr">
        <is>
          <t>1. Open the screen</t>
        </is>
      </c>
      <c r="G8" s="28" t="inlineStr">
        <is>
          <t>A controlled error or retry state is shown rather than a blank card or an indefinite shimmer</t>
        </is>
      </c>
      <c r="H8" s="29" t="inlineStr">
        <is>
          <t>Not Tested</t>
        </is>
      </c>
      <c r="I8" s="29" t="inlineStr">
        <is>
          <t>Negative</t>
        </is>
      </c>
    </row>
    <row r="9" ht="36" customHeight="1">
      <c r="A9" s="28" t="inlineStr">
        <is>
          <t>Registration</t>
        </is>
      </c>
      <c r="B9" s="29" t="inlineStr">
        <is>
          <t>TC-App-08</t>
        </is>
      </c>
      <c r="C9" s="28" t="inlineStr">
        <is>
          <t>iOS Customer Registration on the Migrated Approach</t>
        </is>
      </c>
      <c r="D9" s="29" t="inlineStr">
        <is>
          <t>High</t>
        </is>
      </c>
      <c r="E9" s="28" t="inlineStr">
        <is>
          <t>iOS customer app</t>
        </is>
      </c>
      <c r="F9" s="28" t="inlineStr">
        <is>
          <t>1. Complete a full registration end to end</t>
        </is>
      </c>
      <c r="G9" s="28" t="inlineStr">
        <is>
          <t>Registration completes on the new migrated approach with no step falling back to the old flow</t>
        </is>
      </c>
      <c r="H9" s="29" t="inlineStr">
        <is>
          <t>Not Tested</t>
        </is>
      </c>
      <c r="I9" s="29" t="inlineStr">
        <is>
          <t>Functional</t>
        </is>
      </c>
    </row>
    <row r="10" ht="36" customHeight="1">
      <c r="A10" s="28" t="inlineStr">
        <is>
          <t>Registration</t>
        </is>
      </c>
      <c r="B10" s="29" t="inlineStr">
        <is>
          <t>TC-App-09</t>
        </is>
      </c>
      <c r="C10" s="28" t="inlineStr">
        <is>
          <t>Android Customer Registration on the Migrated Approach</t>
        </is>
      </c>
      <c r="D10" s="29" t="inlineStr">
        <is>
          <t>High</t>
        </is>
      </c>
      <c r="E10" s="28" t="inlineStr">
        <is>
          <t>Android customer app</t>
        </is>
      </c>
      <c r="F10" s="28" t="inlineStr">
        <is>
          <t>1. Complete a full registration end to end</t>
        </is>
      </c>
      <c r="G10" s="28" t="inlineStr">
        <is>
          <t>Registration completes on the new migrated approach with no step falling back to the old flow</t>
        </is>
      </c>
      <c r="H10" s="29" t="inlineStr">
        <is>
          <t>Not Tested</t>
        </is>
      </c>
      <c r="I10" s="29" t="inlineStr">
        <is>
          <t>Functional</t>
        </is>
      </c>
    </row>
    <row r="11" ht="36" customHeight="1">
      <c r="A11" s="28" t="inlineStr">
        <is>
          <t>Registration</t>
        </is>
      </c>
      <c r="B11" s="29" t="inlineStr">
        <is>
          <t>TC-App-10</t>
        </is>
      </c>
      <c r="C11" s="28" t="inlineStr">
        <is>
          <t>Migrated Registration Handles Interruption and Resume</t>
        </is>
      </c>
      <c r="D11" s="29" t="inlineStr">
        <is>
          <t>High</t>
        </is>
      </c>
      <c r="E11" s="28" t="inlineStr">
        <is>
          <t>A registration in progress on each platform</t>
        </is>
      </c>
      <c r="F11" s="28" t="inlineStr">
        <is>
          <t>1. Background the app mid-flow and return
2. Lose connectivity mid-step and restore it</t>
        </is>
      </c>
      <c r="G11" s="28" t="inlineStr">
        <is>
          <t>The flow resumes correctly on both platforms without data loss or an unexplained restart</t>
        </is>
      </c>
      <c r="H11" s="29" t="inlineStr">
        <is>
          <t>Not Tested</t>
        </is>
      </c>
      <c r="I11" s="29" t="inlineStr">
        <is>
          <t>Integration</t>
        </is>
      </c>
    </row>
    <row r="12" ht="36" customHeight="1">
      <c r="A12" s="28" t="inlineStr">
        <is>
          <t>Registration</t>
        </is>
      </c>
      <c r="B12" s="29" t="inlineStr">
        <is>
          <t>TC-App-11</t>
        </is>
      </c>
      <c r="C12" s="28" t="inlineStr">
        <is>
          <t>profileCode Replaces firstTimePassword in Client Handling</t>
        </is>
      </c>
      <c r="D12" s="29" t="inlineStr">
        <is>
          <t>High</t>
        </is>
      </c>
      <c r="E12" s="28" t="inlineStr">
        <is>
          <t>A registration returning the profile-code value</t>
        </is>
      </c>
      <c r="F12" s="28" t="inlineStr">
        <is>
          <t>1. Inspect the parsed response and any client storage</t>
        </is>
      </c>
      <c r="G12" s="28" t="inlineStr">
        <is>
          <t>The field is consumed as profileCode; no client still reads or writes firstTimePassword for this value, and the behaviour is unchanged</t>
        </is>
      </c>
      <c r="H12" s="29" t="inlineStr">
        <is>
          <t>Not Tested</t>
        </is>
      </c>
      <c r="I12" s="29" t="inlineStr">
        <is>
          <t>Functional</t>
        </is>
      </c>
    </row>
    <row r="13" ht="36" customHeight="1">
      <c r="A13" s="28" t="inlineStr">
        <is>
          <t>Fingerprint</t>
        </is>
      </c>
      <c r="B13" s="29" t="inlineStr">
        <is>
          <t>TC-App-12</t>
        </is>
      </c>
      <c r="C13" s="28" t="inlineStr">
        <is>
          <t>Fingerprint Uses the Configured Timezone</t>
        </is>
      </c>
      <c r="D13" s="29" t="inlineStr">
        <is>
          <t>High</t>
        </is>
      </c>
      <c r="E13" s="28" t="inlineStr">
        <is>
          <t>Fingerprint timezone configuration accessible</t>
        </is>
      </c>
      <c r="F13" s="28" t="inlineStr">
        <is>
          <t>1. Set a timezone in configuration
2. Generate fingerprints and inspect their timestamps</t>
        </is>
      </c>
      <c r="G13" s="28" t="inlineStr">
        <is>
          <t>Fingerprint processing uses the configured timezone; no fixed timezone remains</t>
        </is>
      </c>
      <c r="H13" s="29" t="inlineStr">
        <is>
          <t>Not Tested</t>
        </is>
      </c>
      <c r="I13" s="29" t="inlineStr">
        <is>
          <t>Configuration</t>
        </is>
      </c>
    </row>
    <row r="14" ht="36" customHeight="1">
      <c r="A14" s="28" t="inlineStr">
        <is>
          <t>Fingerprint</t>
        </is>
      </c>
      <c r="B14" s="29" t="inlineStr">
        <is>
          <t>TC-App-13</t>
        </is>
      </c>
      <c r="C14" s="28" t="inlineStr">
        <is>
          <t>Changing the Configured Timezone Takes Effect</t>
        </is>
      </c>
      <c r="D14" s="29" t="inlineStr">
        <is>
          <t>Medium</t>
        </is>
      </c>
      <c r="E14" s="28" t="inlineStr">
        <is>
          <t>An active fingerprint configuration</t>
        </is>
      </c>
      <c r="F14" s="28" t="inlineStr">
        <is>
          <t>1. Change the configured timezone and regenerate</t>
        </is>
      </c>
      <c r="G14" s="28" t="inlineStr">
        <is>
          <t>The new timezone is applied without a code change</t>
        </is>
      </c>
      <c r="H14" s="29" t="inlineStr">
        <is>
          <t>Not Tested</t>
        </is>
      </c>
      <c r="I14" s="29" t="inlineStr">
        <is>
          <t>Configuration</t>
        </is>
      </c>
    </row>
    <row r="15" ht="36" customHeight="1">
      <c r="A15" s="28" t="inlineStr">
        <is>
          <t>Platform</t>
        </is>
      </c>
      <c r="B15" s="29" t="inlineStr">
        <is>
          <t>TC-App-14</t>
        </is>
      </c>
      <c r="C15" s="28" t="inlineStr">
        <is>
          <t>Android SDK 37 Upgrade Introduces No Functional Regression</t>
        </is>
      </c>
      <c r="D15" s="29" t="inlineStr">
        <is>
          <t>High</t>
        </is>
      </c>
      <c r="E15" s="28" t="inlineStr">
        <is>
          <t>The Android build on the upgraded compile and target SDK</t>
        </is>
      </c>
      <c r="F15" s="28" t="inlineStr">
        <is>
          <t>1. Run the core customer flows: login, registration, balance, transfer, payment, notifications
2. Check runtime permissions and background behaviour on a recent Android version</t>
        </is>
      </c>
      <c r="G15" s="28" t="inlineStr">
        <is>
          <t>All core flows work; permission prompts and background behaviour comply with the newer SDK requirements and nothing regresses</t>
        </is>
      </c>
      <c r="H15" s="29" t="inlineStr">
        <is>
          <t>Not Tested</t>
        </is>
      </c>
      <c r="I15" s="29" t="inlineStr">
        <is>
          <t>Cross-Platform</t>
        </is>
      </c>
    </row>
    <row r="16" ht="36" customHeight="1">
      <c r="A16" s="28" t="inlineStr">
        <is>
          <t>Platform</t>
        </is>
      </c>
      <c r="B16" s="29" t="inlineStr">
        <is>
          <t>TC-App-15</t>
        </is>
      </c>
      <c r="C16" s="28" t="inlineStr">
        <is>
          <t>Design Enhancements Introduce No Functional Regression - iOS</t>
        </is>
      </c>
      <c r="D16" s="29" t="inlineStr">
        <is>
          <t>Medium</t>
        </is>
      </c>
      <c r="E16" s="28" t="inlineStr">
        <is>
          <t>The iOS business build carrying the design alignment changes</t>
        </is>
      </c>
      <c r="F16" s="28" t="inlineStr">
        <is>
          <t>1. Walk the affected screens and run their primary actions</t>
        </is>
      </c>
      <c r="G16" s="28" t="inlineStr">
        <is>
          <t>Visual alignment is applied and every primary action still works; no control is lost or made unreachable</t>
        </is>
      </c>
      <c r="H16" s="29" t="inlineStr">
        <is>
          <t>Not Tested</t>
        </is>
      </c>
      <c r="I16" s="29" t="inlineStr">
        <is>
          <t>Cross-Platform</t>
        </is>
      </c>
    </row>
    <row r="17" ht="36" customHeight="1">
      <c r="A17" s="28" t="inlineStr">
        <is>
          <t>Platform</t>
        </is>
      </c>
      <c r="B17" s="29" t="inlineStr">
        <is>
          <t>TC-App-16</t>
        </is>
      </c>
      <c r="C17" s="28" t="inlineStr">
        <is>
          <t>Design Enhancements Introduce No Functional Regression - Android</t>
        </is>
      </c>
      <c r="D17" s="29" t="inlineStr">
        <is>
          <t>Medium</t>
        </is>
      </c>
      <c r="E17" s="28" t="inlineStr">
        <is>
          <t>The Android business build carrying the design alignment changes</t>
        </is>
      </c>
      <c r="F17" s="28" t="inlineStr">
        <is>
          <t>1. Walk the affected screens and run their primary actions</t>
        </is>
      </c>
      <c r="G17" s="28" t="inlineStr">
        <is>
          <t>Visual alignment is applied and every primary action still works; no control is lost or made unreachable</t>
        </is>
      </c>
      <c r="H17" s="29" t="inlineStr">
        <is>
          <t>Not Tested</t>
        </is>
      </c>
      <c r="I17" s="29" t="inlineStr">
        <is>
          <t>Cross-Platform</t>
        </is>
      </c>
    </row>
    <row r="18" ht="36" customHeight="1">
      <c r="A18" s="28" t="inlineStr">
        <is>
          <t>Platform</t>
        </is>
      </c>
      <c r="B18" s="29" t="inlineStr">
        <is>
          <t>TC-App-17</t>
        </is>
      </c>
      <c r="C18" s="28" t="inlineStr">
        <is>
          <t>Design Alignment Is Consistent Between iOS and Android</t>
        </is>
      </c>
      <c r="D18" s="29" t="inlineStr">
        <is>
          <t>Medium</t>
        </is>
      </c>
      <c r="E18" s="28" t="inlineStr">
        <is>
          <t>Both business builds</t>
        </is>
      </c>
      <c r="F18" s="28" t="inlineStr">
        <is>
          <t>1. Compare the affected screens side by side</t>
        </is>
      </c>
      <c r="G18" s="28" t="inlineStr">
        <is>
          <t>The two platforms align with the intended design and with each other; neither diverges into its own layout</t>
        </is>
      </c>
      <c r="H18" s="29" t="inlineStr">
        <is>
          <t>Not Tested</t>
        </is>
      </c>
      <c r="I18" s="29" t="inlineStr">
        <is>
          <t>Cross-Platform</t>
        </is>
      </c>
    </row>
  </sheetData>
  <autoFilter ref="A1:I18"/>
  <conditionalFormatting sqref="H2:H1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18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3" customWidth="1" min="3" max="3"/>
    <col width="74" customWidth="1" min="4" max="4"/>
    <col width="66" customWidth="1" min="5" max="5"/>
  </cols>
  <sheetData>
    <row r="1">
      <c r="A1" s="5" t="inlineStr">
        <is>
          <t>Ticket</t>
        </is>
      </c>
      <c r="B1" s="5" t="inlineStr">
        <is>
          <t>Summary</t>
        </is>
      </c>
      <c r="C1" s="5" t="inlineStr">
        <is>
          <t>Jira Status</t>
        </is>
      </c>
      <c r="D1" s="5" t="inlineStr">
        <is>
          <t>Why No Manual Cases</t>
        </is>
      </c>
      <c r="E1" s="5" t="inlineStr">
        <is>
          <t>How It Is Covered Instead</t>
        </is>
      </c>
    </row>
    <row r="2">
      <c r="A2" s="16" t="inlineStr">
        <is>
          <t>EMI-5909</t>
        </is>
      </c>
      <c r="B2" s="17" t="inlineStr">
        <is>
          <t>BE - Deploy release 6.4.0 to UAT</t>
        </is>
      </c>
      <c r="C2" s="16" t="inlineStr">
        <is>
          <t>Done</t>
        </is>
      </c>
      <c r="D2" s="16" t="inlineStr">
        <is>
          <t>Deployment activity, not a behaviour change. No manual test cases apply.</t>
        </is>
      </c>
      <c r="E2" s="16" t="inlineStr">
        <is>
          <t>Covered indirectly: the release regression pack for 6.4.0 is what validates the deployed build.</t>
        </is>
      </c>
    </row>
    <row r="3">
      <c r="A3" s="16" t="inlineStr">
        <is>
          <t>EMI-5851</t>
        </is>
      </c>
      <c r="B3" s="17" t="inlineStr">
        <is>
          <t>FE - IOS - Business - Design enhancements and alignment</t>
        </is>
      </c>
      <c r="C3" s="16" t="inlineStr">
        <is>
          <t>To Do</t>
        </is>
      </c>
      <c r="D3" s="16" t="inlineStr">
        <is>
          <t>Visual alignment work with no acceptance criteria describing behaviour.</t>
        </is>
      </c>
      <c r="E3" s="16" t="inlineStr">
        <is>
          <t>Regression only - TC-App-15 and TC-App-17 assert no functional loss.</t>
        </is>
      </c>
    </row>
    <row r="4">
      <c r="A4" s="16" t="inlineStr">
        <is>
          <t>EMI-5852</t>
        </is>
      </c>
      <c r="B4" s="17" t="inlineStr">
        <is>
          <t>FE - AND - Business - Design enhancements and alignment</t>
        </is>
      </c>
      <c r="C4" s="16" t="inlineStr">
        <is>
          <t>To Do</t>
        </is>
      </c>
      <c r="D4" s="16" t="inlineStr">
        <is>
          <t>Visual alignment work with no acceptance criteria describing behaviour.</t>
        </is>
      </c>
      <c r="E4" s="16" t="inlineStr">
        <is>
          <t>Regression only - TC-App-16 and TC-App-17 assert no functional loss.</t>
        </is>
      </c>
    </row>
    <row r="5">
      <c r="A5" s="16" t="inlineStr">
        <is>
          <t>EMI-5963</t>
        </is>
      </c>
      <c r="B5" s="17" t="inlineStr">
        <is>
          <t>FE - AND - Customer - Upgrade compile and target SDK to 37</t>
        </is>
      </c>
      <c r="C5" s="16" t="inlineStr">
        <is>
          <t>Done</t>
        </is>
      </c>
      <c r="D5" s="16" t="inlineStr">
        <is>
          <t>Build-toolchain change with no user-facing behaviour of its own.</t>
        </is>
      </c>
      <c r="E5" s="16" t="inlineStr">
        <is>
          <t>Regression only - TC-App-14 covers the functional and permission surface.</t>
        </is>
      </c>
    </row>
    <row r="6">
      <c r="A6" s="16" t="inlineStr">
        <is>
          <t>EMI-5834</t>
        </is>
      </c>
      <c r="B6" s="17" t="inlineStr">
        <is>
          <t>BE - Redesign and implement Roles and Groups module across backend</t>
        </is>
      </c>
      <c r="C6" s="16" t="inlineStr">
        <is>
          <t>Done</t>
        </is>
      </c>
      <c r="D6" s="16" t="inlineStr">
        <is>
          <t>Acceptance criteria are process steps (review, define, implement, document) rather than testable behaviour.</t>
        </is>
      </c>
      <c r="E6" s="16" t="inlineStr">
        <is>
          <t>Behaviour is covered by the RBAC sheet, which tests the resulting APIs and scoping.</t>
        </is>
      </c>
    </row>
    <row r="7">
      <c r="A7" s="16" t="inlineStr">
        <is>
          <t>EMI-5831</t>
        </is>
      </c>
      <c r="B7" s="17" t="inlineStr">
        <is>
          <t>BE - Audit backend locale handling for dynamic locale resolution</t>
        </is>
      </c>
      <c r="C7" s="16" t="inlineStr">
        <is>
          <t>Done</t>
        </is>
      </c>
      <c r="D7" s="16" t="inlineStr">
        <is>
          <t>The deliverable is an audit list plus a code change.</t>
        </is>
      </c>
      <c r="E7" s="16" t="inlineStr">
        <is>
          <t>Behaviour is covered by the Localisation sheet; TC-Locale-02 tests against the audit list the task produced.</t>
        </is>
      </c>
    </row>
    <row r="8">
      <c r="A8" s="16" t="inlineStr">
        <is>
          <t>EMI-5833</t>
        </is>
      </c>
      <c r="B8" s="17" t="inlineStr">
        <is>
          <t>BE - Audit database-stored exception messages for AR/EN coverage</t>
        </is>
      </c>
      <c r="C8" s="16" t="inlineStr">
        <is>
          <t>Done</t>
        </is>
      </c>
      <c r="D8" s="16" t="inlineStr">
        <is>
          <t>The deliverable is an audit list of messages and missing translations.</t>
        </is>
      </c>
      <c r="E8" s="16" t="inlineStr">
        <is>
          <t>Behaviour is covered by the Localisation sheet; TC-Msg-04 checks the list itself is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2026-09-07T20:23:39Z</dcterms:created>
  <dcterms:modified xmlns:dcterms="http://purl.org/dc/terms/" xmlns:xsi="http://www.w3.org/2001/XMLSchema-instance" xsi:type="dcterms:W3CDTF">2026-09-08T06:26:41Z</dcterms:modified>
</cp:coreProperties>
</file>