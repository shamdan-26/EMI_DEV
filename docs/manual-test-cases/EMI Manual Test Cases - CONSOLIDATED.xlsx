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Test Cases" sheetId="2" state="visible" r:id="rId2"/>
  </sheets>
  <definedNames>
    <definedName name="_xlnm._FilterDatabase" localSheetId="1" hidden="1">'All Test Cases'!$A$1:$K$1038</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FFFFFFFF"/>
      <sz val="10"/>
    </font>
    <font>
      <name val="Arial"/>
      <b val="1"/>
      <sz val="9"/>
    </font>
    <font>
      <name val="Arial"/>
      <color rgb="FF000000"/>
      <sz val="9"/>
    </font>
    <font>
      <name val="Arial"/>
      <b val="1"/>
      <color rgb="FF1F4E78"/>
      <sz val="13"/>
    </font>
    <font>
      <name val="Arial"/>
      <b val="1"/>
      <sz val="10"/>
    </font>
  </fonts>
  <fills count="5">
    <fill>
      <patternFill/>
    </fill>
    <fill>
      <patternFill patternType="gray125"/>
    </fill>
    <fill>
      <patternFill patternType="solid">
        <fgColor rgb="FF1F4E78"/>
      </patternFill>
    </fill>
    <fill>
      <patternFill patternType="solid">
        <fgColor rgb="FFD9E2F3"/>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center" wrapText="1"/>
    </xf>
    <xf numFmtId="0" fontId="3" fillId="0" borderId="1" applyAlignment="1" pivotButton="0" quotePrefix="0" xfId="0">
      <alignment vertical="center" wrapText="1"/>
    </xf>
    <xf numFmtId="0" fontId="4" fillId="0" borderId="0" pivotButton="0" quotePrefix="0" xfId="0"/>
    <xf numFmtId="0" fontId="1" fillId="2" borderId="1" applyAlignment="1" pivotButton="0" quotePrefix="0" xfId="0">
      <alignment horizontal="center" vertical="center" wrapText="1"/>
    </xf>
    <xf numFmtId="3" fontId="3" fillId="0" borderId="1" applyAlignment="1" pivotButton="0" quotePrefix="0" xfId="0">
      <alignment horizontal="center" vertical="center"/>
    </xf>
    <xf numFmtId="164" fontId="3" fillId="0" borderId="1" applyAlignment="1" pivotButton="0" quotePrefix="0" xfId="0">
      <alignment horizontal="center" vertical="center"/>
    </xf>
    <xf numFmtId="0" fontId="5" fillId="3" borderId="1" applyAlignment="1" pivotButton="0" quotePrefix="0" xfId="0">
      <alignment horizontal="left" vertical="center"/>
    </xf>
    <xf numFmtId="3" fontId="5" fillId="3" borderId="1" applyAlignment="1" pivotButton="0" quotePrefix="0" xfId="0">
      <alignment horizontal="center" vertical="center"/>
    </xf>
    <xf numFmtId="164" fontId="5" fillId="3" borderId="1" applyAlignment="1" pivotButton="0" quotePrefix="0" xfId="0">
      <alignment horizontal="center" vertical="center"/>
    </xf>
    <xf numFmtId="0" fontId="3" fillId="0" borderId="1" applyAlignment="1" pivotButton="0" quotePrefix="0" xfId="0">
      <alignment horizontal="left" vertical="center"/>
    </xf>
    <xf numFmtId="0" fontId="3" fillId="4" borderId="1" applyAlignment="1" pivotButton="0" quotePrefix="0" xfId="0">
      <alignment vertical="top" wrapText="1"/>
    </xf>
    <xf numFmtId="0" fontId="3" fillId="4" borderId="1" applyAlignment="1" pivotButton="0" quotePrefix="0" xfId="0">
      <alignment horizontal="center" vertical="top" wrapText="1"/>
    </xf>
  </cellXfs>
  <cellStyles count="1">
    <cellStyle name="Normal" xfId="0" builtinId="0" hidden="0"/>
  </cellStyles>
  <dxfs count="6">
    <dxf>
      <font>
        <name val="Arial"/>
        <color rgb="FF375623"/>
        <sz val="9"/>
      </font>
      <fill>
        <patternFill patternType="solid">
          <bgColor rgb="FFE2EFDA"/>
        </patternFill>
      </fill>
    </dxf>
    <dxf>
      <font>
        <name val="Arial"/>
        <color rgb="FFC65911"/>
        <sz val="9"/>
      </font>
      <fill>
        <patternFill patternType="solid">
          <bgColor rgb="FFFCE4D6"/>
        </patternFill>
      </fill>
    </dxf>
    <dxf>
      <font>
        <name val="Arial"/>
        <color rgb="FF833C0C"/>
        <sz val="9"/>
      </font>
      <fill>
        <patternFill patternType="solid">
          <bgColor rgb="FFFFF2CC"/>
        </patternFill>
      </fill>
    </dxf>
    <dxf>
      <font>
        <name val="Arial"/>
        <color rgb="FF595959"/>
        <sz val="9"/>
      </font>
      <fill>
        <patternFill patternType="solid">
          <bgColor rgb="FFEDEDED"/>
        </patternFill>
      </fill>
    </dxf>
    <dxf>
      <font>
        <name val="Arial"/>
        <color rgb="FF7030A0"/>
        <sz val="9"/>
      </font>
      <fill>
        <patternFill patternType="solid">
          <bgColor rgb="FFEAD1DC"/>
        </patternFill>
      </fill>
    </dxf>
    <dxf>
      <font>
        <name val="Arial"/>
        <color rgb="FF7F7F7F"/>
        <sz val="9"/>
      </font>
      <fill>
        <patternFill patternType="solid">
          <bgColor rgb="FF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46" customWidth="1" min="1" max="1"/>
    <col width="55" customWidth="1" min="2" max="2"/>
    <col width="16" customWidth="1" min="3" max="3"/>
    <col width="18" customWidth="1" min="4" max="4"/>
    <col width="15" customWidth="1" min="5" max="5"/>
    <col width="18" customWidth="1" min="6" max="6"/>
    <col width="15" customWidth="1" min="7" max="7"/>
    <col width="14" customWidth="1" min="8" max="8"/>
  </cols>
  <sheetData>
    <row r="1" ht="24" customHeight="1">
      <c r="A1" s="1" t="inlineStr">
        <is>
          <t>Category</t>
        </is>
      </c>
      <c r="B1" s="1" t="inlineStr">
        <is>
          <t>Details</t>
        </is>
      </c>
    </row>
    <row r="2" ht="19.95" customHeight="1">
      <c r="A2" s="2" t="inlineStr">
        <is>
          <t>Document Name</t>
        </is>
      </c>
      <c r="B2" s="3" t="inlineStr">
        <is>
          <t>EMI Manual Test Cases — Consolidated</t>
        </is>
      </c>
    </row>
    <row r="3" ht="19.95" customHeight="1">
      <c r="A3" s="2" t="inlineStr">
        <is>
          <t>Epic / Story Ref</t>
        </is>
      </c>
      <c r="B3" s="3" t="inlineStr">
        <is>
          <t>EMI-5914 PoS Transactions · EMI-5944 Balances · EMI-5824 Device Mgmt · EMI-6031 Payments TTL · EMI Tasks</t>
        </is>
      </c>
    </row>
    <row r="4" ht="19.95" customHeight="1">
      <c r="A4" s="2" t="inlineStr">
        <is>
          <t>Release Number</t>
        </is>
      </c>
      <c r="B4" s="3" t="inlineStr">
        <is>
          <t>V 6.6.0 / Sprint 74 and backlog</t>
        </is>
      </c>
    </row>
    <row r="5" ht="19.95" customHeight="1">
      <c r="A5" s="2" t="inlineStr">
        <is>
          <t>Environment</t>
        </is>
      </c>
      <c r="B5" s="3" t="inlineStr">
        <is>
          <t>UAT</t>
        </is>
      </c>
    </row>
    <row r="6" ht="19.95" customHeight="1">
      <c r="A6" s="2" t="inlineStr">
        <is>
          <t>Testing Period</t>
        </is>
      </c>
      <c r="B6" s="3" t="inlineStr">
        <is>
          <t>Sprint Test Execution Cycle</t>
        </is>
      </c>
    </row>
    <row r="9" ht="18" customHeight="1">
      <c r="A9" s="4" t="inlineStr">
        <is>
          <t>EMI Manual Test Cases — Results by Suite</t>
        </is>
      </c>
    </row>
    <row r="11" ht="25.95" customHeight="1">
      <c r="A11" s="5" t="inlineStr">
        <is>
          <t>Suite</t>
        </is>
      </c>
      <c r="B11" s="5" t="inlineStr">
        <is>
          <t>Passed</t>
        </is>
      </c>
      <c r="C11" s="5" t="inlineStr">
        <is>
          <t>Failed</t>
        </is>
      </c>
      <c r="D11" s="5" t="inlineStr">
        <is>
          <t>Partially Passed</t>
        </is>
      </c>
      <c r="E11" s="5" t="inlineStr">
        <is>
          <t>Not Tested</t>
        </is>
      </c>
      <c r="F11" s="5" t="inlineStr">
        <is>
          <t>Not Implemented</t>
        </is>
      </c>
      <c r="G11" s="5" t="inlineStr">
        <is>
          <t>Total Checks</t>
        </is>
      </c>
      <c r="H11" s="5" t="inlineStr">
        <is>
          <t>Pass Rate %</t>
        </is>
      </c>
    </row>
    <row r="12" ht="19.95" customHeight="1">
      <c r="A12" s="2" t="inlineStr">
        <is>
          <t>PoS Transactions V6.6.0 (EMI-5914)</t>
        </is>
      </c>
      <c r="B12" s="6">
        <f>COUNTIFS('All Test Cases'!$A:$A,$A12,'All Test Cases'!$J:$J,"Passed")</f>
        <v/>
      </c>
      <c r="C12" s="6">
        <f>COUNTIFS('All Test Cases'!$A:$A,$A12,'All Test Cases'!$J:$J,"Failed")</f>
        <v/>
      </c>
      <c r="D12" s="6">
        <f>COUNTIFS('All Test Cases'!$A:$A,$A12,'All Test Cases'!$J:$J,"Partially Passed")</f>
        <v/>
      </c>
      <c r="E12" s="6">
        <f>COUNTIFS('All Test Cases'!$A:$A,$A12,'All Test Cases'!$J:$J,"Not Tested")</f>
        <v/>
      </c>
      <c r="F12" s="6">
        <f>COUNTIFS('All Test Cases'!$A:$A,$A12,'All Test Cases'!$J:$J,"Not Implemented")</f>
        <v/>
      </c>
      <c r="G12" s="6">
        <f>SUM(B12:F12)</f>
        <v/>
      </c>
      <c r="H12" s="7">
        <f>IF(G12&gt;0, B12/G12, 0)</f>
        <v/>
      </c>
    </row>
    <row r="13" ht="19.95" customHeight="1">
      <c r="A13" s="2" t="inlineStr">
        <is>
          <t>Balances &amp; Wallet Consistency (EMI-5944)</t>
        </is>
      </c>
      <c r="B13" s="6">
        <f>COUNTIFS('All Test Cases'!$A:$A,$A13,'All Test Cases'!$J:$J,"Passed")</f>
        <v/>
      </c>
      <c r="C13" s="6">
        <f>COUNTIFS('All Test Cases'!$A:$A,$A13,'All Test Cases'!$J:$J,"Failed")</f>
        <v/>
      </c>
      <c r="D13" s="6">
        <f>COUNTIFS('All Test Cases'!$A:$A,$A13,'All Test Cases'!$J:$J,"Partially Passed")</f>
        <v/>
      </c>
      <c r="E13" s="6">
        <f>COUNTIFS('All Test Cases'!$A:$A,$A13,'All Test Cases'!$J:$J,"Not Tested")</f>
        <v/>
      </c>
      <c r="F13" s="6">
        <f>COUNTIFS('All Test Cases'!$A:$A,$A13,'All Test Cases'!$J:$J,"Not Implemented")</f>
        <v/>
      </c>
      <c r="G13" s="6">
        <f>SUM(B13:F13)</f>
        <v/>
      </c>
      <c r="H13" s="7">
        <f>IF(G13&gt;0, B13/G13, 0)</f>
        <v/>
      </c>
    </row>
    <row r="14" ht="19.95" customHeight="1">
      <c r="A14" s="2" t="inlineStr">
        <is>
          <t>PoS Device Management (EMI-5824)</t>
        </is>
      </c>
      <c r="B14" s="6">
        <f>COUNTIFS('All Test Cases'!$A:$A,$A14,'All Test Cases'!$J:$J,"Passed")</f>
        <v/>
      </c>
      <c r="C14" s="6">
        <f>COUNTIFS('All Test Cases'!$A:$A,$A14,'All Test Cases'!$J:$J,"Failed")</f>
        <v/>
      </c>
      <c r="D14" s="6">
        <f>COUNTIFS('All Test Cases'!$A:$A,$A14,'All Test Cases'!$J:$J,"Partially Passed")</f>
        <v/>
      </c>
      <c r="E14" s="6">
        <f>COUNTIFS('All Test Cases'!$A:$A,$A14,'All Test Cases'!$J:$J,"Not Tested")</f>
        <v/>
      </c>
      <c r="F14" s="6">
        <f>COUNTIFS('All Test Cases'!$A:$A,$A14,'All Test Cases'!$J:$J,"Not Implemented")</f>
        <v/>
      </c>
      <c r="G14" s="6">
        <f>SUM(B14:F14)</f>
        <v/>
      </c>
      <c r="H14" s="7">
        <f>IF(G14&gt;0, B14/G14, 0)</f>
        <v/>
      </c>
    </row>
    <row r="15" ht="19.95" customHeight="1">
      <c r="A15" s="2" t="inlineStr">
        <is>
          <t>Payments TTL &amp; Invalidation (EMI-6031)</t>
        </is>
      </c>
      <c r="B15" s="6">
        <f>COUNTIFS('All Test Cases'!$A:$A,$A15,'All Test Cases'!$J:$J,"Passed")</f>
        <v/>
      </c>
      <c r="C15" s="6">
        <f>COUNTIFS('All Test Cases'!$A:$A,$A15,'All Test Cases'!$J:$J,"Failed")</f>
        <v/>
      </c>
      <c r="D15" s="6">
        <f>COUNTIFS('All Test Cases'!$A:$A,$A15,'All Test Cases'!$J:$J,"Partially Passed")</f>
        <v/>
      </c>
      <c r="E15" s="6">
        <f>COUNTIFS('All Test Cases'!$A:$A,$A15,'All Test Cases'!$J:$J,"Not Tested")</f>
        <v/>
      </c>
      <c r="F15" s="6">
        <f>COUNTIFS('All Test Cases'!$A:$A,$A15,'All Test Cases'!$J:$J,"Not Implemented")</f>
        <v/>
      </c>
      <c r="G15" s="6">
        <f>SUM(B15:F15)</f>
        <v/>
      </c>
      <c r="H15" s="7">
        <f>IF(G15&gt;0, B15/G15, 0)</f>
        <v/>
      </c>
    </row>
    <row r="16" ht="19.95" customHeight="1">
      <c r="A16" s="2" t="inlineStr">
        <is>
          <t>EMI Task Coverage</t>
        </is>
      </c>
      <c r="B16" s="6">
        <f>COUNTIFS('All Test Cases'!$A:$A,$A16,'All Test Cases'!$J:$J,"Passed")</f>
        <v/>
      </c>
      <c r="C16" s="6">
        <f>COUNTIFS('All Test Cases'!$A:$A,$A16,'All Test Cases'!$J:$J,"Failed")</f>
        <v/>
      </c>
      <c r="D16" s="6">
        <f>COUNTIFS('All Test Cases'!$A:$A,$A16,'All Test Cases'!$J:$J,"Partially Passed")</f>
        <v/>
      </c>
      <c r="E16" s="6">
        <f>COUNTIFS('All Test Cases'!$A:$A,$A16,'All Test Cases'!$J:$J,"Not Tested")</f>
        <v/>
      </c>
      <c r="F16" s="6">
        <f>COUNTIFS('All Test Cases'!$A:$A,$A16,'All Test Cases'!$J:$J,"Not Implemented")</f>
        <v/>
      </c>
      <c r="G16" s="6">
        <f>SUM(B16:F16)</f>
        <v/>
      </c>
      <c r="H16" s="7">
        <f>IF(G16&gt;0, B16/G16, 0)</f>
        <v/>
      </c>
    </row>
    <row r="17" ht="22.05" customHeight="1">
      <c r="A17" s="8" t="inlineStr">
        <is>
          <t>Total</t>
        </is>
      </c>
      <c r="B17" s="9">
        <f>SUM(B12:B16)</f>
        <v/>
      </c>
      <c r="C17" s="9">
        <f>SUM(C12:C16)</f>
        <v/>
      </c>
      <c r="D17" s="9">
        <f>SUM(D12:D16)</f>
        <v/>
      </c>
      <c r="E17" s="9">
        <f>SUM(E12:E16)</f>
        <v/>
      </c>
      <c r="F17" s="9">
        <f>SUM(F12:F16)</f>
        <v/>
      </c>
      <c r="G17" s="9">
        <f>SUM(G12:G16)</f>
        <v/>
      </c>
      <c r="H17" s="10">
        <f>IF(G17&gt;0, B17/G17, 0)</f>
        <v/>
      </c>
    </row>
    <row r="19" ht="22.05" customHeight="1">
      <c r="A19" s="4" t="inlineStr">
        <is>
          <t>Coverage by Test Type</t>
        </is>
      </c>
    </row>
    <row r="20" ht="24" customHeight="1">
      <c r="A20" s="5" t="inlineStr">
        <is>
          <t>Test Type</t>
        </is>
      </c>
      <c r="B20" s="5" t="inlineStr">
        <is>
          <t>Test Cases</t>
        </is>
      </c>
      <c r="C20" s="5" t="inlineStr">
        <is>
          <t>Share</t>
        </is>
      </c>
    </row>
    <row r="21" ht="19.95" customHeight="1">
      <c r="A21" s="11" t="inlineStr">
        <is>
          <t>Functional</t>
        </is>
      </c>
      <c r="B21" s="6">
        <f>COUNTIF('All Test Cases'!$K:$K,$A21)</f>
        <v/>
      </c>
      <c r="C21" s="7">
        <f>IF($B$17&gt;0,B21/1037,0)</f>
        <v/>
      </c>
    </row>
    <row r="22" ht="19.95" customHeight="1">
      <c r="A22" s="11" t="inlineStr">
        <is>
          <t>Negative</t>
        </is>
      </c>
      <c r="B22" s="6">
        <f>COUNTIF('All Test Cases'!$K:$K,$A22)</f>
        <v/>
      </c>
      <c r="C22" s="7">
        <f>IF($B$17&gt;0,B22/1037,0)</f>
        <v/>
      </c>
    </row>
    <row r="23" ht="19.95" customHeight="1">
      <c r="A23" s="11" t="inlineStr">
        <is>
          <t>Integration</t>
        </is>
      </c>
      <c r="B23" s="6">
        <f>COUNTIF('All Test Cases'!$K:$K,$A23)</f>
        <v/>
      </c>
      <c r="C23" s="7">
        <f>IF($B$17&gt;0,B23/1037,0)</f>
        <v/>
      </c>
    </row>
    <row r="24" ht="19.95" customHeight="1">
      <c r="A24" s="11" t="inlineStr">
        <is>
          <t>Edge / Boundary</t>
        </is>
      </c>
      <c r="B24" s="6">
        <f>COUNTIF('All Test Cases'!$K:$K,$A24)</f>
        <v/>
      </c>
      <c r="C24" s="7">
        <f>IF($B$17&gt;0,B24/1037,0)</f>
        <v/>
      </c>
    </row>
    <row r="25" ht="19.95" customHeight="1">
      <c r="A25" s="11" t="inlineStr">
        <is>
          <t>Security</t>
        </is>
      </c>
      <c r="B25" s="6">
        <f>COUNTIF('All Test Cases'!$K:$K,$A25)</f>
        <v/>
      </c>
      <c r="C25" s="7">
        <f>IF($B$17&gt;0,B25/1037,0)</f>
        <v/>
      </c>
    </row>
    <row r="26" ht="19.95" customHeight="1">
      <c r="A26" s="11" t="inlineStr">
        <is>
          <t>Performance / NFR</t>
        </is>
      </c>
      <c r="B26" s="6">
        <f>COUNTIF('All Test Cases'!$K:$K,$A26)</f>
        <v/>
      </c>
      <c r="C26" s="7">
        <f>IF($B$17&gt;0,B26/1037,0)</f>
        <v/>
      </c>
    </row>
    <row r="27" ht="19.95" customHeight="1">
      <c r="A27" s="11" t="inlineStr">
        <is>
          <t>Compliance</t>
        </is>
      </c>
      <c r="B27" s="6">
        <f>COUNTIF('All Test Cases'!$K:$K,$A27)</f>
        <v/>
      </c>
      <c r="C27" s="7">
        <f>IF($B$17&gt;0,B27/1037,0)</f>
        <v/>
      </c>
    </row>
    <row r="28" ht="19.95" customHeight="1">
      <c r="A28" s="11" t="inlineStr">
        <is>
          <t>Configuration</t>
        </is>
      </c>
      <c r="B28" s="6">
        <f>COUNTIF('All Test Cases'!$K:$K,$A28)</f>
        <v/>
      </c>
      <c r="C28" s="7">
        <f>IF($B$17&gt;0,B28/1037,0)</f>
        <v/>
      </c>
    </row>
    <row r="29" ht="19.95" customHeight="1">
      <c r="A29" s="11" t="inlineStr">
        <is>
          <t>Reporting</t>
        </is>
      </c>
      <c r="B29" s="6">
        <f>COUNTIF('All Test Cases'!$K:$K,$A29)</f>
        <v/>
      </c>
      <c r="C29" s="7">
        <f>IF($B$17&gt;0,B29/1037,0)</f>
        <v/>
      </c>
    </row>
    <row r="30" ht="19.95" customHeight="1">
      <c r="A30" s="11" t="inlineStr">
        <is>
          <t>Cross-Platform</t>
        </is>
      </c>
      <c r="B30" s="6">
        <f>COUNTIF('All Test Cases'!$K:$K,$A30)</f>
        <v/>
      </c>
      <c r="C30" s="7">
        <f>IF($B$17&gt;0,B30/1037,0)</f>
        <v/>
      </c>
    </row>
    <row r="31" ht="19.95" customHeight="1">
      <c r="A31" s="11" t="inlineStr">
        <is>
          <t>Usability</t>
        </is>
      </c>
      <c r="B31" s="6">
        <f>COUNTIF('All Test Cases'!$K:$K,$A31)</f>
        <v/>
      </c>
      <c r="C31" s="7">
        <f>IF($B$17&gt;0,B31/1037,0)</f>
        <v/>
      </c>
    </row>
    <row r="32" ht="19.95" customHeight="1">
      <c r="A32" s="11" t="inlineStr">
        <is>
          <t>Contract / API</t>
        </is>
      </c>
      <c r="B32" s="6">
        <f>COUNTIF('All Test Cases'!$K:$K,$A32)</f>
        <v/>
      </c>
      <c r="C32" s="7">
        <f>IF($B$17&gt;0,B32/1037,0)</f>
        <v/>
      </c>
    </row>
    <row r="33" ht="19.95" customHeight="1">
      <c r="A33" s="11" t="inlineStr">
        <is>
          <t>Observability</t>
        </is>
      </c>
      <c r="B33" s="6">
        <f>COUNTIF('All Test Cases'!$K:$K,$A33)</f>
        <v/>
      </c>
      <c r="C33" s="7">
        <f>IF($B$17&gt;0,B33/1037,0)</f>
        <v/>
      </c>
    </row>
    <row r="34" ht="19.95" customHeight="1">
      <c r="A34" s="11" t="inlineStr">
        <is>
          <t>Localisation</t>
        </is>
      </c>
      <c r="B34" s="6">
        <f>COUNTIF('All Test Cases'!$K:$K,$A34)</f>
        <v/>
      </c>
      <c r="C34" s="7">
        <f>IF($B$17&gt;0,B34/1037,0)</f>
        <v/>
      </c>
    </row>
    <row r="35" ht="19.95" customHeight="1">
      <c r="A35" s="11" t="inlineStr">
        <is>
          <t>Architecture</t>
        </is>
      </c>
      <c r="B35" s="6">
        <f>COUNTIF('All Test Cases'!$K:$K,$A35)</f>
        <v/>
      </c>
      <c r="C35" s="7">
        <f>IF($B$17&gt;0,B35/1037,0)</f>
        <v/>
      </c>
    </row>
    <row r="36" ht="19.95" customHeight="1">
      <c r="A36" s="11" t="inlineStr">
        <is>
          <t>Open Question</t>
        </is>
      </c>
      <c r="B36" s="6">
        <f>COUNTIF('All Test Cases'!$K:$K,$A36)</f>
        <v/>
      </c>
      <c r="C36" s="7">
        <f>IF($B$17&gt;0,B36/1037,0)</f>
        <v/>
      </c>
    </row>
    <row r="37" ht="19.95" customHeight="1">
      <c r="A37" s="11" t="inlineStr">
        <is>
          <t>Regression</t>
        </is>
      </c>
      <c r="B37" s="6">
        <f>COUNTIF('All Test Cases'!$K:$K,$A37)</f>
        <v/>
      </c>
      <c r="C37" s="7">
        <f>IF($B$17&gt;0,B37/1037,0)</f>
        <v/>
      </c>
    </row>
    <row r="38" ht="19.95" customHeight="1">
      <c r="A38" s="11" t="inlineStr">
        <is>
          <t>Migration</t>
        </is>
      </c>
      <c r="B38" s="6">
        <f>COUNTIF('All Test Cases'!$K:$K,$A38)</f>
        <v/>
      </c>
      <c r="C38" s="7">
        <f>IF($B$17&gt;0,B38/1037,0)</f>
        <v/>
      </c>
    </row>
    <row r="40" ht="22.05" customHeight="1">
      <c r="A40" s="4" t="inlineStr">
        <is>
          <t>Test Execution Statuses &amp; Definitions</t>
        </is>
      </c>
    </row>
    <row r="41" ht="24" customHeight="1">
      <c r="A41" s="5" t="inlineStr">
        <is>
          <t>Status</t>
        </is>
      </c>
      <c r="B41" s="5" t="inlineStr">
        <is>
          <t>Definition / Criteria</t>
        </is>
      </c>
      <c r="C41" s="5" t="inlineStr">
        <is>
          <t>Allowed In Workflow</t>
        </is>
      </c>
    </row>
    <row r="42" ht="19.95" customHeight="1">
      <c r="A42" s="3" t="inlineStr">
        <is>
          <t>Passed</t>
        </is>
      </c>
      <c r="B42" s="3" t="inlineStr">
        <is>
          <t>All test steps executed with actual result matching the expected result</t>
        </is>
      </c>
      <c r="C42" s="3" t="inlineStr">
        <is>
          <t>Yes</t>
        </is>
      </c>
    </row>
    <row r="43" ht="19.95" customHeight="1">
      <c r="A43" s="3" t="inlineStr">
        <is>
          <t>Failed</t>
        </is>
      </c>
      <c r="B43" s="3" t="inlineStr">
        <is>
          <t>One or more test steps failed or produced an incorrect result</t>
        </is>
      </c>
      <c r="C43" s="3" t="inlineStr">
        <is>
          <t>Yes</t>
        </is>
      </c>
    </row>
    <row r="44" ht="19.95" customHeight="1">
      <c r="A44" s="3" t="inlineStr">
        <is>
          <t>Partially Passed</t>
        </is>
      </c>
      <c r="B44" s="3" t="inlineStr">
        <is>
          <t>Core functionality works but a secondary assertion did not</t>
        </is>
      </c>
      <c r="C44" s="3" t="inlineStr">
        <is>
          <t>Yes</t>
        </is>
      </c>
    </row>
    <row r="45" ht="19.95" customHeight="1">
      <c r="A45" s="3" t="inlineStr">
        <is>
          <t>Not Tested</t>
        </is>
      </c>
      <c r="B45" s="3" t="inlineStr">
        <is>
          <t>Test case is ready for execution in the current cycle</t>
        </is>
      </c>
      <c r="C45" s="3" t="inlineStr">
        <is>
          <t>Yes (Default)</t>
        </is>
      </c>
    </row>
    <row r="46" ht="19.95" customHeight="1">
      <c r="A46" s="3" t="inlineStr">
        <is>
          <t>Not Implemented</t>
        </is>
      </c>
      <c r="B46" s="3" t="inlineStr">
        <is>
          <t>Feature or endpoint dependency is currently unavailable</t>
        </is>
      </c>
      <c r="C46" s="3" t="inlineStr">
        <is>
          <t>Yes</t>
        </is>
      </c>
    </row>
    <row r="47" ht="19.95" customHeight="1">
      <c r="A47" s="3" t="inlineStr">
        <is>
          <t>NA</t>
        </is>
      </c>
      <c r="B47" s="3" t="inlineStr">
        <is>
          <t>Scenario is not applicable to the current scope or configuration</t>
        </is>
      </c>
      <c r="C47" s="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3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20" customWidth="1" min="4" max="4"/>
    <col width="40" customWidth="1" min="5" max="5"/>
    <col width="12" customWidth="1" min="6" max="6"/>
    <col width="40" customWidth="1" min="7" max="7"/>
    <col width="46" customWidth="1" min="8" max="8"/>
    <col width="46" customWidth="1" min="9" max="9"/>
    <col width="18" customWidth="1" min="10" max="10"/>
    <col width="20" customWidth="1" min="11" max="11"/>
  </cols>
  <sheetData>
    <row r="1" ht="28.05" customHeight="1">
      <c r="A1" s="5" t="inlineStr">
        <is>
          <t>Suite</t>
        </is>
      </c>
      <c r="B1" s="5" t="inlineStr">
        <is>
          <t>Feature / Story</t>
        </is>
      </c>
      <c r="C1" s="5" t="inlineStr">
        <is>
          <t>Subtopic</t>
        </is>
      </c>
      <c r="D1" s="5" t="inlineStr">
        <is>
          <t>TC ID</t>
        </is>
      </c>
      <c r="E1" s="5" t="inlineStr">
        <is>
          <t>Title</t>
        </is>
      </c>
      <c r="F1" s="5" t="inlineStr">
        <is>
          <t>Priority</t>
        </is>
      </c>
      <c r="G1" s="5" t="inlineStr">
        <is>
          <t>Preconditions</t>
        </is>
      </c>
      <c r="H1" s="5" t="inlineStr">
        <is>
          <t>Steps</t>
        </is>
      </c>
      <c r="I1" s="5" t="inlineStr">
        <is>
          <t>Expected Result</t>
        </is>
      </c>
      <c r="J1" s="5" t="inlineStr">
        <is>
          <t>Status</t>
        </is>
      </c>
      <c r="K1" s="5" t="inlineStr">
        <is>
          <t>Test Type</t>
        </is>
      </c>
    </row>
    <row r="2" ht="36" customHeight="1">
      <c r="A2" s="12" t="inlineStr">
        <is>
          <t>PoS Transactions V6.6.0 (EMI-5914)</t>
        </is>
      </c>
      <c r="B2" s="12" t="inlineStr">
        <is>
          <t>Callback Ingestion &amp; Valid</t>
        </is>
      </c>
      <c r="C2" s="12" t="inlineStr">
        <is>
          <t>Functional</t>
        </is>
      </c>
      <c r="D2" s="13" t="inlineStr">
        <is>
          <t>TC-Callback-01</t>
        </is>
      </c>
      <c r="E2" s="12" t="inlineStr">
        <is>
          <t>Valid Purchase Callback</t>
        </is>
      </c>
      <c r="F2" s="13" t="inlineStr">
        <is>
          <t>High</t>
        </is>
      </c>
      <c r="G2" s="12" t="inlineStr">
        <is>
          <t>Callback endpoint reachable; TID linked to an active wallet</t>
        </is>
      </c>
      <c r="H2" s="12" t="inlineStr">
        <is>
          <t>1. Submit a well-formed PURCHASE callback with all mandatory canonical fields (event_type, provider_txn_id, tid, mid, instrument, status, amount, currency, occurred_at)</t>
        </is>
      </c>
      <c r="I2" s="12" t="inlineStr">
        <is>
          <t>ACCEPTED; PosTransaction created; origin=TXN_CALLBACK; wallet_id snapshotted</t>
        </is>
      </c>
      <c r="J2" s="13" t="inlineStr">
        <is>
          <t>NA</t>
        </is>
      </c>
      <c r="K2" s="13" t="inlineStr">
        <is>
          <t>Functional</t>
        </is>
      </c>
    </row>
    <row r="3" ht="36" customHeight="1">
      <c r="A3" s="12" t="inlineStr">
        <is>
          <t>PoS Transactions V6.6.0 (EMI-5914)</t>
        </is>
      </c>
      <c r="B3" s="12" t="inlineStr">
        <is>
          <t>Callback Ingestion &amp; Valid</t>
        </is>
      </c>
      <c r="C3" s="12" t="inlineStr">
        <is>
          <t>Functional</t>
        </is>
      </c>
      <c r="D3" s="13" t="inlineStr">
        <is>
          <t>TC-Callback-02</t>
        </is>
      </c>
      <c r="E3" s="12" t="inlineStr">
        <is>
          <t>Persisted Record Integrity</t>
        </is>
      </c>
      <c r="F3" s="13" t="inlineStr">
        <is>
          <t>Medium</t>
        </is>
      </c>
      <c r="G3" s="12" t="inlineStr">
        <is>
          <t>A purchase callback has been accepted (see Valid Purchase Callback)</t>
        </is>
      </c>
      <c r="H3" s="12" t="inlineStr">
        <is>
          <t>1. Query the stored PosTransaction record for the accepted callback
2. Compare stored STAN, RRN, TID, MID, amount and masked_pan against the source payload</t>
        </is>
      </c>
      <c r="I3" s="12" t="inlineStr">
        <is>
          <t>Stored STAN, RRN, TID, MID, amount, masked PAN, etc. match the source payload</t>
        </is>
      </c>
      <c r="J3" s="13" t="inlineStr">
        <is>
          <t>NA</t>
        </is>
      </c>
      <c r="K3" s="13" t="inlineStr">
        <is>
          <t>Functional</t>
        </is>
      </c>
    </row>
    <row r="4" ht="36" customHeight="1">
      <c r="A4" s="12" t="inlineStr">
        <is>
          <t>PoS Transactions V6.6.0 (EMI-5914)</t>
        </is>
      </c>
      <c r="B4" s="12" t="inlineStr">
        <is>
          <t>Callback Ingestion &amp; Valid</t>
        </is>
      </c>
      <c r="C4" s="12" t="inlineStr">
        <is>
          <t>Functional</t>
        </is>
      </c>
      <c r="D4" s="13" t="inlineStr">
        <is>
          <t>TC-Callback-03</t>
        </is>
      </c>
      <c r="E4" s="12" t="inlineStr">
        <is>
          <t>Per-TID Ledger Entry Written on Acceptance</t>
        </is>
      </c>
      <c r="F4" s="13" t="inlineStr">
        <is>
          <t>Medium</t>
        </is>
      </c>
      <c r="G4" s="12" t="inlineStr">
        <is>
          <t>A purchase callback has been accepted</t>
        </is>
      </c>
      <c r="H4" s="12" t="inlineStr">
        <is>
          <t>1. Query the stored transaction's ledger status/reason field</t>
        </is>
      </c>
      <c r="I4" s="12" t="inlineStr">
        <is>
          <t>Exactly one per-TID ledger entry (EMI-5915's booking pipeline output) is written for the accepted transaction; the entry carries the callback's status/reason; no wallet balance effect occurs at this point.</t>
        </is>
      </c>
      <c r="J4" s="13" t="inlineStr">
        <is>
          <t>NA</t>
        </is>
      </c>
      <c r="K4" s="13" t="inlineStr">
        <is>
          <t>Edge / Boundary</t>
        </is>
      </c>
    </row>
    <row r="5" ht="36" customHeight="1">
      <c r="A5" s="12" t="inlineStr">
        <is>
          <t>PoS Transactions V6.6.0 (EMI-5914)</t>
        </is>
      </c>
      <c r="B5" s="12" t="inlineStr">
        <is>
          <t>Callback Ingestion &amp; Valid</t>
        </is>
      </c>
      <c r="C5" s="12" t="inlineStr">
        <is>
          <t>Functional</t>
        </is>
      </c>
      <c r="D5" s="13" t="inlineStr">
        <is>
          <t>TC-Callback-04</t>
        </is>
      </c>
      <c r="E5" s="12" t="inlineStr">
        <is>
          <t>Failed Callback Persistence</t>
        </is>
      </c>
      <c r="F5" s="13" t="inlineStr">
        <is>
          <t>Medium</t>
        </is>
      </c>
      <c r="G5" s="12" t="inlineStr">
        <is>
          <t>Callback endpoint available</t>
        </is>
      </c>
      <c r="H5" s="12" t="inlineStr">
        <is>
          <t>1. Submit a callback that fails validation or processing (e.g. terminal rejection)
2. Query the base transaction/callback table</t>
        </is>
      </c>
      <c r="I5" s="12" t="inlineStr">
        <is>
          <t>Failed callback is recorded in the required base transaction/callback table with the correct failure reason</t>
        </is>
      </c>
      <c r="J5" s="13" t="inlineStr">
        <is>
          <t>NA</t>
        </is>
      </c>
      <c r="K5" s="13" t="inlineStr">
        <is>
          <t>Negative</t>
        </is>
      </c>
    </row>
    <row r="6" ht="36" customHeight="1">
      <c r="A6" s="12" t="inlineStr">
        <is>
          <t>PoS Transactions V6.6.0 (EMI-5914)</t>
        </is>
      </c>
      <c r="B6" s="12" t="inlineStr">
        <is>
          <t>Callback Ingestion &amp; Valid</t>
        </is>
      </c>
      <c r="C6" s="12" t="inlineStr">
        <is>
          <t>Functional</t>
        </is>
      </c>
      <c r="D6" s="13" t="inlineStr">
        <is>
          <t>TC-Callback-05</t>
        </is>
      </c>
      <c r="E6" s="12" t="inlineStr">
        <is>
          <t>Masked Archive &amp; Retention (All Outcomes)</t>
        </is>
      </c>
      <c r="F6" s="13" t="inlineStr">
        <is>
          <t>Medium</t>
        </is>
      </c>
      <c r="G6" s="12" t="inlineStr">
        <is>
          <t>Ingestion log/archive accessible</t>
        </is>
      </c>
      <c r="H6" s="12" t="inlineStr">
        <is>
          <t>1. Submit callbacks producing each outcome (ACCEPTED, TERMINAL, RETRYABLE, UNMATCHED, COMPLIANCE_HOLD, DUPLICATE)
2. Inspect the archived record for each outcome</t>
        </is>
      </c>
      <c r="I6" s="12" t="inlineStr">
        <is>
          <t>Every outcome type is archived masked with 7-year retention; no plaintext PAN appears in any archived record</t>
        </is>
      </c>
      <c r="J6" s="13" t="inlineStr">
        <is>
          <t>NA</t>
        </is>
      </c>
      <c r="K6" s="13" t="inlineStr">
        <is>
          <t>Integration</t>
        </is>
      </c>
    </row>
    <row r="7" ht="36" customHeight="1">
      <c r="A7" s="12" t="inlineStr">
        <is>
          <t>PoS Transactions V6.6.0 (EMI-5914)</t>
        </is>
      </c>
      <c r="B7" s="12" t="inlineStr">
        <is>
          <t>Callback Ingestion &amp; Valid</t>
        </is>
      </c>
      <c r="C7" s="12" t="inlineStr">
        <is>
          <t>Functional</t>
        </is>
      </c>
      <c r="D7" s="13" t="inlineStr">
        <is>
          <t>TC-Callback-06</t>
        </is>
      </c>
      <c r="E7" s="12" t="inlineStr">
        <is>
          <t>wallet_id Snapshot Immutability</t>
        </is>
      </c>
      <c r="F7" s="13" t="inlineStr">
        <is>
          <t>Medium</t>
        </is>
      </c>
      <c r="G7" s="12" t="inlineStr">
        <is>
          <t>TID currently linked to a wallet</t>
        </is>
      </c>
      <c r="H7" s="12" t="inlineStr">
        <is>
          <t>1. Submit an accepted callback for a linked TID
2. Re-link the TID to a different wallet in the registry
3. Query the original transaction's wallet_id</t>
        </is>
      </c>
      <c r="I7" s="12" t="inlineStr">
        <is>
          <t>wallet_id is snapshotted immutably at TID resolution time and does not change even if the TID's wallet link changes afterward</t>
        </is>
      </c>
      <c r="J7" s="13" t="inlineStr">
        <is>
          <t>NA</t>
        </is>
      </c>
      <c r="K7" s="13" t="inlineStr">
        <is>
          <t>Functional</t>
        </is>
      </c>
    </row>
    <row r="8" ht="36" customHeight="1">
      <c r="A8" s="12" t="inlineStr">
        <is>
          <t>PoS Transactions V6.6.0 (EMI-5914)</t>
        </is>
      </c>
      <c r="B8" s="12" t="inlineStr">
        <is>
          <t>Callback Ingestion &amp; Valid</t>
        </is>
      </c>
      <c r="C8" s="12" t="inlineStr">
        <is>
          <t>Functional</t>
        </is>
      </c>
      <c r="D8" s="13" t="inlineStr">
        <is>
          <t>TC-Callback-07</t>
        </is>
      </c>
      <c r="E8" s="12" t="inlineStr">
        <is>
          <t>Direct Pipeline Invocation — Valid Booking</t>
        </is>
      </c>
      <c r="F8" s="13" t="inlineStr">
        <is>
          <t>High</t>
        </is>
      </c>
      <c r="G8" s="12" t="inlineStr">
        <is>
          <t>Shared booking pipeline exposed as a callable service entry point; a valid, well-formed transaction payload</t>
        </is>
      </c>
      <c r="H8" s="12" t="inlineStr">
        <is>
          <t>1. Invoke the pipeline directly as EMI-5991 would, with origin=RECON_BACKFILL, for a valid transaction</t>
        </is>
      </c>
      <c r="I8" s="12" t="inlineStr">
        <is>
          <t>Transaction is validated, resolved, passed through Gate 1, and booked identically to the callback path; origin=RECON_BACKFILL is set; no branch bypasses a control</t>
        </is>
      </c>
      <c r="J8" s="13" t="inlineStr">
        <is>
          <t>NA</t>
        </is>
      </c>
      <c r="K8" s="13" t="inlineStr">
        <is>
          <t>Functional</t>
        </is>
      </c>
    </row>
    <row r="9" ht="36" customHeight="1">
      <c r="A9" s="12" t="inlineStr">
        <is>
          <t>PoS Transactions V6.6.0 (EMI-5914)</t>
        </is>
      </c>
      <c r="B9" s="12" t="inlineStr">
        <is>
          <t>Callback Ingestion &amp; Valid</t>
        </is>
      </c>
      <c r="C9" s="12" t="inlineStr">
        <is>
          <t>Functional</t>
        </is>
      </c>
      <c r="D9" s="13" t="inlineStr">
        <is>
          <t>TC-Callback-08</t>
        </is>
      </c>
      <c r="E9" s="12" t="inlineStr">
        <is>
          <t>Direct Pipeline Invocation — Unknown TID</t>
        </is>
      </c>
      <c r="F9" s="13" t="inlineStr">
        <is>
          <t>High</t>
        </is>
      </c>
      <c r="G9" s="12" t="inlineStr">
        <is>
          <t>Shared booking pipeline exposed as a callable service entry point; TID with no wallet mapping</t>
        </is>
      </c>
      <c r="H9" s="12" t="inlineStr">
        <is>
          <t>1. Invoke the pipeline directly as EMI-5991 would, with origin=RECON_BACKFILL, for a transaction whose TID is unknown/unregistered</t>
        </is>
      </c>
      <c r="I9" s="12" t="inlineStr">
        <is>
          <t>Transaction is accepted and parked UNMATCHED with Ops alarm, identical to the callback path; origin=RECON_BACKFILL is set</t>
        </is>
      </c>
      <c r="J9" s="13" t="inlineStr">
        <is>
          <t>NA</t>
        </is>
      </c>
      <c r="K9" s="13" t="inlineStr">
        <is>
          <t>Negative</t>
        </is>
      </c>
    </row>
    <row r="10" ht="36" customHeight="1">
      <c r="A10" s="12" t="inlineStr">
        <is>
          <t>PoS Transactions V6.6.0 (EMI-5914)</t>
        </is>
      </c>
      <c r="B10" s="12" t="inlineStr">
        <is>
          <t>Callback Ingestion &amp; Valid</t>
        </is>
      </c>
      <c r="C10" s="12" t="inlineStr">
        <is>
          <t>Functional</t>
        </is>
      </c>
      <c r="D10" s="13" t="inlineStr">
        <is>
          <t>TC-Callback-09</t>
        </is>
      </c>
      <c r="E10" s="12" t="inlineStr">
        <is>
          <t>Direct Pipeline Invocation — Gate 1 Hold</t>
        </is>
      </c>
      <c r="F10" s="13" t="inlineStr">
        <is>
          <t>High</t>
        </is>
      </c>
      <c r="G10" s="12" t="inlineStr">
        <is>
          <t>Shared booking pipeline exposed as a callable service entry point; wallet flagged for AML/sanctions/SAMA breach</t>
        </is>
      </c>
      <c r="H10" s="12" t="inlineStr">
        <is>
          <t>1. Invoke the pipeline directly as EMI-5991 would, with origin=RECON_BACKFILL, for a transaction that should trigger a Gate 1 hold</t>
        </is>
      </c>
      <c r="I10" s="12" t="inlineStr">
        <is>
          <t>Gate 1 produces COMPLIANCE_HOLD with no wallet ledger entries, identical to the callback path; no branch bypasses the compliance gate</t>
        </is>
      </c>
      <c r="J10" s="13" t="inlineStr">
        <is>
          <t>NA</t>
        </is>
      </c>
      <c r="K10" s="13" t="inlineStr">
        <is>
          <t>Functional</t>
        </is>
      </c>
    </row>
    <row r="11" ht="36" customHeight="1">
      <c r="A11" s="12" t="inlineStr">
        <is>
          <t>PoS Transactions V6.6.0 (EMI-5914)</t>
        </is>
      </c>
      <c r="B11" s="12" t="inlineStr">
        <is>
          <t>Callback Ingestion &amp; Valid</t>
        </is>
      </c>
      <c r="C11" s="12" t="inlineStr">
        <is>
          <t>Functional</t>
        </is>
      </c>
      <c r="D11" s="13" t="inlineStr">
        <is>
          <t>TC-Callback-10</t>
        </is>
      </c>
      <c r="E11" s="12" t="inlineStr">
        <is>
          <t>Callback Header Validation</t>
        </is>
      </c>
      <c r="F11" s="13" t="inlineStr">
        <is>
          <t>Medium</t>
        </is>
      </c>
      <c r="G11" s="12" t="inlineStr">
        <is>
          <t>Published integration contract defines required headers</t>
        </is>
      </c>
      <c r="H11" s="12" t="inlineStr">
        <is>
          <t>1. Submit a valid payload with a missing or incorrect required header (e.g. Content-Type, Accept-Language)</t>
        </is>
      </c>
      <c r="I11" s="12" t="inlineStr">
        <is>
          <t>Invalid/missing required headers are rejected according to the agreed integration contract</t>
        </is>
      </c>
      <c r="J11" s="13" t="inlineStr">
        <is>
          <t>NA</t>
        </is>
      </c>
      <c r="K11" s="13" t="inlineStr">
        <is>
          <t>Negative</t>
        </is>
      </c>
    </row>
    <row r="12" ht="36" customHeight="1">
      <c r="A12" s="12" t="inlineStr">
        <is>
          <t>PoS Transactions V6.6.0 (EMI-5914)</t>
        </is>
      </c>
      <c r="B12" s="12" t="inlineStr">
        <is>
          <t>Callback Ingestion &amp; Valid</t>
        </is>
      </c>
      <c r="C12" s="12" t="inlineStr">
        <is>
          <t>Functional</t>
        </is>
      </c>
      <c r="D12" s="13" t="inlineStr">
        <is>
          <t>TC-Callback-11</t>
        </is>
      </c>
      <c r="E12" s="12" t="inlineStr">
        <is>
          <t>Empty/Malformed Request</t>
        </is>
      </c>
      <c r="F12" s="13" t="inlineStr">
        <is>
          <t>Medium</t>
        </is>
      </c>
      <c r="G12" s="12" t="inlineStr">
        <is>
          <t>Ingestion endpoint available</t>
        </is>
      </c>
      <c r="H12" s="12" t="inlineStr">
        <is>
          <t>1. Submit a POST with an empty body
2. Submit a structurally broken/malformed transport payload</t>
        </is>
      </c>
      <c r="I12" s="12" t="inlineStr">
        <is>
          <t>Empty body or malformed transport payload returns a controlled validation error, not HTTP 500/unhandled exception</t>
        </is>
      </c>
      <c r="J12" s="13" t="inlineStr">
        <is>
          <t>NA</t>
        </is>
      </c>
      <c r="K12" s="13" t="inlineStr">
        <is>
          <t>Negative</t>
        </is>
      </c>
    </row>
    <row r="13" ht="36" customHeight="1">
      <c r="A13" s="12" t="inlineStr">
        <is>
          <t>PoS Transactions V6.6.0 (EMI-5914)</t>
        </is>
      </c>
      <c r="B13" s="12" t="inlineStr">
        <is>
          <t>Callback Ingestion &amp; Valid</t>
        </is>
      </c>
      <c r="C13" s="12" t="inlineStr">
        <is>
          <t>Functional</t>
        </is>
      </c>
      <c r="D13" s="13" t="inlineStr">
        <is>
          <t>TC-Callback-12</t>
        </is>
      </c>
      <c r="E13" s="12" t="inlineStr">
        <is>
          <t>Valid REFUND Callback</t>
        </is>
      </c>
      <c r="F13" s="13" t="inlineStr">
        <is>
          <t>High</t>
        </is>
      </c>
      <c r="G13" s="12" t="inlineStr">
        <is>
          <t>A prior PURCHASE for the same provider_txn_id/rrn/stan has been booked and settled</t>
        </is>
      </c>
      <c r="H13" s="12" t="inlineStr">
        <is>
          <t>1. Submit a well-formed REFUND callback (event_type=REFUND) referencing the original transaction's provider_txn_id/rrn/stan</t>
        </is>
      </c>
      <c r="I13" s="12" t="inlineStr">
        <is>
          <t>REFUND is accepted, linked to the original purchase, wallet is credited correctly, and ledger reason reflects a refund</t>
        </is>
      </c>
      <c r="J13" s="13" t="inlineStr">
        <is>
          <t>NA</t>
        </is>
      </c>
      <c r="K13" s="13" t="inlineStr">
        <is>
          <t>Functional</t>
        </is>
      </c>
    </row>
    <row r="14" ht="36" customHeight="1">
      <c r="A14" s="12" t="inlineStr">
        <is>
          <t>PoS Transactions V6.6.0 (EMI-5914)</t>
        </is>
      </c>
      <c r="B14" s="12" t="inlineStr">
        <is>
          <t>Callback Ingestion &amp; Valid</t>
        </is>
      </c>
      <c r="C14" s="12" t="inlineStr">
        <is>
          <t>Functional</t>
        </is>
      </c>
      <c r="D14" s="13" t="inlineStr">
        <is>
          <t>TC-Callback-13</t>
        </is>
      </c>
      <c r="E14" s="12" t="inlineStr">
        <is>
          <t>Valid VOID Callback</t>
        </is>
      </c>
      <c r="F14" s="13" t="inlineStr">
        <is>
          <t>High</t>
        </is>
      </c>
      <c r="G14" s="12" t="inlineStr">
        <is>
          <t>A prior same-day PURCHASE authorization exists and has not yet settled</t>
        </is>
      </c>
      <c r="H14" s="12" t="inlineStr">
        <is>
          <t>1. Submit a well-formed VOID callback (event_type=VOID) referencing the original authorization</t>
        </is>
      </c>
      <c r="I14" s="12" t="inlineStr">
        <is>
          <t>VOID is accepted, the original authorization is reversed/cancelled, no settlement occurs, ledger reflects the void</t>
        </is>
      </c>
      <c r="J14" s="13" t="inlineStr">
        <is>
          <t>NA</t>
        </is>
      </c>
      <c r="K14" s="13" t="inlineStr">
        <is>
          <t>Functional</t>
        </is>
      </c>
    </row>
    <row r="15" ht="36" customHeight="1">
      <c r="A15" s="12" t="inlineStr">
        <is>
          <t>PoS Transactions V6.6.0 (EMI-5914)</t>
        </is>
      </c>
      <c r="B15" s="12" t="inlineStr">
        <is>
          <t>Callback Ingestion &amp; Valid</t>
        </is>
      </c>
      <c r="C15" s="12" t="inlineStr">
        <is>
          <t>Functional</t>
        </is>
      </c>
      <c r="D15" s="13" t="inlineStr">
        <is>
          <t>TC-Callback-14</t>
        </is>
      </c>
      <c r="E15" s="12" t="inlineStr">
        <is>
          <t>Declined Transaction Callback (status=DECLINED)</t>
        </is>
      </c>
      <c r="F15" s="13" t="inlineStr">
        <is>
          <t>High</t>
        </is>
      </c>
      <c r="G15" s="12" t="inlineStr">
        <is>
          <t>Callback endpoint reachable</t>
        </is>
      </c>
      <c r="H15" s="12" t="inlineStr">
        <is>
          <t>1. Submit a well-formed PURCHASE callback with status=DECLINED</t>
        </is>
      </c>
      <c r="I15" s="12" t="inlineStr">
        <is>
          <t>Callback is accepted and persisted for audit purposes; no wallet ledger fund movement/booking occurs; stored status = DECLINED</t>
        </is>
      </c>
      <c r="J15" s="13" t="inlineStr">
        <is>
          <t>NA</t>
        </is>
      </c>
      <c r="K15" s="13" t="inlineStr">
        <is>
          <t>Negative</t>
        </is>
      </c>
    </row>
    <row r="16" ht="36" customHeight="1">
      <c r="A16" s="12" t="inlineStr">
        <is>
          <t>PoS Transactions V6.6.0 (EMI-5914)</t>
        </is>
      </c>
      <c r="B16" s="12" t="inlineStr">
        <is>
          <t>Callback Ingestion &amp; Valid</t>
        </is>
      </c>
      <c r="C16" s="12" t="inlineStr">
        <is>
          <t>Functional</t>
        </is>
      </c>
      <c r="D16" s="13" t="inlineStr">
        <is>
          <t>TC-Callback-15</t>
        </is>
      </c>
      <c r="E16" s="12" t="inlineStr">
        <is>
          <t>Successful Booking After Recovery From Retryable Failure</t>
        </is>
      </c>
      <c r="F16" s="13" t="inlineStr">
        <is>
          <t>High</t>
        </is>
      </c>
      <c r="G16" s="12" t="inlineStr">
        <is>
          <t>A callback previously received a retryable-failure response while the DB was unavailable (see TC-30)</t>
        </is>
      </c>
      <c r="H16" s="12" t="inlineStr">
        <is>
          <t>1. Restore database availability
2. Resubmit the identical callback, simulating InterSoft's retry behaviour
3. Query the resulting transaction</t>
        </is>
      </c>
      <c r="I16" s="12" t="inlineStr">
        <is>
          <t>Transaction is booked exactly once from the retried payload; no data loss, no duplicate booking</t>
        </is>
      </c>
      <c r="J16" s="13" t="inlineStr">
        <is>
          <t>NA</t>
        </is>
      </c>
      <c r="K16" s="13" t="inlineStr">
        <is>
          <t>Integration</t>
        </is>
      </c>
    </row>
    <row r="17" ht="36" customHeight="1">
      <c r="A17" s="12" t="inlineStr">
        <is>
          <t>PoS Transactions V6.6.0 (EMI-5914)</t>
        </is>
      </c>
      <c r="B17" s="12" t="inlineStr">
        <is>
          <t>Callback Ingestion &amp; Valid</t>
        </is>
      </c>
      <c r="C17" s="12" t="inlineStr">
        <is>
          <t>Security</t>
        </is>
      </c>
      <c r="D17" s="13" t="inlineStr">
        <is>
          <t>TC-Callback-16</t>
        </is>
      </c>
      <c r="E17" s="12" t="inlineStr">
        <is>
          <t>TLS / Authentication</t>
        </is>
      </c>
      <c r="F17" s="13" t="inlineStr">
        <is>
          <t>High</t>
        </is>
      </c>
      <c r="G17" s="12" t="inlineStr">
        <is>
          <t>Callback endpoint reachable; authentication control (mTLS/HMAC/credential) configured</t>
        </is>
      </c>
      <c r="H17" s="12" t="inlineStr">
        <is>
          <t>1. Attempt a connection using TLS 1.1 or lower
2. Submit a callback with an invalid/expired client certificate, signature, or credential</t>
        </is>
      </c>
      <c r="I17" s="12" t="inlineStr">
        <is>
          <t>TLS below 1.2 is rejected; invalid mTLS/HMAC/credential is rejected and a security alarm is recorded</t>
        </is>
      </c>
      <c r="J17" s="13" t="inlineStr">
        <is>
          <t>NA</t>
        </is>
      </c>
      <c r="K17" s="13" t="inlineStr">
        <is>
          <t>Security</t>
        </is>
      </c>
    </row>
    <row r="18" ht="36" customHeight="1">
      <c r="A18" s="12" t="inlineStr">
        <is>
          <t>PoS Transactions V6.6.0 (EMI-5914)</t>
        </is>
      </c>
      <c r="B18" s="12" t="inlineStr">
        <is>
          <t>Callback Ingestion &amp; Valid</t>
        </is>
      </c>
      <c r="C18" s="12" t="inlineStr">
        <is>
          <t>Security</t>
        </is>
      </c>
      <c r="D18" s="13" t="inlineStr">
        <is>
          <t>TC-Callback-17</t>
        </is>
      </c>
      <c r="E18" s="12" t="inlineStr">
        <is>
          <t>Replay / Timestamp Protection</t>
        </is>
      </c>
      <c r="F18" s="13" t="inlineStr">
        <is>
          <t>High</t>
        </is>
      </c>
      <c r="G18" s="12" t="inlineStr">
        <is>
          <t>Timestamp/replay control active</t>
        </is>
      </c>
      <c r="H18" s="12" t="inlineStr">
        <is>
          <t>1. Submit a valid callback with occurred_at skewed &gt;5 minutes into the past
2. Submit a valid callback with occurred_at skewed &gt;5 minutes into the future</t>
        </is>
      </c>
      <c r="I18" s="12" t="inlineStr">
        <is>
          <t>Timestamp skew &gt; 5 minutes, past or future, is rejected</t>
        </is>
      </c>
      <c r="J18" s="13" t="inlineStr">
        <is>
          <t>NA</t>
        </is>
      </c>
      <c r="K18" s="13" t="inlineStr">
        <is>
          <t>Integration</t>
        </is>
      </c>
    </row>
    <row r="19" ht="36" customHeight="1">
      <c r="A19" s="12" t="inlineStr">
        <is>
          <t>PoS Transactions V6.6.0 (EMI-5914)</t>
        </is>
      </c>
      <c r="B19" s="12" t="inlineStr">
        <is>
          <t>Callback Ingestion &amp; Valid</t>
        </is>
      </c>
      <c r="C19" s="12" t="inlineStr">
        <is>
          <t>Security</t>
        </is>
      </c>
      <c r="D19" s="13" t="inlineStr">
        <is>
          <t>TC-Callback-18</t>
        </is>
      </c>
      <c r="E19" s="12" t="inlineStr">
        <is>
          <t>Full PAN Protection</t>
        </is>
      </c>
      <c r="F19" s="13" t="inlineStr">
        <is>
          <t>High</t>
        </is>
      </c>
      <c r="G19" s="12" t="inlineStr">
        <is>
          <t>Ingestion endpoint available</t>
        </is>
      </c>
      <c r="H19" s="12" t="inlineStr">
        <is>
          <t>1. Submit a callback payload with a full unmasked PAN instead of masked_pan</t>
        </is>
      </c>
      <c r="I19" s="12" t="inlineStr">
        <is>
          <t>Full PAN causes terminal rejection E05; PAN is never stored unmasked, including in the archive</t>
        </is>
      </c>
      <c r="J19" s="13" t="inlineStr">
        <is>
          <t>NA</t>
        </is>
      </c>
      <c r="K19" s="13" t="inlineStr">
        <is>
          <t>Security</t>
        </is>
      </c>
    </row>
    <row r="20" ht="36" customHeight="1">
      <c r="A20" s="12" t="inlineStr">
        <is>
          <t>PoS Transactions V6.6.0 (EMI-5914)</t>
        </is>
      </c>
      <c r="B20" s="12" t="inlineStr">
        <is>
          <t>Callback Ingestion &amp; Valid</t>
        </is>
      </c>
      <c r="C20" s="12" t="inlineStr">
        <is>
          <t>Security</t>
        </is>
      </c>
      <c r="D20" s="13" t="inlineStr">
        <is>
          <t>TC-Callback-19</t>
        </is>
      </c>
      <c r="E20" s="12" t="inlineStr">
        <is>
          <t>External Resource Resolution</t>
        </is>
      </c>
      <c r="F20" s="13" t="inlineStr">
        <is>
          <t>High</t>
        </is>
      </c>
      <c r="G20" s="12" t="inlineStr">
        <is>
          <t>Parser configured with pinned local schemas only</t>
        </is>
      </c>
      <c r="H20" s="12" t="inlineStr">
        <is>
          <t>1. Submit a payload referencing an external DTD/schema/entity (e.g. XXE-style reference)</t>
        </is>
      </c>
      <c r="I20" s="12" t="inlineStr">
        <is>
          <t>External DTD/schema/resource is never fetched or read; request is rejected and a security alarm is generated</t>
        </is>
      </c>
      <c r="J20" s="13" t="inlineStr">
        <is>
          <t>NA</t>
        </is>
      </c>
      <c r="K20" s="13" t="inlineStr">
        <is>
          <t>Negative</t>
        </is>
      </c>
    </row>
    <row r="21" ht="36" customHeight="1">
      <c r="A21" s="12" t="inlineStr">
        <is>
          <t>PoS Transactions V6.6.0 (EMI-5914)</t>
        </is>
      </c>
      <c r="B21" s="12" t="inlineStr">
        <is>
          <t>Callback Ingestion &amp; Valid</t>
        </is>
      </c>
      <c r="C21" s="12" t="inlineStr">
        <is>
          <t>Security</t>
        </is>
      </c>
      <c r="D21" s="13" t="inlineStr">
        <is>
          <t>TC-Callback-20</t>
        </is>
      </c>
      <c r="E21" s="12" t="inlineStr">
        <is>
          <t>Security Alarm on Undeclared Operation/Message Type</t>
        </is>
      </c>
      <c r="F21" s="13" t="inlineStr">
        <is>
          <t>Medium</t>
        </is>
      </c>
      <c r="G21" s="12" t="inlineStr">
        <is>
          <t>Published contract defines a closed set of declared operations/message types</t>
        </is>
      </c>
      <c r="H21" s="12" t="inlineStr">
        <is>
          <t>1. Submit a request using a transport-level operation/message type not present in the declared contract (not merely an invalid event_type value)</t>
        </is>
      </c>
      <c r="I21" s="12" t="inlineStr">
        <is>
          <t>Request is rejected and the security alarm counter increments</t>
        </is>
      </c>
      <c r="J21" s="13" t="inlineStr">
        <is>
          <t>NA</t>
        </is>
      </c>
      <c r="K21" s="13" t="inlineStr">
        <is>
          <t>Negative</t>
        </is>
      </c>
    </row>
    <row r="22" ht="36" customHeight="1">
      <c r="A22" s="12" t="inlineStr">
        <is>
          <t>PoS Transactions V6.6.0 (EMI-5914)</t>
        </is>
      </c>
      <c r="B22" s="12" t="inlineStr">
        <is>
          <t>Callback Ingestion &amp; Valid</t>
        </is>
      </c>
      <c r="C22" s="12" t="inlineStr">
        <is>
          <t>Security</t>
        </is>
      </c>
      <c r="D22" s="13" t="inlineStr">
        <is>
          <t>TC-Callback-21</t>
        </is>
      </c>
      <c r="E22" s="12" t="inlineStr">
        <is>
          <t>Machine-Readable Reason Code Coverage (E1-E9)</t>
        </is>
      </c>
      <c r="F22" s="13" t="inlineStr">
        <is>
          <t>Medium</t>
        </is>
      </c>
      <c r="G22" s="12" t="inlineStr">
        <is>
          <t>Ingestion endpoint available</t>
        </is>
      </c>
      <c r="H22" s="12" t="inlineStr">
        <is>
          <t>1. Trigger each terminal-rejection category in turn (malformed payload, full PAN, stale timestamp, unknown type, missing mandatory field, etc.)
2. Inspect each response</t>
        </is>
      </c>
      <c r="I22" s="12" t="inlineStr">
        <is>
          <t>Each terminal rejection returns the correct machine-readable E1-E9 code per spec §9, not only human-readable text</t>
        </is>
      </c>
      <c r="J22" s="13" t="inlineStr">
        <is>
          <t>NA</t>
        </is>
      </c>
      <c r="K22" s="13" t="inlineStr">
        <is>
          <t>Negative</t>
        </is>
      </c>
    </row>
    <row r="23" ht="36" customHeight="1">
      <c r="A23" s="12" t="inlineStr">
        <is>
          <t>PoS Transactions V6.6.0 (EMI-5914)</t>
        </is>
      </c>
      <c r="B23" s="12" t="inlineStr">
        <is>
          <t>Callback Ingestion &amp; Valid</t>
        </is>
      </c>
      <c r="C23" s="12" t="inlineStr">
        <is>
          <t>Security</t>
        </is>
      </c>
      <c r="D23" s="13" t="inlineStr">
        <is>
          <t>TC-Callback-22</t>
        </is>
      </c>
      <c r="E23" s="12" t="inlineStr">
        <is>
          <t>Compensating Control for Unavailable Strongest Authentication</t>
        </is>
      </c>
      <c r="F23" s="13" t="inlineStr">
        <is>
          <t>Medium</t>
        </is>
      </c>
      <c r="G23" s="12" t="inlineStr">
        <is>
          <t>Test environment where mTLS (the strongest preferred control) is not supported by the client</t>
        </is>
      </c>
      <c r="H23" s="12" t="inlineStr">
        <is>
          <t>1. Attempt a callback using the next-strongest available control per the documented preference order (signature, then rotated shared credential, then IP allow-list)</t>
        </is>
      </c>
      <c r="I23" s="12" t="inlineStr">
        <is>
          <t>Connection is accepted only via the documented compensating control for the missing stronger control; the gap and control are named in integration docs, not silently defaulted</t>
        </is>
      </c>
      <c r="J23" s="13" t="inlineStr">
        <is>
          <t>NA</t>
        </is>
      </c>
      <c r="K23" s="13" t="inlineStr">
        <is>
          <t>Negative</t>
        </is>
      </c>
    </row>
    <row r="24" ht="36" customHeight="1">
      <c r="A24" s="12" t="inlineStr">
        <is>
          <t>PoS Transactions V6.6.0 (EMI-5914)</t>
        </is>
      </c>
      <c r="B24" s="12" t="inlineStr">
        <is>
          <t>Callback Ingestion &amp; Valid</t>
        </is>
      </c>
      <c r="C24" s="12" t="inlineStr">
        <is>
          <t>Validation</t>
        </is>
      </c>
      <c r="D24" s="13" t="inlineStr">
        <is>
          <t>TC-Callback-23</t>
        </is>
      </c>
      <c r="E24" s="12" t="inlineStr">
        <is>
          <t>Schema Validation</t>
        </is>
      </c>
      <c r="F24" s="13" t="inlineStr">
        <is>
          <t>Medium</t>
        </is>
      </c>
      <c r="G24" s="12" t="inlineStr">
        <is>
          <t>Pinned schema contract in place</t>
        </is>
      </c>
      <c r="H24" s="12" t="inlineStr">
        <is>
          <t>1. Submit a payload violating the pinned versioned schema or exceeding the size cap</t>
        </is>
      </c>
      <c r="I24" s="12" t="inlineStr">
        <is>
          <t>Malformed/invalid payload is rejected before canonical object binding; no partial object is created</t>
        </is>
      </c>
      <c r="J24" s="13" t="inlineStr">
        <is>
          <t>NA</t>
        </is>
      </c>
      <c r="K24" s="13" t="inlineStr">
        <is>
          <t>Negative</t>
        </is>
      </c>
    </row>
    <row r="25" ht="36" customHeight="1">
      <c r="A25" s="12" t="inlineStr">
        <is>
          <t>PoS Transactions V6.6.0 (EMI-5914)</t>
        </is>
      </c>
      <c r="B25" s="12" t="inlineStr">
        <is>
          <t>Callback Ingestion &amp; Valid</t>
        </is>
      </c>
      <c r="C25" s="12" t="inlineStr">
        <is>
          <t>Validation</t>
        </is>
      </c>
      <c r="D25" s="13" t="inlineStr">
        <is>
          <t>TC-Callback-24</t>
        </is>
      </c>
      <c r="E25" s="12" t="inlineStr">
        <is>
          <t>Mandatory Field Validation</t>
        </is>
      </c>
      <c r="F25" s="13" t="inlineStr">
        <is>
          <t>High</t>
        </is>
      </c>
      <c r="G25" s="12" t="inlineStr">
        <is>
          <t>Ingestion endpoint available</t>
        </is>
      </c>
      <c r="H25" s="12" t="inlineStr">
        <is>
          <t>1. Submit a callback missing a mandatory canonical field (e.g. TerminalID, RRN/STAN, or Amount)</t>
        </is>
      </c>
      <c r="I25" s="12" t="inlineStr">
        <is>
          <t>Missing mandatory fields result in machine-readable terminal rejection; no booking occurs</t>
        </is>
      </c>
      <c r="J25" s="13" t="inlineStr">
        <is>
          <t>NA</t>
        </is>
      </c>
      <c r="K25" s="13" t="inlineStr">
        <is>
          <t>Negative</t>
        </is>
      </c>
    </row>
    <row r="26" ht="36" customHeight="1">
      <c r="A26" s="12" t="inlineStr">
        <is>
          <t>PoS Transactions V6.6.0 (EMI-5914)</t>
        </is>
      </c>
      <c r="B26" s="12" t="inlineStr">
        <is>
          <t>Callback Ingestion &amp; Valid</t>
        </is>
      </c>
      <c r="C26" s="12" t="inlineStr">
        <is>
          <t>Validation</t>
        </is>
      </c>
      <c r="D26" s="13" t="inlineStr">
        <is>
          <t>TC-Callback-25</t>
        </is>
      </c>
      <c r="E26" s="12" t="inlineStr">
        <is>
          <t>Unknown Event / Message Type</t>
        </is>
      </c>
      <c r="F26" s="13" t="inlineStr">
        <is>
          <t>Medium</t>
        </is>
      </c>
      <c r="G26" s="12" t="inlineStr">
        <is>
          <t>Ingestion endpoint available</t>
        </is>
      </c>
      <c r="H26" s="12" t="inlineStr">
        <is>
          <t>1. Submit a callback with event_type outside PURCHASE/REFUND/VOID/REVERSAL, or an unregistered message type</t>
        </is>
      </c>
      <c r="I26" s="12" t="inlineStr">
        <is>
          <t>Unknown event_type or message type is terminally rejected and is not retried</t>
        </is>
      </c>
      <c r="J26" s="13" t="inlineStr">
        <is>
          <t>NA</t>
        </is>
      </c>
      <c r="K26" s="13" t="inlineStr">
        <is>
          <t>Negative</t>
        </is>
      </c>
    </row>
    <row r="27" ht="36" customHeight="1">
      <c r="A27" s="12" t="inlineStr">
        <is>
          <t>PoS Transactions V6.6.0 (EMI-5914)</t>
        </is>
      </c>
      <c r="B27" s="12" t="inlineStr">
        <is>
          <t>Callback Ingestion &amp; Valid</t>
        </is>
      </c>
      <c r="C27" s="12" t="inlineStr">
        <is>
          <t>Validation</t>
        </is>
      </c>
      <c r="D27" s="13" t="inlineStr">
        <is>
          <t>TC-Callback-26</t>
        </is>
      </c>
      <c r="E27" s="12" t="inlineStr">
        <is>
          <t>Pinned Value Formats</t>
        </is>
      </c>
      <c r="F27" s="13" t="inlineStr">
        <is>
          <t>Medium</t>
        </is>
      </c>
      <c r="G27" s="12" t="inlineStr">
        <is>
          <t>Ingestion endpoint available</t>
        </is>
      </c>
      <c r="H27" s="12" t="inlineStr">
        <is>
          <t>1. Submit an amount in exponent notation (e.g. 1e2) or with a thousands separator
2. Submit a timestamp without a UTC offset</t>
        </is>
      </c>
      <c r="I27" s="12" t="inlineStr">
        <is>
          <t>Exponent notation, thousands separators, invalid numeric formats, or timestamps without UTC offset are rejected</t>
        </is>
      </c>
      <c r="J27" s="13" t="inlineStr">
        <is>
          <t>NA</t>
        </is>
      </c>
      <c r="K27" s="13" t="inlineStr">
        <is>
          <t>Negative</t>
        </is>
      </c>
    </row>
    <row r="28" ht="36" customHeight="1">
      <c r="A28" s="12" t="inlineStr">
        <is>
          <t>PoS Transactions V6.6.0 (EMI-5914)</t>
        </is>
      </c>
      <c r="B28" s="12" t="inlineStr">
        <is>
          <t>Callback Ingestion &amp; Valid</t>
        </is>
      </c>
      <c r="C28" s="12" t="inlineStr">
        <is>
          <t>Validation</t>
        </is>
      </c>
      <c r="D28" s="13" t="inlineStr">
        <is>
          <t>TC-Callback-27</t>
        </is>
      </c>
      <c r="E28" s="12" t="inlineStr">
        <is>
          <t>Zero Amount</t>
        </is>
      </c>
      <c r="F28" s="13" t="inlineStr">
        <is>
          <t>Low</t>
        </is>
      </c>
      <c r="G28" s="12" t="inlineStr">
        <is>
          <t>Ingestion endpoint available</t>
        </is>
      </c>
      <c r="H28" s="12" t="inlineStr">
        <is>
          <t>1. Submit a callback with Amount = 0.00</t>
        </is>
      </c>
      <c r="I28" s="12" t="inlineStr">
        <is>
          <t>OPEN ITEM — behaviour undefined; clarify with the business whether zero-value / verification-only auths should be accepted or rejected</t>
        </is>
      </c>
      <c r="J28" s="13" t="inlineStr">
        <is>
          <t>NA</t>
        </is>
      </c>
      <c r="K28" s="13" t="inlineStr">
        <is>
          <t>Negative</t>
        </is>
      </c>
    </row>
    <row r="29" ht="36" customHeight="1">
      <c r="A29" s="12" t="inlineStr">
        <is>
          <t>PoS Transactions V6.6.0 (EMI-5914)</t>
        </is>
      </c>
      <c r="B29" s="12" t="inlineStr">
        <is>
          <t>Callback Ingestion &amp; Valid</t>
        </is>
      </c>
      <c r="C29" s="12" t="inlineStr">
        <is>
          <t>Validation</t>
        </is>
      </c>
      <c r="D29" s="13" t="inlineStr">
        <is>
          <t>TC-Callback-28</t>
        </is>
      </c>
      <c r="E29" s="12" t="inlineStr">
        <is>
          <t>Structural Hardening</t>
        </is>
      </c>
      <c r="F29" s="13" t="inlineStr">
        <is>
          <t>Medium</t>
        </is>
      </c>
      <c r="G29" s="12" t="inlineStr">
        <is>
          <t>Ingestion endpoint available</t>
        </is>
      </c>
      <c r="H29" s="12" t="inlineStr">
        <is>
          <t>1. Submit an oversized payload or one with excessive nesting depth/field count</t>
        </is>
      </c>
      <c r="I29" s="12" t="inlineStr">
        <is>
          <t>Oversized payload / excessive nesting / excessive field count is rejected before excessive memory consumption</t>
        </is>
      </c>
      <c r="J29" s="13" t="inlineStr">
        <is>
          <t>NA</t>
        </is>
      </c>
      <c r="K29" s="13" t="inlineStr">
        <is>
          <t>Negative</t>
        </is>
      </c>
    </row>
    <row r="30" ht="36" customHeight="1">
      <c r="A30" s="12" t="inlineStr">
        <is>
          <t>PoS Transactions V6.6.0 (EMI-5914)</t>
        </is>
      </c>
      <c r="B30" s="12" t="inlineStr">
        <is>
          <t>Callback Ingestion &amp; Valid</t>
        </is>
      </c>
      <c r="C30" s="12" t="inlineStr">
        <is>
          <t>Validation</t>
        </is>
      </c>
      <c r="D30" s="13" t="inlineStr">
        <is>
          <t>TC-Callback-29</t>
        </is>
      </c>
      <c r="E30" s="12" t="inlineStr">
        <is>
          <t>Unknown Optional Field</t>
        </is>
      </c>
      <c r="F30" s="13" t="inlineStr">
        <is>
          <t>Low</t>
        </is>
      </c>
      <c r="G30" s="12" t="inlineStr">
        <is>
          <t>Ingestion endpoint available</t>
        </is>
      </c>
      <c r="H30" s="12" t="inlineStr">
        <is>
          <t>1. Submit a known message type with an additional undocumented optional field</t>
        </is>
      </c>
      <c r="I30" s="12" t="inlineStr">
        <is>
          <t>Unknown optional field in a known message is accepted and archived without affecting processing</t>
        </is>
      </c>
      <c r="J30" s="13" t="inlineStr">
        <is>
          <t>NA</t>
        </is>
      </c>
      <c r="K30" s="13" t="inlineStr">
        <is>
          <t>Negative</t>
        </is>
      </c>
    </row>
    <row r="31" ht="36" customHeight="1">
      <c r="A31" s="12" t="inlineStr">
        <is>
          <t>PoS Transactions V6.6.0 (EMI-5914)</t>
        </is>
      </c>
      <c r="B31" s="12" t="inlineStr">
        <is>
          <t>Callback Ingestion &amp; Valid</t>
        </is>
      </c>
      <c r="C31" s="12" t="inlineStr">
        <is>
          <t>Validation</t>
        </is>
      </c>
      <c r="D31" s="13" t="inlineStr">
        <is>
          <t>TC-Callback-30</t>
        </is>
      </c>
      <c r="E31" s="12" t="inlineStr">
        <is>
          <t>Contract Version Backward Compatibility</t>
        </is>
      </c>
      <c r="F31" s="13" t="inlineStr">
        <is>
          <t>Low</t>
        </is>
      </c>
      <c r="G31" s="12" t="inlineStr">
        <is>
          <t>The published contract has been version-bumped (e.g. a new optional field added)</t>
        </is>
      </c>
      <c r="H31" s="12" t="inlineStr">
        <is>
          <t>1. Submit a callback formatted to an older, still-supported contract version</t>
        </is>
      </c>
      <c r="I31" s="12" t="inlineStr">
        <is>
          <t>Older-version payload is still accepted per the version-addressable contract; in-flight terminals are not broken by the newer version</t>
        </is>
      </c>
      <c r="J31" s="13" t="inlineStr">
        <is>
          <t>NA</t>
        </is>
      </c>
      <c r="K31" s="13" t="inlineStr">
        <is>
          <t>Negative</t>
        </is>
      </c>
    </row>
    <row r="32" ht="36" customHeight="1">
      <c r="A32" s="12" t="inlineStr">
        <is>
          <t>PoS Transactions V6.6.0 (EMI-5914)</t>
        </is>
      </c>
      <c r="B32" s="12" t="inlineStr">
        <is>
          <t>Callback Ingestion &amp; Valid</t>
        </is>
      </c>
      <c r="C32" s="12" t="inlineStr">
        <is>
          <t>Routing</t>
        </is>
      </c>
      <c r="D32" s="13" t="inlineStr">
        <is>
          <t>TC-Callback-31</t>
        </is>
      </c>
      <c r="E32" s="12" t="inlineStr">
        <is>
          <t>Unknown / Unregistered TID</t>
        </is>
      </c>
      <c r="F32" s="13" t="inlineStr">
        <is>
          <t>High</t>
        </is>
      </c>
      <c r="G32" s="12" t="inlineStr">
        <is>
          <t>TID not present in device/wallet registry</t>
        </is>
      </c>
      <c r="H32" s="12" t="inlineStr">
        <is>
          <t>1. Submit a valid callback for a TID with no wallet mapping</t>
        </is>
      </c>
      <c r="I32" s="12" t="inlineStr">
        <is>
          <t>Transaction is accepted and parked as UNMATCHED; Ops alarm generated; transaction is retained, not dropped, and no invalid booking is created</t>
        </is>
      </c>
      <c r="J32" s="13" t="inlineStr">
        <is>
          <t>NA</t>
        </is>
      </c>
      <c r="K32" s="13" t="inlineStr">
        <is>
          <t>Negative</t>
        </is>
      </c>
    </row>
    <row r="33" ht="36" customHeight="1">
      <c r="A33" s="12" t="inlineStr">
        <is>
          <t>PoS Transactions V6.6.0 (EMI-5914)</t>
        </is>
      </c>
      <c r="B33" s="12" t="inlineStr">
        <is>
          <t>Callback Ingestion &amp; Valid</t>
        </is>
      </c>
      <c r="C33" s="12" t="inlineStr">
        <is>
          <t>Routing</t>
        </is>
      </c>
      <c r="D33" s="13" t="inlineStr">
        <is>
          <t>TC-Callback-32</t>
        </is>
      </c>
      <c r="E33" s="12" t="inlineStr">
        <is>
          <t>Suspended Wallet</t>
        </is>
      </c>
      <c r="F33" s="13" t="inlineStr">
        <is>
          <t>Medium</t>
        </is>
      </c>
      <c r="G33" s="12" t="inlineStr">
        <is>
          <t>TID resolves to a wallet currently suspended</t>
        </is>
      </c>
      <c r="H33" s="12" t="inlineStr">
        <is>
          <t>1. Submit a callback for a TID whose linked wallet is suspended</t>
        </is>
      </c>
      <c r="I33" s="12" t="inlineStr">
        <is>
          <t>Transaction is parked and not booked while the linked wallet is suspended</t>
        </is>
      </c>
      <c r="J33" s="13" t="inlineStr">
        <is>
          <t>NA</t>
        </is>
      </c>
      <c r="K33" s="13" t="inlineStr">
        <is>
          <t>Functional</t>
        </is>
      </c>
    </row>
    <row r="34" ht="36" customHeight="1">
      <c r="A34" s="12" t="inlineStr">
        <is>
          <t>PoS Transactions V6.6.0 (EMI-5914)</t>
        </is>
      </c>
      <c r="B34" s="12" t="inlineStr">
        <is>
          <t>Callback Ingestion &amp; Valid</t>
        </is>
      </c>
      <c r="C34" s="12" t="inlineStr">
        <is>
          <t>Routing</t>
        </is>
      </c>
      <c r="D34" s="13" t="inlineStr">
        <is>
          <t>TC-Callback-33</t>
        </is>
      </c>
      <c r="E34" s="12" t="inlineStr">
        <is>
          <t>Reversal Before Purchase</t>
        </is>
      </c>
      <c r="F34" s="13" t="inlineStr">
        <is>
          <t>Medium</t>
        </is>
      </c>
      <c r="G34" s="12" t="inlineStr">
        <is>
          <t>No prior purchase booked for the referenced transaction</t>
        </is>
      </c>
      <c r="H34" s="12" t="inlineStr">
        <is>
          <t>1. Submit a REVERSAL event referencing a purchase not yet in the ledger</t>
        </is>
      </c>
      <c r="I34" s="12" t="inlineStr">
        <is>
          <t>Reversal is parked for up to 48h and automatically matched when the purchase arrives</t>
        </is>
      </c>
      <c r="J34" s="13" t="inlineStr">
        <is>
          <t>NA</t>
        </is>
      </c>
      <c r="K34" s="13" t="inlineStr">
        <is>
          <t>Functional</t>
        </is>
      </c>
    </row>
    <row r="35" ht="36" customHeight="1">
      <c r="A35" s="12" t="inlineStr">
        <is>
          <t>PoS Transactions V6.6.0 (EMI-5914)</t>
        </is>
      </c>
      <c r="B35" s="12" t="inlineStr">
        <is>
          <t>Callback Ingestion &amp; Valid</t>
        </is>
      </c>
      <c r="C35" s="12" t="inlineStr">
        <is>
          <t>Routing</t>
        </is>
      </c>
      <c r="D35" s="13" t="inlineStr">
        <is>
          <t>TC-Callback-34</t>
        </is>
      </c>
      <c r="E35" s="12" t="inlineStr">
        <is>
          <t>48h Parking Expiry</t>
        </is>
      </c>
      <c r="F35" s="13" t="inlineStr">
        <is>
          <t>Medium</t>
        </is>
      </c>
      <c r="G35" s="12" t="inlineStr">
        <is>
          <t>A reversal is parked awaiting its purchase</t>
        </is>
      </c>
      <c r="H35" s="12" t="inlineStr">
        <is>
          <t>1. Advance/simulate time past the 48h parking window without the purchase arriving</t>
        </is>
      </c>
      <c r="I35" s="12" t="inlineStr">
        <is>
          <t>Unmatched reversal exceeding 48h triggers Ops escalation and is not silently dropped</t>
        </is>
      </c>
      <c r="J35" s="13" t="inlineStr">
        <is>
          <t>NA</t>
        </is>
      </c>
      <c r="K35" s="13" t="inlineStr">
        <is>
          <t>Functional</t>
        </is>
      </c>
    </row>
    <row r="36" ht="36" customHeight="1">
      <c r="A36" s="12" t="inlineStr">
        <is>
          <t>PoS Transactions V6.6.0 (EMI-5914)</t>
        </is>
      </c>
      <c r="B36" s="12" t="inlineStr">
        <is>
          <t>Callback Ingestion &amp; Valid</t>
        </is>
      </c>
      <c r="C36" s="12" t="inlineStr">
        <is>
          <t>Routing</t>
        </is>
      </c>
      <c r="D36" s="13" t="inlineStr">
        <is>
          <t>TC-Callback-35</t>
        </is>
      </c>
      <c r="E36" s="12" t="inlineStr">
        <is>
          <t>Inactive (Registered but Disabled) TID</t>
        </is>
      </c>
      <c r="F36" s="13" t="inlineStr">
        <is>
          <t>Medium</t>
        </is>
      </c>
      <c r="G36" s="12" t="inlineStr">
        <is>
          <t>TID exists in the device/wallet registry but its status is inactive/disabled — distinct from an unregistered TID</t>
        </is>
      </c>
      <c r="H36" s="12" t="inlineStr">
        <is>
          <t>1. Submit a valid callback for a TID that is registered but marked inactive</t>
        </is>
      </c>
      <c r="I36" s="12" t="inlineStr">
        <is>
          <t>Transaction is accepted and parked UNMATCHED with Ops alarm, same treatment as an unregistered TID</t>
        </is>
      </c>
      <c r="J36" s="13" t="inlineStr">
        <is>
          <t>NA</t>
        </is>
      </c>
      <c r="K36" s="13" t="inlineStr">
        <is>
          <t>Functional</t>
        </is>
      </c>
    </row>
    <row r="37" ht="36" customHeight="1">
      <c r="A37" s="12" t="inlineStr">
        <is>
          <t>PoS Transactions V6.6.0 (EMI-5914)</t>
        </is>
      </c>
      <c r="B37" s="12" t="inlineStr">
        <is>
          <t>Callback Ingestion &amp; Valid</t>
        </is>
      </c>
      <c r="C37" s="12" t="inlineStr">
        <is>
          <t>Idempotency</t>
        </is>
      </c>
      <c r="D37" s="13" t="inlineStr">
        <is>
          <t>TC-Callback-36</t>
        </is>
      </c>
      <c r="E37" s="12" t="inlineStr">
        <is>
          <t>Duplicate Transaction</t>
        </is>
      </c>
      <c r="F37" s="13" t="inlineStr">
        <is>
          <t>High</t>
        </is>
      </c>
      <c r="G37" s="12" t="inlineStr">
        <is>
          <t>A transaction with a given provider_txn_id already ACCEPTED</t>
        </is>
      </c>
      <c r="H37" s="12" t="inlineStr">
        <is>
          <t>1. Resend the identical provider_txn_id callback</t>
        </is>
      </c>
      <c r="I37" s="12" t="inlineStr">
        <is>
          <t>Same provider_txn_id returns the original response; only one transaction exists; no side effects</t>
        </is>
      </c>
      <c r="J37" s="13" t="inlineStr">
        <is>
          <t>NA</t>
        </is>
      </c>
      <c r="K37" s="13" t="inlineStr">
        <is>
          <t>Integration</t>
        </is>
      </c>
    </row>
    <row r="38" ht="36" customHeight="1">
      <c r="A38" s="12" t="inlineStr">
        <is>
          <t>PoS Transactions V6.6.0 (EMI-5914)</t>
        </is>
      </c>
      <c r="B38" s="12" t="inlineStr">
        <is>
          <t>Callback Ingestion &amp; Valid</t>
        </is>
      </c>
      <c r="C38" s="12" t="inlineStr">
        <is>
          <t>Idempotency</t>
        </is>
      </c>
      <c r="D38" s="13" t="inlineStr">
        <is>
          <t>TC-Callback-37</t>
        </is>
      </c>
      <c r="E38" s="12" t="inlineStr">
        <is>
          <t>Fallback Idempotency Key</t>
        </is>
      </c>
      <c r="F38" s="13" t="inlineStr">
        <is>
          <t>Medium</t>
        </is>
      </c>
      <c r="G38" s="12" t="inlineStr">
        <is>
          <t>Message missing provider_txn_id, with rrn/stan, tid and date matching a prior message</t>
        </is>
      </c>
      <c r="H38" s="12" t="inlineStr">
        <is>
          <t>1. Submit a callback lacking provider_txn_id but with rrn/stan, tid and date matching a prior message</t>
        </is>
      </c>
      <c r="I38" s="12" t="inlineStr">
        <is>
          <t>System matches on tid+rrn+stan+date; a duplicate on this fallback key is treated identically to a primary-key duplicate</t>
        </is>
      </c>
      <c r="J38" s="13" t="inlineStr">
        <is>
          <t>NA</t>
        </is>
      </c>
      <c r="K38" s="13" t="inlineStr">
        <is>
          <t>Integration</t>
        </is>
      </c>
    </row>
    <row r="39" ht="36" customHeight="1">
      <c r="A39" s="12" t="inlineStr">
        <is>
          <t>PoS Transactions V6.6.0 (EMI-5914)</t>
        </is>
      </c>
      <c r="B39" s="12" t="inlineStr">
        <is>
          <t>Callback Ingestion &amp; Valid</t>
        </is>
      </c>
      <c r="C39" s="12" t="inlineStr">
        <is>
          <t>Idempotency</t>
        </is>
      </c>
      <c r="D39" s="13" t="inlineStr">
        <is>
          <t>TC-Callback-38</t>
        </is>
      </c>
      <c r="E39" s="12" t="inlineStr">
        <is>
          <t>Concurrent Duplicate Requests</t>
        </is>
      </c>
      <c r="F39" s="13" t="inlineStr">
        <is>
          <t>High</t>
        </is>
      </c>
      <c r="G39" s="12" t="inlineStr">
        <is>
          <t>Same payload not yet persisted</t>
        </is>
      </c>
      <c r="H39" s="12" t="inlineStr">
        <is>
          <t>1. Fire two identical callback requests simultaneously</t>
        </is>
      </c>
      <c r="I39" s="12" t="inlineStr">
        <is>
          <t>Simultaneous identical requests are protected by the DB unique constraint; only one transaction is booked</t>
        </is>
      </c>
      <c r="J39" s="13" t="inlineStr">
        <is>
          <t>NA</t>
        </is>
      </c>
      <c r="K39" s="13" t="inlineStr">
        <is>
          <t>Integration</t>
        </is>
      </c>
    </row>
    <row r="40" ht="36" customHeight="1">
      <c r="A40" s="12" t="inlineStr">
        <is>
          <t>PoS Transactions V6.6.0 (EMI-5914)</t>
        </is>
      </c>
      <c r="B40" s="12" t="inlineStr">
        <is>
          <t>Callback Ingestion &amp; Valid</t>
        </is>
      </c>
      <c r="C40" s="12" t="inlineStr">
        <is>
          <t>Idempotency</t>
        </is>
      </c>
      <c r="D40" s="13" t="inlineStr">
        <is>
          <t>TC-Callback-39</t>
        </is>
      </c>
      <c r="E40" s="12" t="inlineStr">
        <is>
          <t>Cross-Origin Callback After Backfill</t>
        </is>
      </c>
      <c r="F40" s="13" t="inlineStr">
        <is>
          <t>High</t>
        </is>
      </c>
      <c r="G40" s="12" t="inlineStr">
        <is>
          <t>Same transaction already booked via EMI-5991 backfill (origin=RECON_BACKFILL)</t>
        </is>
      </c>
      <c r="H40" s="12" t="inlineStr">
        <is>
          <t>1. Submit the original InterSoft callback for a transaction already backfilled
2. Query the resulting PosTransaction.origin field</t>
        </is>
      </c>
      <c r="I40" s="12" t="inlineStr">
        <is>
          <t>Callback for a transaction already created by RECON_BACKFILL is absorbed; no second transaction or double booking; origin remains RECON_BACKFILL, unchanged by the absorbed callback</t>
        </is>
      </c>
      <c r="J40" s="13" t="inlineStr">
        <is>
          <t>NA</t>
        </is>
      </c>
      <c r="K40" s="13" t="inlineStr">
        <is>
          <t>Integration</t>
        </is>
      </c>
    </row>
    <row r="41" ht="36" customHeight="1">
      <c r="A41" s="12" t="inlineStr">
        <is>
          <t>PoS Transactions V6.6.0 (EMI-5914)</t>
        </is>
      </c>
      <c r="B41" s="12" t="inlineStr">
        <is>
          <t>Callback Ingestion &amp; Valid</t>
        </is>
      </c>
      <c r="C41" s="12" t="inlineStr">
        <is>
          <t>Reliability</t>
        </is>
      </c>
      <c r="D41" s="13" t="inlineStr">
        <is>
          <t>TC-Callback-40</t>
        </is>
      </c>
      <c r="E41" s="12" t="inlineStr">
        <is>
          <t>Database Unavailable</t>
        </is>
      </c>
      <c r="F41" s="13" t="inlineStr">
        <is>
          <t>High</t>
        </is>
      </c>
      <c r="G41" s="12" t="inlineStr">
        <is>
          <t>Simulate a database outage during the booking call</t>
        </is>
      </c>
      <c r="H41" s="12" t="inlineStr">
        <is>
          <t>1. Trigger a callback while the booking pipeline's database is unavailable</t>
        </is>
      </c>
      <c r="I41" s="12" t="inlineStr">
        <is>
          <t>Returns retryable failure; never terminal rejection; InterSoft can retry</t>
        </is>
      </c>
      <c r="J41" s="13" t="inlineStr">
        <is>
          <t>NA</t>
        </is>
      </c>
      <c r="K41" s="13" t="inlineStr">
        <is>
          <t>Negative</t>
        </is>
      </c>
    </row>
    <row r="42" ht="36" customHeight="1">
      <c r="A42" s="12" t="inlineStr">
        <is>
          <t>PoS Transactions V6.6.0 (EMI-5914)</t>
        </is>
      </c>
      <c r="B42" s="12" t="inlineStr">
        <is>
          <t>Callback Ingestion &amp; Valid</t>
        </is>
      </c>
      <c r="C42" s="12" t="inlineStr">
        <is>
          <t>Reliability</t>
        </is>
      </c>
      <c r="D42" s="13" t="inlineStr">
        <is>
          <t>TC-Callback-41</t>
        </is>
      </c>
      <c r="E42" s="12" t="inlineStr">
        <is>
          <t>TID Registry Unavailable</t>
        </is>
      </c>
      <c r="F42" s="13" t="inlineStr">
        <is>
          <t>Medium</t>
        </is>
      </c>
      <c r="G42" s="12" t="inlineStr">
        <is>
          <t>Simulate TID-to-wallet registry/lookup service outage</t>
        </is>
      </c>
      <c r="H42" s="12" t="inlineStr">
        <is>
          <t>1. Submit a valid callback while the TID registry service is unreachable</t>
        </is>
      </c>
      <c r="I42" s="12" t="inlineStr">
        <is>
          <t>Fails safely to UNMATCHED/parking with Ops alarm; transaction is not lost</t>
        </is>
      </c>
      <c r="J42" s="13" t="inlineStr">
        <is>
          <t>NA</t>
        </is>
      </c>
      <c r="K42" s="13" t="inlineStr">
        <is>
          <t>Negative</t>
        </is>
      </c>
    </row>
    <row r="43" ht="36" customHeight="1">
      <c r="A43" s="12" t="inlineStr">
        <is>
          <t>PoS Transactions V6.6.0 (EMI-5914)</t>
        </is>
      </c>
      <c r="B43" s="12" t="inlineStr">
        <is>
          <t>Callback Ingestion &amp; Valid</t>
        </is>
      </c>
      <c r="C43" s="12" t="inlineStr">
        <is>
          <t>Reliability</t>
        </is>
      </c>
      <c r="D43" s="13" t="inlineStr">
        <is>
          <t>TC-Callback-42</t>
        </is>
      </c>
      <c r="E43" s="12" t="inlineStr">
        <is>
          <t>Audit Log Completeness Across All State Transitions</t>
        </is>
      </c>
      <c r="F43" s="13" t="inlineStr">
        <is>
          <t>Medium</t>
        </is>
      </c>
      <c r="G43" s="12" t="inlineStr">
        <is>
          <t>Transactions exist in each lifecycle state: ACCEPTED, PARKED/UNMATCHED, COMPLIANCE_HOLD, TERMINAL_REJECTED, RETRYABLE_FAILURE</t>
        </is>
      </c>
      <c r="H43" s="12" t="inlineStr">
        <is>
          <t>1. For a transaction in each state, query the audit log for that transaction and its state-change history</t>
        </is>
      </c>
      <c r="I43" s="12" t="inlineStr">
        <is>
          <t>Every state change is captured in the audit log with timestamp, not just failed callbacks and the masked archive</t>
        </is>
      </c>
      <c r="J43" s="13" t="inlineStr">
        <is>
          <t>NA</t>
        </is>
      </c>
      <c r="K43" s="13" t="inlineStr">
        <is>
          <t>Functional</t>
        </is>
      </c>
    </row>
    <row r="44" ht="36" customHeight="1">
      <c r="A44" s="12" t="inlineStr">
        <is>
          <t>PoS Transactions V6.6.0 (EMI-5914)</t>
        </is>
      </c>
      <c r="B44" s="12" t="inlineStr">
        <is>
          <t>Callback Ingestion &amp; Valid</t>
        </is>
      </c>
      <c r="C44" s="12" t="inlineStr">
        <is>
          <t>Compliance</t>
        </is>
      </c>
      <c r="D44" s="13" t="inlineStr">
        <is>
          <t>TC-Callback-43</t>
        </is>
      </c>
      <c r="E44" s="12" t="inlineStr">
        <is>
          <t>AML/Sanctions/SAMA Breach</t>
        </is>
      </c>
      <c r="F44" s="13" t="inlineStr">
        <is>
          <t>High</t>
        </is>
      </c>
      <c r="G44" s="12" t="inlineStr">
        <is>
          <t>Wallet under AML review, sanctions match, or SAMA limit breach configured</t>
        </is>
      </c>
      <c r="H44" s="12" t="inlineStr">
        <is>
          <t>1. Submit a callback for a wallet flagged for AML review / sanctions / SAMA limit breach</t>
        </is>
      </c>
      <c r="I44" s="12" t="inlineStr">
        <is>
          <t>Gate 1 produces COMPLIANCE_HOLD; no wallet ledger entries; required case/HOLD journal created</t>
        </is>
      </c>
      <c r="J44" s="13" t="inlineStr">
        <is>
          <t>NA</t>
        </is>
      </c>
      <c r="K44" s="13" t="inlineStr">
        <is>
          <t>Compliance</t>
        </is>
      </c>
    </row>
    <row r="45" ht="36" customHeight="1">
      <c r="A45" s="12" t="inlineStr">
        <is>
          <t>PoS Transactions V6.6.0 (EMI-5914)</t>
        </is>
      </c>
      <c r="B45" s="12" t="inlineStr">
        <is>
          <t>Callback Ingestion &amp; Valid</t>
        </is>
      </c>
      <c r="C45" s="12" t="inlineStr">
        <is>
          <t>Compliance</t>
        </is>
      </c>
      <c r="D45" s="13" t="inlineStr">
        <is>
          <t>TC-Callback-44</t>
        </is>
      </c>
      <c r="E45" s="12" t="inlineStr">
        <is>
          <t>Gate 1 Timeout</t>
        </is>
      </c>
      <c r="F45" s="13" t="inlineStr">
        <is>
          <t>High</t>
        </is>
      </c>
      <c r="G45" s="12" t="inlineStr">
        <is>
          <t>Compliance check service made unresponsive</t>
        </is>
      </c>
      <c r="H45" s="12" t="inlineStr">
        <is>
          <t>1. Submit a valid callback while the Gate 1 check service times out</t>
        </is>
      </c>
      <c r="I45" s="12" t="inlineStr">
        <is>
          <t>Fail-safe to COMPLIANCE_HOLD; never fail-open to booking</t>
        </is>
      </c>
      <c r="J45" s="13" t="inlineStr">
        <is>
          <t>NA</t>
        </is>
      </c>
      <c r="K45" s="13" t="inlineStr">
        <is>
          <t>Compliance</t>
        </is>
      </c>
    </row>
    <row r="46" ht="36" customHeight="1">
      <c r="A46" s="12" t="inlineStr">
        <is>
          <t>PoS Transactions V6.6.0 (EMI-5914)</t>
        </is>
      </c>
      <c r="B46" s="12" t="inlineStr">
        <is>
          <t>Callback Ingestion &amp; Valid</t>
        </is>
      </c>
      <c r="C46" s="12" t="inlineStr">
        <is>
          <t>Compliance</t>
        </is>
      </c>
      <c r="D46" s="13" t="inlineStr">
        <is>
          <t>TC-Callback-45</t>
        </is>
      </c>
      <c r="E46" s="12" t="inlineStr">
        <is>
          <t>Gate 1 Anomaly Signal Escalation (C09/C11)</t>
        </is>
      </c>
      <c r="F46" s="13" t="inlineStr">
        <is>
          <t>High</t>
        </is>
      </c>
      <c r="G46" s="12" t="inlineStr">
        <is>
          <t>Callback anomaly condition configured: a TID-link integrity mismatch (C09) or a spike in suspicious/malformed callbacks from one terminal (C11)</t>
        </is>
      </c>
      <c r="H46" s="12" t="inlineStr">
        <is>
          <t>1. Submit a pattern of callbacks that should trigger C09 or C11</t>
        </is>
      </c>
      <c r="I46" s="12" t="inlineStr">
        <is>
          <t>Anomaly is detected, RF-08 is raised, and an InterSoft terminal-suspension request (O13) is generated</t>
        </is>
      </c>
      <c r="J46" s="13" t="inlineStr">
        <is>
          <t>NA</t>
        </is>
      </c>
      <c r="K46" s="13" t="inlineStr">
        <is>
          <t>Compliance</t>
        </is>
      </c>
    </row>
    <row r="47" ht="36" customHeight="1">
      <c r="A47" s="12" t="inlineStr">
        <is>
          <t>PoS Transactions V6.6.0 (EMI-5914)</t>
        </is>
      </c>
      <c r="B47" s="12" t="inlineStr">
        <is>
          <t>Callback Ingestion &amp; Valid</t>
        </is>
      </c>
      <c r="C47" s="12" t="inlineStr">
        <is>
          <t>Validation</t>
        </is>
      </c>
      <c r="D47" s="13" t="inlineStr">
        <is>
          <t>TC-Callback-46</t>
        </is>
      </c>
      <c r="E47" s="12" t="inlineStr">
        <is>
          <t>Mechanism-Specific Hardening Annex (O18-Conditional: XML/JSON/File)</t>
        </is>
      </c>
      <c r="F47" s="13" t="inlineStr">
        <is>
          <t>High</t>
        </is>
      </c>
      <c r="G47" s="12" t="inlineStr">
        <is>
          <t>O18 (integration mechanism: REST/JSON, SOAP/XML, or file/multipart upload) has been decided by the solution architect; BLOCKED until then — see EMI-5915 §B conditional annex</t>
        </is>
      </c>
      <c r="H47" s="12" t="inlineStr">
        <is>
          <t>1. Once O18 is decided, run the single matching annex test:
   - If XML/SOAP: submit payloads exercising XXE, billion-laughs entity expansion, and XML Signature Wrapping (T18)
   - If JSON/REST: submit payloads with duplicate keys, a 10,000-element array, and a 40-digit number (T19)
   - If file/multipart: submit a mislabelled content type, a compression bomb, and the same file uploaded twice (T20)</t>
        </is>
      </c>
      <c r="I47" s="12" t="inlineStr">
        <is>
          <t>Each attack/edge case is rejected per the pinned policy for the chosen mechanism (no file read, no network fetch, signature reference resolved correctly, no silent last-wins/precision loss, magic-byte check enforced, compression bomb rejected, duplicate upload absorbed by file-hash idempotency, as applicable). No candidate mechanism may introduce a second code path, a second idempotency key, or a Gate 1 bypass.</t>
        </is>
      </c>
      <c r="J47" s="13" t="inlineStr">
        <is>
          <t>NA</t>
        </is>
      </c>
      <c r="K47" s="13" t="inlineStr">
        <is>
          <t>Integration</t>
        </is>
      </c>
    </row>
    <row r="48" ht="36" customHeight="1">
      <c r="A48" s="12" t="inlineStr">
        <is>
          <t>PoS Transactions V6.6.0 (EMI-5914)</t>
        </is>
      </c>
      <c r="B48" s="12" t="inlineStr">
        <is>
          <t>Callback Ingestion &amp; Valid</t>
        </is>
      </c>
      <c r="C48" s="12" t="inlineStr">
        <is>
          <t>Connectivity / Heartbeat</t>
        </is>
      </c>
      <c r="D48" s="13" t="inlineStr">
        <is>
          <t>TC-Callback-47</t>
        </is>
      </c>
      <c r="E48" s="12" t="inlineStr">
        <is>
          <t>Heartbeat/Callback Timeout</t>
        </is>
      </c>
      <c r="F48" s="13" t="inlineStr">
        <is>
          <t>High</t>
        </is>
      </c>
      <c r="G48" s="12" t="inlineStr">
        <is>
          <t>Active TID configured with heartbeat/inactivity monitoring window (e.g., 60 mins)</t>
        </is>
      </c>
      <c r="H48" s="12" t="inlineStr">
        <is>
          <t>1. Deploy an active TID.
2. Cease sending callbacks/heartbeats for &gt;60 mins.
3. Check Admin and Merchant terminal status view.</t>
        </is>
      </c>
      <c r="I48" s="12" t="inlineStr">
        <is>
          <t>If an Active TID sends no callbacks for a defined window (e.g., 60 mins), the system flags it as "Disconnected" in the Admin/Merchant view.</t>
        </is>
      </c>
      <c r="J48" s="13" t="inlineStr">
        <is>
          <t>NA</t>
        </is>
      </c>
      <c r="K48" s="13" t="inlineStr">
        <is>
          <t>Functional</t>
        </is>
      </c>
    </row>
    <row r="49" ht="36" customHeight="1">
      <c r="A49" s="12" t="inlineStr">
        <is>
          <t>PoS Transactions V6.6.0 (EMI-5914)</t>
        </is>
      </c>
      <c r="B49" s="12" t="inlineStr">
        <is>
          <t>Callback Ingestion &amp; Valid</t>
        </is>
      </c>
      <c r="C49" s="12" t="inlineStr">
        <is>
          <t>UX / Observability</t>
        </is>
      </c>
      <c r="D49" s="13" t="inlineStr">
        <is>
          <t>TC-Callback-48</t>
        </is>
      </c>
      <c r="E49" s="12" t="inlineStr">
        <is>
          <t>"Last Seen" Visibility</t>
        </is>
      </c>
      <c r="F49" s="13" t="inlineStr">
        <is>
          <t>Medium</t>
        </is>
      </c>
      <c r="G49" s="12" t="inlineStr">
        <is>
          <t>TID has recorded at least one successful transaction or heartbeat callback</t>
        </is>
      </c>
      <c r="H49" s="12" t="inlineStr">
        <is>
          <t>1. Submit a valid callback for the TID.
2. Open the per-device detail view in Admin / Merchant app.
3. Verify timestamp.</t>
        </is>
      </c>
      <c r="I49" s="12" t="inlineStr">
        <is>
          <t>The per-device view displays a "Last Activity" timestamp derived from the most recent successful callback.</t>
        </is>
      </c>
      <c r="J49" s="13" t="inlineStr">
        <is>
          <t>NA</t>
        </is>
      </c>
      <c r="K49" s="13" t="inlineStr">
        <is>
          <t>Usability</t>
        </is>
      </c>
    </row>
    <row r="50" ht="36" customHeight="1">
      <c r="A50" s="12" t="inlineStr">
        <is>
          <t>PoS Transactions V6.6.0 (EMI-5914)</t>
        </is>
      </c>
      <c r="B50" s="12" t="inlineStr">
        <is>
          <t>Callback Ingestion &amp; Valid</t>
        </is>
      </c>
      <c r="C50" s="12" t="inlineStr">
        <is>
          <t>Alerting / Operations</t>
        </is>
      </c>
      <c r="D50" s="13" t="inlineStr">
        <is>
          <t>TC-Callback-49</t>
        </is>
      </c>
      <c r="E50" s="12" t="inlineStr">
        <is>
          <t>Disconnection Alerting</t>
        </is>
      </c>
      <c r="F50" s="13" t="inlineStr">
        <is>
          <t>High</t>
        </is>
      </c>
      <c r="G50" s="12" t="inlineStr">
        <is>
          <t>Ops monitoring and alert rules configured for terminal connectivity</t>
        </is>
      </c>
      <c r="H50" s="12" t="inlineStr">
        <is>
          <t>1. Simulate sustained absence of callbacks from an active terminal past threshold.
2. Inspect monitoring/alerting pipeline.</t>
        </is>
      </c>
      <c r="I50" s="12" t="inlineStr">
        <is>
          <t>A sustained absence of callbacks from an active terminal triggers an Ops alarm to investigate potential hardware or network failure.</t>
        </is>
      </c>
      <c r="J50" s="13" t="inlineStr">
        <is>
          <t>NA</t>
        </is>
      </c>
      <c r="K50" s="13" t="inlineStr">
        <is>
          <t>Negative</t>
        </is>
      </c>
    </row>
    <row r="51" ht="36" customHeight="1">
      <c r="A51" s="12" t="inlineStr">
        <is>
          <t>PoS Transactions V6.6.0 (EMI-5914)</t>
        </is>
      </c>
      <c r="B51" s="12" t="inlineStr">
        <is>
          <t>Callback Ingestion &amp; Valid</t>
        </is>
      </c>
      <c r="C51" s="12" t="inlineStr">
        <is>
          <t>Notifications / UX</t>
        </is>
      </c>
      <c r="D51" s="13" t="inlineStr">
        <is>
          <t>TC-Callback-50</t>
        </is>
      </c>
      <c r="E51" s="12" t="inlineStr">
        <is>
          <t>Merchant Notification</t>
        </is>
      </c>
      <c r="F51" s="13" t="inlineStr">
        <is>
          <t>Medium</t>
        </is>
      </c>
      <c r="G51" s="12" t="inlineStr">
        <is>
          <t>Merchant app notification channel active; terminal offline threshold reached</t>
        </is>
      </c>
      <c r="H51" s="12" t="inlineStr">
        <is>
          <t>1. Leave terminal offline beyond the notification threshold.
2. Check merchant mobile app notification inbox and push alerts.</t>
        </is>
      </c>
      <c r="I51" s="12" t="inlineStr">
        <is>
          <t>The merchant receives an in-app notification if their terminal has been offline for more than a specified threshold.</t>
        </is>
      </c>
      <c r="J51" s="13" t="inlineStr">
        <is>
          <t>NA</t>
        </is>
      </c>
      <c r="K51" s="13" t="inlineStr">
        <is>
          <t>Usability</t>
        </is>
      </c>
    </row>
    <row r="52" ht="36" customHeight="1">
      <c r="A52" s="12" t="inlineStr">
        <is>
          <t>PoS Transactions V6.6.0 (EMI-5914)</t>
        </is>
      </c>
      <c r="B52" s="12" t="inlineStr">
        <is>
          <t>Callback Ingestion &amp; Valid</t>
        </is>
      </c>
      <c r="C52" s="12" t="inlineStr">
        <is>
          <t>Lifecycle / Registry</t>
        </is>
      </c>
      <c r="D52" s="13" t="inlineStr">
        <is>
          <t>TC-Callback-51</t>
        </is>
      </c>
      <c r="E52" s="12" t="inlineStr">
        <is>
          <t>Status Transition on Failure</t>
        </is>
      </c>
      <c r="F52" s="13" t="inlineStr">
        <is>
          <t>High</t>
        </is>
      </c>
      <c r="G52" s="12" t="inlineStr">
        <is>
          <t>Active TID in terminal registry; background connectivity evaluation job running</t>
        </is>
      </c>
      <c r="H52" s="12" t="inlineStr">
        <is>
          <t>1. Keep terminal disconnected for prolonged period (e.g. 24h).
2. Allow scheduled registry evaluation job to execute.
3. Inspect terminal record status.</t>
        </is>
      </c>
      <c r="I52" s="12" t="inlineStr">
        <is>
          <t>A terminal that fails to report for a prolonged period (e.g., 24h) is automatically moved to a "Connectivity Review" status in the registry.</t>
        </is>
      </c>
      <c r="J52" s="13" t="inlineStr">
        <is>
          <t>NA</t>
        </is>
      </c>
      <c r="K52" s="13" t="inlineStr">
        <is>
          <t>Negative</t>
        </is>
      </c>
    </row>
    <row r="53" ht="36" customHeight="1">
      <c r="A53" s="12" t="inlineStr">
        <is>
          <t>PoS Transactions V6.6.0 (EMI-5914)</t>
        </is>
      </c>
      <c r="B53" s="12" t="inlineStr">
        <is>
          <t>Wallet Crediting &amp; Visib</t>
        </is>
      </c>
      <c r="C53" s="12" t="inlineStr">
        <is>
          <t>Functional</t>
        </is>
      </c>
      <c r="D53" s="13" t="inlineStr">
        <is>
          <t>TC-Wallet-01</t>
        </is>
      </c>
      <c r="E53" s="12" t="inlineStr">
        <is>
          <t>Successful Callback – TID Activity</t>
        </is>
      </c>
      <c r="F53" s="13" t="inlineStr">
        <is>
          <t>High</t>
        </is>
      </c>
      <c r="G53" s="12" t="inlineStr">
        <is>
          <t>Valid accepted callback</t>
        </is>
      </c>
      <c r="H53" s="12" t="inlineStr">
        <is>
          <t>1. Submit successful callback
2. Open merchant TID view
3. Check wallet</t>
        </is>
      </c>
      <c r="I53" s="12" t="inlineStr">
        <is>
          <t>Transaction appears under the correct TID with settlement-eligible status; wallet balance remains unchanged; no pending or fee entry.</t>
        </is>
      </c>
      <c r="J53" s="13" t="inlineStr">
        <is>
          <t>NA</t>
        </is>
      </c>
      <c r="K53" s="13" t="inlineStr">
        <is>
          <t>Functional</t>
        </is>
      </c>
    </row>
    <row r="54" ht="36" customHeight="1">
      <c r="A54" s="12" t="inlineStr">
        <is>
          <t>PoS Transactions V6.6.0 (EMI-5914)</t>
        </is>
      </c>
      <c r="B54" s="12" t="inlineStr">
        <is>
          <t>Wallet Crediting &amp; Visib</t>
        </is>
      </c>
      <c r="C54" s="12" t="inlineStr">
        <is>
          <t>Functional</t>
        </is>
      </c>
      <c r="D54" s="13" t="inlineStr">
        <is>
          <t>TC-Wallet-02</t>
        </is>
      </c>
      <c r="E54" s="12" t="inlineStr">
        <is>
          <t>Non-Settleable Transactions Visibility</t>
        </is>
      </c>
      <c r="F54" s="13" t="inlineStr">
        <is>
          <t>High</t>
        </is>
      </c>
      <c r="G54" s="12" t="inlineStr">
        <is>
          <t>Declined/failed callback exists</t>
        </is>
      </c>
      <c r="H54" s="12" t="inlineStr">
        <is>
          <t>1. Submit declined/failed transaction
2. Open TID view
3. Check money totals</t>
        </is>
      </c>
      <c r="I54" s="12" t="inlineStr">
        <is>
          <t>Transaction remains visible under the TID but is excluded from all money-looking totals.</t>
        </is>
      </c>
      <c r="J54" s="13" t="inlineStr">
        <is>
          <t>NA</t>
        </is>
      </c>
      <c r="K54" s="13" t="inlineStr">
        <is>
          <t>Negative</t>
        </is>
      </c>
    </row>
    <row r="55" ht="36" customHeight="1">
      <c r="A55" s="12" t="inlineStr">
        <is>
          <t>PoS Transactions V6.6.0 (EMI-5914)</t>
        </is>
      </c>
      <c r="B55" s="12" t="inlineStr">
        <is>
          <t>Wallet Crediting &amp; Visib</t>
        </is>
      </c>
      <c r="C55" s="12" t="inlineStr">
        <is>
          <t>UX/Wording</t>
        </is>
      </c>
      <c r="D55" s="13" t="inlineStr">
        <is>
          <t>TC-Wallet-03</t>
        </is>
      </c>
      <c r="E55" s="12" t="inlineStr">
        <is>
          <t>Merchant-Facing Wording &amp; TID Activity</t>
        </is>
      </c>
      <c r="F55" s="13" t="inlineStr">
        <is>
          <t>Medium</t>
        </is>
      </c>
      <c r="G55" s="12" t="inlineStr">
        <is>
          <t>Per-device (TID) activity view accessible to the merchant</t>
        </is>
      </c>
      <c r="H55" s="12" t="inlineStr">
        <is>
          <t>1. Open per-device view
2. Compare displayed transaction values with wallet balance
3. Review exact copy/labels</t>
        </is>
      </c>
      <c r="I55" s="12" t="inlineStr">
        <is>
          <t>TID activity is clearly presented as recorded sales, never as spendable/pending funds. Labels unambiguously describe activity (e.g., "Recorded Sales").</t>
        </is>
      </c>
      <c r="J55" s="13" t="inlineStr">
        <is>
          <t>NA</t>
        </is>
      </c>
      <c r="K55" s="13" t="inlineStr">
        <is>
          <t>Usability</t>
        </is>
      </c>
    </row>
    <row r="56" ht="36" customHeight="1">
      <c r="A56" s="12" t="inlineStr">
        <is>
          <t>PoS Transactions V6.6.0 (EMI-5914)</t>
        </is>
      </c>
      <c r="B56" s="12" t="inlineStr">
        <is>
          <t>Wallet Crediting &amp; Visib</t>
        </is>
      </c>
      <c r="C56" s="12" t="inlineStr">
        <is>
          <t>Functional</t>
        </is>
      </c>
      <c r="D56" s="13" t="inlineStr">
        <is>
          <t>TC-Wallet-04</t>
        </is>
      </c>
      <c r="E56" s="12" t="inlineStr">
        <is>
          <t>Settlement Group Creates One Pending Cash-In</t>
        </is>
      </c>
      <c r="F56" s="13" t="inlineStr">
        <is>
          <t>High</t>
        </is>
      </c>
      <c r="G56" s="12" t="inlineStr">
        <is>
          <t>EMI-5989 successfully creates a settlement group</t>
        </is>
      </c>
      <c r="H56" s="12" t="inlineStr">
        <is>
          <t>1. Complete grouping
2. Open merchant wallet</t>
        </is>
      </c>
      <c r="I56" s="12" t="inlineStr">
        <is>
          <t>Exactly one pending cash-in is created per settlement group; amount is not spendable.</t>
        </is>
      </c>
      <c r="J56" s="13" t="inlineStr">
        <is>
          <t>NA</t>
        </is>
      </c>
      <c r="K56" s="13" t="inlineStr">
        <is>
          <t>Edge / Boundary</t>
        </is>
      </c>
    </row>
    <row r="57" ht="36" customHeight="1">
      <c r="A57" s="12" t="inlineStr">
        <is>
          <t>PoS Transactions V6.6.0 (EMI-5914)</t>
        </is>
      </c>
      <c r="B57" s="12" t="inlineStr">
        <is>
          <t>Wallet Crediting &amp; Visib</t>
        </is>
      </c>
      <c r="C57" s="12" t="inlineStr">
        <is>
          <t>Functional</t>
        </is>
      </c>
      <c r="D57" s="13" t="inlineStr">
        <is>
          <t>TC-Wallet-05</t>
        </is>
      </c>
      <c r="E57" s="12" t="inlineStr">
        <is>
          <t>Multiple Settlement Groups Produce Separate Credits</t>
        </is>
      </c>
      <c r="F57" s="13" t="inlineStr">
        <is>
          <t>High</t>
        </is>
      </c>
      <c r="G57" s="12" t="inlineStr">
        <is>
          <t>Merchant has transactions in multiple settlement groups</t>
        </is>
      </c>
      <c r="H57" s="12" t="inlineStr">
        <is>
          <t>1. Process three settlement groups
2. Complete clearing</t>
        </is>
      </c>
      <c r="I57" s="12" t="inlineStr">
        <is>
          <t>Each settlement group produces exactly one balance movement; 3 distinct credits visible, each traceable to its own device/group.</t>
        </is>
      </c>
      <c r="J57" s="13" t="inlineStr">
        <is>
          <t>NA</t>
        </is>
      </c>
      <c r="K57" s="13" t="inlineStr">
        <is>
          <t>Integration</t>
        </is>
      </c>
    </row>
    <row r="58" ht="36" customHeight="1">
      <c r="A58" s="12" t="inlineStr">
        <is>
          <t>PoS Transactions V6.6.0 (EMI-5914)</t>
        </is>
      </c>
      <c r="B58" s="12" t="inlineStr">
        <is>
          <t>Wallet Crediting &amp; Visib</t>
        </is>
      </c>
      <c r="C58" s="12" t="inlineStr">
        <is>
          <t>Functional</t>
        </is>
      </c>
      <c r="D58" s="13" t="inlineStr">
        <is>
          <t>TC-Wallet-06</t>
        </is>
      </c>
      <c r="E58" s="12" t="inlineStr">
        <is>
          <t>Pending Cash-In Excluded From Available Balance</t>
        </is>
      </c>
      <c r="F58" s="13" t="inlineStr">
        <is>
          <t>High</t>
        </is>
      </c>
      <c r="G58" s="12" t="inlineStr">
        <is>
          <t>Pending cash-in exists</t>
        </is>
      </c>
      <c r="H58" s="12" t="inlineStr">
        <is>
          <t>1. Record Available balance
2. Check wallet after pending creation</t>
        </is>
      </c>
      <c r="I58" s="12" t="inlineStr">
        <is>
          <t>Pending amount is excluded from Available/spendable balance.</t>
        </is>
      </c>
      <c r="J58" s="13" t="inlineStr">
        <is>
          <t>NA</t>
        </is>
      </c>
      <c r="K58" s="13" t="inlineStr">
        <is>
          <t>Functional</t>
        </is>
      </c>
    </row>
    <row r="59" ht="36" customHeight="1">
      <c r="A59" s="12" t="inlineStr">
        <is>
          <t>PoS Transactions V6.6.0 (EMI-5914)</t>
        </is>
      </c>
      <c r="B59" s="12" t="inlineStr">
        <is>
          <t>Wallet Crediting &amp; Visib</t>
        </is>
      </c>
      <c r="C59" s="12" t="inlineStr">
        <is>
          <t>Functional</t>
        </is>
      </c>
      <c r="D59" s="13" t="inlineStr">
        <is>
          <t>TC-Wallet-07</t>
        </is>
      </c>
      <c r="E59" s="12" t="inlineStr">
        <is>
          <t>Intraday Clearing Moves Group to Available</t>
        </is>
      </c>
      <c r="F59" s="13" t="inlineStr">
        <is>
          <t>Critical</t>
        </is>
      </c>
      <c r="G59" s="12" t="inlineStr">
        <is>
          <t>Valid pending group, matching intraday statement credit, wallet eligible</t>
        </is>
      </c>
      <c r="H59" s="12" t="inlineStr">
        <is>
          <t>1. Process EMI-5922 clearing using batch_ref
2. Run Gate 3
3. Check group and wallet</t>
        </is>
      </c>
      <c r="I59" s="12" t="inlineStr">
        <is>
          <t>Pending → Available; member TID entries → SETTLED; exactly one wallet credit. Gate 3 evaluates current state and passes.</t>
        </is>
      </c>
      <c r="J59" s="13" t="inlineStr">
        <is>
          <t>NA</t>
        </is>
      </c>
      <c r="K59" s="13" t="inlineStr">
        <is>
          <t>Edge / Boundary</t>
        </is>
      </c>
    </row>
    <row r="60" ht="36" customHeight="1">
      <c r="A60" s="12" t="inlineStr">
        <is>
          <t>PoS Transactions V6.6.0 (EMI-5914)</t>
        </is>
      </c>
      <c r="B60" s="12" t="inlineStr">
        <is>
          <t>Wallet Crediting &amp; Visib</t>
        </is>
      </c>
      <c r="C60" s="12" t="inlineStr">
        <is>
          <t>Validation</t>
        </is>
      </c>
      <c r="D60" s="13" t="inlineStr">
        <is>
          <t>TC-Wallet-08</t>
        </is>
      </c>
      <c r="E60" s="12" t="inlineStr">
        <is>
          <t>Invalid batch_ref Does Not Trigger Settlement</t>
        </is>
      </c>
      <c r="F60" s="13" t="inlineStr">
        <is>
          <t>Critical</t>
        </is>
      </c>
      <c r="G60" s="12" t="inlineStr">
        <is>
          <t>Pending group exists</t>
        </is>
      </c>
      <c r="H60" s="12" t="inlineStr">
        <is>
          <t>1. Submit intraday credit with invalid/non-matching batch_ref</t>
        </is>
      </c>
      <c r="I60" s="12" t="inlineStr">
        <is>
          <t>Group is not credited or incorrectly settled.</t>
        </is>
      </c>
      <c r="J60" s="13" t="inlineStr">
        <is>
          <t>NA</t>
        </is>
      </c>
      <c r="K60" s="13" t="inlineStr">
        <is>
          <t>Negative</t>
        </is>
      </c>
    </row>
    <row r="61" ht="36" customHeight="1">
      <c r="A61" s="12" t="inlineStr">
        <is>
          <t>PoS Transactions V6.6.0 (EMI-5914)</t>
        </is>
      </c>
      <c r="B61" s="12" t="inlineStr">
        <is>
          <t>Wallet Crediting &amp; Visib</t>
        </is>
      </c>
      <c r="C61" s="12" t="inlineStr">
        <is>
          <t>Compliance</t>
        </is>
      </c>
      <c r="D61" s="13" t="inlineStr">
        <is>
          <t>TC-Wallet-09</t>
        </is>
      </c>
      <c r="E61" s="12" t="inlineStr">
        <is>
          <t>Gate 3 Failure – SAMA Cap Breach</t>
        </is>
      </c>
      <c r="F61" s="13" t="inlineStr">
        <is>
          <t>Critical</t>
        </is>
      </c>
      <c r="G61" s="12" t="inlineStr">
        <is>
          <t>Credit would exceed SAMA balance cap</t>
        </is>
      </c>
      <c r="H61" s="12" t="inlineStr">
        <is>
          <t>1. Process intraday credit
2. Force cap failure</t>
        </is>
      </c>
      <c r="I61" s="12" t="inlineStr">
        <is>
          <t>Entire amount goes to COMPLIANCE_HOLD/suspense; no partial credit; neutral notification (no tipping-off).</t>
        </is>
      </c>
      <c r="J61" s="13" t="inlineStr">
        <is>
          <t>NA</t>
        </is>
      </c>
      <c r="K61" s="13" t="inlineStr">
        <is>
          <t>Security</t>
        </is>
      </c>
    </row>
    <row r="62" ht="36" customHeight="1">
      <c r="A62" s="12" t="inlineStr">
        <is>
          <t>PoS Transactions V6.6.0 (EMI-5914)</t>
        </is>
      </c>
      <c r="B62" s="12" t="inlineStr">
        <is>
          <t>Wallet Crediting &amp; Visib</t>
        </is>
      </c>
      <c r="C62" s="12" t="inlineStr">
        <is>
          <t>Compliance</t>
        </is>
      </c>
      <c r="D62" s="13" t="inlineStr">
        <is>
          <t>TC-Wallet-10</t>
        </is>
      </c>
      <c r="E62" s="12" t="inlineStr">
        <is>
          <t>Wallet Becomes Ineligible Before Credit</t>
        </is>
      </c>
      <c r="F62" s="13" t="inlineStr">
        <is>
          <t>Critical</t>
        </is>
      </c>
      <c r="G62" s="12" t="inlineStr">
        <is>
          <t>Wallet eligible during grouping but becomes ineligible before clearing</t>
        </is>
      </c>
      <c r="H62" s="12" t="inlineStr">
        <is>
          <t>1. Create pending group
2. Change wallet eligibility
3. Process clearing</t>
        </is>
      </c>
      <c r="I62" s="12" t="inlineStr">
        <is>
          <t>Gate 3 evaluates the current state and holds the amount; proves Gate 3 occurs at credit time, not grouping time.</t>
        </is>
      </c>
      <c r="J62" s="13" t="inlineStr">
        <is>
          <t>NA</t>
        </is>
      </c>
      <c r="K62" s="13" t="inlineStr">
        <is>
          <t>Compliance</t>
        </is>
      </c>
    </row>
    <row r="63" ht="36" customHeight="1">
      <c r="A63" s="12" t="inlineStr">
        <is>
          <t>PoS Transactions V6.6.0 (EMI-5914)</t>
        </is>
      </c>
      <c r="B63" s="12" t="inlineStr">
        <is>
          <t>Wallet Crediting &amp; Visib</t>
        </is>
      </c>
      <c r="C63" s="12" t="inlineStr">
        <is>
          <t>Compliance</t>
        </is>
      </c>
      <c r="D63" s="13" t="inlineStr">
        <is>
          <t>TC-Wallet-11</t>
        </is>
      </c>
      <c r="E63" s="12" t="inlineStr">
        <is>
          <t>Gate 3 Check-Service Timeout</t>
        </is>
      </c>
      <c r="F63" s="13" t="inlineStr">
        <is>
          <t>Critical</t>
        </is>
      </c>
      <c r="G63" s="12" t="inlineStr">
        <is>
          <t>Gate 3 (or its dependency, e.g. SAMA cap service) made unresponsive</t>
        </is>
      </c>
      <c r="H63" s="12" t="inlineStr">
        <is>
          <t>1. Process a valid intraday credit while the Gate 3 check service times out</t>
        </is>
      </c>
      <c r="I63" s="12" t="inlineStr">
        <is>
          <t>Fail-safe to COMPLIANCE_HOLD/suspense; never fail-open to Available.</t>
        </is>
      </c>
      <c r="J63" s="13" t="inlineStr">
        <is>
          <t>NA</t>
        </is>
      </c>
      <c r="K63" s="13" t="inlineStr">
        <is>
          <t>Compliance</t>
        </is>
      </c>
    </row>
    <row r="64" ht="36" customHeight="1">
      <c r="A64" s="12" t="inlineStr">
        <is>
          <t>PoS Transactions V6.6.0 (EMI-5914)</t>
        </is>
      </c>
      <c r="B64" s="12" t="inlineStr">
        <is>
          <t>Wallet Crediting &amp; Visib</t>
        </is>
      </c>
      <c r="C64" s="12" t="inlineStr">
        <is>
          <t>Idempotency</t>
        </is>
      </c>
      <c r="D64" s="13" t="inlineStr">
        <is>
          <t>TC-Wallet-12</t>
        </is>
      </c>
      <c r="E64" s="12" t="inlineStr">
        <is>
          <t>Duplicate Intraday Credit</t>
        </is>
      </c>
      <c r="F64" s="13" t="inlineStr">
        <is>
          <t>Critical</t>
        </is>
      </c>
      <c r="G64" s="12" t="inlineStr">
        <is>
          <t>Settlement group already credited</t>
        </is>
      </c>
      <c r="H64" s="12" t="inlineStr">
        <is>
          <t>1. Process same credit again
2. Check wallet and ledger</t>
        </is>
      </c>
      <c r="I64" s="12" t="inlineStr">
        <is>
          <t>Idempotent: no second credit, no duplicate settlement, and original result is preserved.</t>
        </is>
      </c>
      <c r="J64" s="13" t="inlineStr">
        <is>
          <t>NA</t>
        </is>
      </c>
      <c r="K64" s="13" t="inlineStr">
        <is>
          <t>Integration</t>
        </is>
      </c>
    </row>
    <row r="65" ht="36" customHeight="1">
      <c r="A65" s="12" t="inlineStr">
        <is>
          <t>PoS Transactions V6.6.0 (EMI-5914)</t>
        </is>
      </c>
      <c r="B65" s="12" t="inlineStr">
        <is>
          <t>Wallet Crediting &amp; Visib</t>
        </is>
      </c>
      <c r="C65" s="12" t="inlineStr">
        <is>
          <t>Idempotency</t>
        </is>
      </c>
      <c r="D65" s="13" t="inlineStr">
        <is>
          <t>TC-Wallet-13</t>
        </is>
      </c>
      <c r="E65" s="12" t="inlineStr">
        <is>
          <t>Concurrent Settlement Credit</t>
        </is>
      </c>
      <c r="F65" s="13" t="inlineStr">
        <is>
          <t>Critical</t>
        </is>
      </c>
      <c r="G65" s="12" t="inlineStr">
        <is>
          <t>Valid pending group exists</t>
        </is>
      </c>
      <c r="H65" s="12" t="inlineStr">
        <is>
          <t>1. Process same credit concurrently from two requests</t>
        </is>
      </c>
      <c r="I65" s="12" t="inlineStr">
        <is>
          <t>Only one credit is applied; no duplicate balance movement.</t>
        </is>
      </c>
      <c r="J65" s="13" t="inlineStr">
        <is>
          <t>NA</t>
        </is>
      </c>
      <c r="K65" s="13" t="inlineStr">
        <is>
          <t>Integration</t>
        </is>
      </c>
    </row>
    <row r="66" ht="36" customHeight="1">
      <c r="A66" s="12" t="inlineStr">
        <is>
          <t>PoS Transactions V6.6.0 (EMI-5914)</t>
        </is>
      </c>
      <c r="B66" s="12" t="inlineStr">
        <is>
          <t>Wallet Crediting &amp; Visib</t>
        </is>
      </c>
      <c r="C66" s="12" t="inlineStr">
        <is>
          <t>Atomicity</t>
        </is>
      </c>
      <c r="D66" s="13" t="inlineStr">
        <is>
          <t>TC-Wallet-14</t>
        </is>
      </c>
      <c r="E66" s="12" t="inlineStr">
        <is>
          <t>Group Settlement Is Atomic</t>
        </is>
      </c>
      <c r="F66" s="13" t="inlineStr">
        <is>
          <t>Critical</t>
        </is>
      </c>
      <c r="G66" s="12" t="inlineStr">
        <is>
          <t>Valid pending settlement group</t>
        </is>
      </c>
      <c r="H66" s="12" t="inlineStr">
        <is>
          <t>1. Force failure during settlement processing
2. Inspect aggregate/member states</t>
        </is>
      </c>
      <c r="I66" s="12" t="inlineStr">
        <is>
          <t>No partial settlement; aggregate and member entries remain consistent.</t>
        </is>
      </c>
      <c r="J66" s="13" t="inlineStr">
        <is>
          <t>NA</t>
        </is>
      </c>
      <c r="K66" s="13" t="inlineStr">
        <is>
          <t>Negative</t>
        </is>
      </c>
    </row>
    <row r="67" ht="36" customHeight="1">
      <c r="A67" s="12" t="inlineStr">
        <is>
          <t>PoS Transactions V6.6.0 (EMI-5914)</t>
        </is>
      </c>
      <c r="B67" s="12" t="inlineStr">
        <is>
          <t>Wallet Crediting &amp; Visib</t>
        </is>
      </c>
      <c r="C67" s="12" t="inlineStr">
        <is>
          <t>Conservation</t>
        </is>
      </c>
      <c r="D67" s="13" t="inlineStr">
        <is>
          <t>TC-Wallet-15</t>
        </is>
      </c>
      <c r="E67" s="12" t="inlineStr">
        <is>
          <t>Settlement Group Conservation – Match</t>
        </is>
      </c>
      <c r="F67" s="13" t="inlineStr">
        <is>
          <t>Critical</t>
        </is>
      </c>
      <c r="G67" s="12" t="inlineStr">
        <is>
          <t>Group contains multiple member transactions whose signed amounts sum to the aggregate net</t>
        </is>
      </c>
      <c r="H67" s="12" t="inlineStr">
        <is>
          <t>1. Calculate the group aggregate net
2. Sum the member entry amounts, respecting debit/credit direction
3. Compare the two figures
4. Allow clearing to proceed</t>
        </is>
      </c>
      <c r="I67" s="12" t="inlineStr">
        <is>
          <t>Aggregate net = Σ member entries exactly; conservation check passes, no alarm is raised, and the group is permitted to credit.</t>
        </is>
      </c>
      <c r="J67" s="13" t="inlineStr">
        <is>
          <t>NA</t>
        </is>
      </c>
      <c r="K67" s="13" t="inlineStr">
        <is>
          <t>Edge / Boundary</t>
        </is>
      </c>
    </row>
    <row r="68" ht="36" customHeight="1">
      <c r="A68" s="12" t="inlineStr">
        <is>
          <t>PoS Transactions V6.6.0 (EMI-5914)</t>
        </is>
      </c>
      <c r="B68" s="12" t="inlineStr">
        <is>
          <t>Wallet Crediting &amp; Visib</t>
        </is>
      </c>
      <c r="C68" s="12" t="inlineStr">
        <is>
          <t>Conservation</t>
        </is>
      </c>
      <c r="D68" s="13" t="inlineStr">
        <is>
          <t>TC-Wallet-16</t>
        </is>
      </c>
      <c r="E68" s="12" t="inlineStr">
        <is>
          <t>Settlement Group Conservation – Mismatch</t>
        </is>
      </c>
      <c r="F68" s="13" t="inlineStr">
        <is>
          <t>Critical</t>
        </is>
      </c>
      <c r="G68" s="12" t="inlineStr">
        <is>
          <t>Group whose aggregate net does not equal the sum of its member entries (e.g. a member amount or direction corrupted), while the bank credit still matches the aggregate</t>
        </is>
      </c>
      <c r="H68" s="12" t="inlineStr">
        <is>
          <t>1. Introduce a discrepancy between the aggregate net and the signed member amounts
2. Process the intraday clearing with a bank credit matching the aggregate
3. Inspect wallet, group state and alarms</t>
        </is>
      </c>
      <c r="I68" s="12" t="inlineStr">
        <is>
          <t>Mismatch is detected and blocks the credit even though the bank credit matched the aggregate; an alarm is raised; no wallet credit and no partial settlement occurs; group is left in a state Ops can investigate.</t>
        </is>
      </c>
      <c r="J68" s="13" t="inlineStr">
        <is>
          <t>NA</t>
        </is>
      </c>
      <c r="K68" s="13" t="inlineStr">
        <is>
          <t>Functional</t>
        </is>
      </c>
    </row>
    <row r="69" ht="36" customHeight="1">
      <c r="A69" s="12" t="inlineStr">
        <is>
          <t>PoS Transactions V6.6.0 (EMI-5914)</t>
        </is>
      </c>
      <c r="B69" s="12" t="inlineStr">
        <is>
          <t>Wallet Crediting &amp; Visib</t>
        </is>
      </c>
      <c r="C69" s="12" t="inlineStr">
        <is>
          <t>Conservation</t>
        </is>
      </c>
      <c r="D69" s="13" t="inlineStr">
        <is>
          <t>TC-Wallet-17</t>
        </is>
      </c>
      <c r="E69" s="12" t="inlineStr">
        <is>
          <t>Daily Wallet Conservation</t>
        </is>
      </c>
      <c r="F69" s="13" t="inlineStr">
        <is>
          <t>Critical</t>
        </is>
      </c>
      <c r="G69" s="12" t="inlineStr">
        <is>
          <t>Wallet has cleared, pending, held and suspense amounts</t>
        </is>
      </c>
      <c r="H69" s="12" t="inlineStr">
        <is>
          <t>1. Calculate received = cleared + pending-unfunded + held + suspense
2. Compare with omnibus received amount</t>
        </is>
      </c>
      <c r="I69" s="12" t="inlineStr">
        <is>
          <t>Values reconcile exactly to the halalah.</t>
        </is>
      </c>
      <c r="J69" s="13" t="inlineStr">
        <is>
          <t>NA</t>
        </is>
      </c>
      <c r="K69" s="13" t="inlineStr">
        <is>
          <t>Edge / Boundary</t>
        </is>
      </c>
    </row>
    <row r="70" ht="36" customHeight="1">
      <c r="A70" s="12" t="inlineStr">
        <is>
          <t>PoS Transactions V6.6.0 (EMI-5914)</t>
        </is>
      </c>
      <c r="B70" s="12" t="inlineStr">
        <is>
          <t>Wallet Crediting &amp; Visib</t>
        </is>
      </c>
      <c r="C70" s="12" t="inlineStr">
        <is>
          <t>Reconciliation</t>
        </is>
      </c>
      <c r="D70" s="13" t="inlineStr">
        <is>
          <t>TC-Wallet-18</t>
        </is>
      </c>
      <c r="E70" s="12" t="inlineStr">
        <is>
          <t>Safeguarding Conservation Reconciliation</t>
        </is>
      </c>
      <c r="F70" s="13" t="inlineStr">
        <is>
          <t>High</t>
        </is>
      </c>
      <c r="G70" s="12" t="inlineStr">
        <is>
          <t>Daily conservation completed</t>
        </is>
      </c>
      <c r="H70" s="12" t="inlineStr">
        <is>
          <t>1. Compare result with EMI-5920 safeguarding line</t>
        </is>
      </c>
      <c r="I70" s="12" t="inlineStr">
        <is>
          <t>Conservation result agrees with EMI-5920.</t>
        </is>
      </c>
      <c r="J70" s="13" t="inlineStr">
        <is>
          <t>NA</t>
        </is>
      </c>
      <c r="K70" s="13" t="inlineStr">
        <is>
          <t>Functional</t>
        </is>
      </c>
    </row>
    <row r="71" ht="36" customHeight="1">
      <c r="A71" s="12" t="inlineStr">
        <is>
          <t>PoS Transactions V6.6.0 (EMI-5914)</t>
        </is>
      </c>
      <c r="B71" s="12" t="inlineStr">
        <is>
          <t>Wallet Crediting &amp; Visib</t>
        </is>
      </c>
      <c r="C71" s="12" t="inlineStr">
        <is>
          <t>Reversal</t>
        </is>
      </c>
      <c r="D71" s="13" t="inlineStr">
        <is>
          <t>TC-Wallet-19</t>
        </is>
      </c>
      <c r="E71" s="12" t="inlineStr">
        <is>
          <t>Returned Transfer Creates Compensating Entry</t>
        </is>
      </c>
      <c r="F71" s="13" t="inlineStr">
        <is>
          <t>Critical</t>
        </is>
      </c>
      <c r="G71" s="12" t="inlineStr">
        <is>
          <t>Group has already been credited</t>
        </is>
      </c>
      <c r="H71" s="12" t="inlineStr">
        <is>
          <t>1. Process returned transfer
2. Inspect ledger and members</t>
        </is>
      </c>
      <c r="I71" s="12" t="inlineStr">
        <is>
          <t>New compensating entry is created with the same batch_ref; original entry remains intact; member entries return to prior state and group becomes re-openable.</t>
        </is>
      </c>
      <c r="J71" s="13" t="inlineStr">
        <is>
          <t>NA</t>
        </is>
      </c>
      <c r="K71" s="13" t="inlineStr">
        <is>
          <t>Negative</t>
        </is>
      </c>
    </row>
    <row r="72" ht="36" customHeight="1">
      <c r="A72" s="12" t="inlineStr">
        <is>
          <t>PoS Transactions V6.6.0 (EMI-5914)</t>
        </is>
      </c>
      <c r="B72" s="12" t="inlineStr">
        <is>
          <t>Wallet Crediting &amp; Visib</t>
        </is>
      </c>
      <c r="C72" s="12" t="inlineStr">
        <is>
          <t>Integration</t>
        </is>
      </c>
      <c r="D72" s="13" t="inlineStr">
        <is>
          <t>TC-Wallet-20</t>
        </is>
      </c>
      <c r="E72" s="12" t="inlineStr">
        <is>
          <t>Commission Engine Applied After Clearing</t>
        </is>
      </c>
      <c r="F72" s="13" t="inlineStr">
        <is>
          <t>Medium</t>
        </is>
      </c>
      <c r="G72" s="12" t="inlineStr">
        <is>
          <t>Settlement successfully clears</t>
        </is>
      </c>
      <c r="H72" s="12" t="inlineStr">
        <is>
          <t>1. Complete clearing
2. Inspect commission-engine result</t>
        </is>
      </c>
      <c r="I72" s="12" t="inlineStr">
        <is>
          <t>Existing commission engine is applied to the cleared cash-in; no fee calculation occurs at callback stage.</t>
        </is>
      </c>
      <c r="J72" s="13" t="inlineStr">
        <is>
          <t>NA</t>
        </is>
      </c>
      <c r="K72" s="13" t="inlineStr">
        <is>
          <t>Integration</t>
        </is>
      </c>
    </row>
    <row r="73" ht="36" customHeight="1">
      <c r="A73" s="12" t="inlineStr">
        <is>
          <t>PoS Transactions V6.6.0 (EMI-5914)</t>
        </is>
      </c>
      <c r="B73" s="12" t="inlineStr">
        <is>
          <t>Wallet Crediting &amp; Visib</t>
        </is>
      </c>
      <c r="C73" s="12" t="inlineStr">
        <is>
          <t>Integration</t>
        </is>
      </c>
      <c r="D73" s="13" t="inlineStr">
        <is>
          <t>TC-Wallet-21</t>
        </is>
      </c>
      <c r="E73" s="12" t="inlineStr">
        <is>
          <t>Generic VIBAN Cash-In Does Not Settle POS Group</t>
        </is>
      </c>
      <c r="F73" s="13" t="inlineStr">
        <is>
          <t>Critical</t>
        </is>
      </c>
      <c r="G73" s="12" t="inlineStr">
        <is>
          <t>Pending POS settlement group exists</t>
        </is>
      </c>
      <c r="H73" s="12" t="inlineStr">
        <is>
          <t>1. Perform unrelated generic VIBAN cash-in
2. Check POS group</t>
        </is>
      </c>
      <c r="I73" s="12" t="inlineStr">
        <is>
          <t>Generic cash-in does not settle the POS group.</t>
        </is>
      </c>
      <c r="J73" s="13" t="inlineStr">
        <is>
          <t>NA</t>
        </is>
      </c>
      <c r="K73" s="13" t="inlineStr">
        <is>
          <t>Integration</t>
        </is>
      </c>
    </row>
    <row r="74" ht="36" customHeight="1">
      <c r="A74" s="12" t="inlineStr">
        <is>
          <t>PoS Transactions V6.6.0 (EMI-5914)</t>
        </is>
      </c>
      <c r="B74" s="12" t="inlineStr">
        <is>
          <t>Wallet Crediting &amp; Visib</t>
        </is>
      </c>
      <c r="C74" s="12" t="inlineStr">
        <is>
          <t>Integration</t>
        </is>
      </c>
      <c r="D74" s="13" t="inlineStr">
        <is>
          <t>TC-Wallet-22</t>
        </is>
      </c>
      <c r="E74" s="12" t="inlineStr">
        <is>
          <t>Only EMI-5922 Clearing Can Trigger Credit</t>
        </is>
      </c>
      <c r="F74" s="13" t="inlineStr">
        <is>
          <t>Critical</t>
        </is>
      </c>
      <c r="G74" s="12" t="inlineStr">
        <is>
          <t>Pending group exists</t>
        </is>
      </c>
      <c r="H74" s="12" t="inlineStr">
        <is>
          <t>1. Attempt credit through a non-EMI-5922 instruction
2. Check wallet</t>
        </is>
      </c>
      <c r="I74" s="12" t="inlineStr">
        <is>
          <t>No credit occurs; settlement is triggered only by the authorized intraday clearing.</t>
        </is>
      </c>
      <c r="J74" s="13" t="inlineStr">
        <is>
          <t>NA</t>
        </is>
      </c>
      <c r="K74" s="13" t="inlineStr">
        <is>
          <t>Integration</t>
        </is>
      </c>
    </row>
    <row r="75" ht="36" customHeight="1">
      <c r="A75" s="12" t="inlineStr">
        <is>
          <t>PoS Transactions V6.6.0 (EMI-5914)</t>
        </is>
      </c>
      <c r="B75" s="12" t="inlineStr">
        <is>
          <t>Wallet Crediting &amp; Visib</t>
        </is>
      </c>
      <c r="C75" s="12" t="inlineStr">
        <is>
          <t>End-to-End</t>
        </is>
      </c>
      <c r="D75" s="13" t="inlineStr">
        <is>
          <t>TC-Wallet-23</t>
        </is>
      </c>
      <c r="E75" s="12" t="inlineStr">
        <is>
          <t>Complete Merchant Settlement Lifecycle</t>
        </is>
      </c>
      <c r="F75" s="13" t="inlineStr">
        <is>
          <t>High</t>
        </is>
      </c>
      <c r="G75" s="12" t="inlineStr">
        <is>
          <t>Valid POS transaction exists</t>
        </is>
      </c>
      <c r="H75" s="12" t="inlineStr">
        <is>
          <t>1. Receive callback
2. Group transaction
3. Create pending cash-in
4. Clear through EMI-5922
5. Run Gate 3
6. Check merchant view</t>
        </is>
      </c>
      <c r="I75" s="12" t="inlineStr">
        <is>
          <t>Complete lifecycle is traceable: TID activity → Pending → Available → SETTLED, with exactly one wallet credit and correct merchant-facing status.</t>
        </is>
      </c>
      <c r="J75" s="13" t="inlineStr">
        <is>
          <t>NA</t>
        </is>
      </c>
      <c r="K75" s="13" t="inlineStr">
        <is>
          <t>Integration</t>
        </is>
      </c>
    </row>
    <row r="76" ht="36" customHeight="1">
      <c r="A76" s="12" t="inlineStr">
        <is>
          <t>PoS Transactions V6.6.0 (EMI-5914)</t>
        </is>
      </c>
      <c r="B76" s="12" t="inlineStr">
        <is>
          <t>Wallet Crediting &amp; Visib</t>
        </is>
      </c>
      <c r="C76" s="12" t="inlineStr">
        <is>
          <t>Gap Coverage</t>
        </is>
      </c>
      <c r="D76" s="13" t="inlineStr">
        <is>
          <t>TC-Wallet-24</t>
        </is>
      </c>
      <c r="E76" s="12" t="inlineStr">
        <is>
          <t>Void Before Settlement</t>
        </is>
      </c>
      <c r="F76" s="13" t="inlineStr">
        <is>
          <t>High</t>
        </is>
      </c>
      <c r="G76" s="12" t="inlineStr">
        <is>
          <t>Approved purchase later voided while status = AWAITING_SETTLEMENT</t>
        </is>
      </c>
      <c r="H76" s="12" t="inlineStr">
        <is>
          <t>1. Approve a purchase
2. Void it before the next settlement grouping run
3. Run grouping</t>
        </is>
      </c>
      <c r="I76" s="12" t="inlineStr">
        <is>
          <t>Voided transaction is correctly excluded from the next settlement group; not credited.</t>
        </is>
      </c>
      <c r="J76" s="13" t="inlineStr">
        <is>
          <t>NA</t>
        </is>
      </c>
      <c r="K76" s="13" t="inlineStr">
        <is>
          <t>Functional</t>
        </is>
      </c>
    </row>
    <row r="77" ht="36" customHeight="1">
      <c r="A77" s="12" t="inlineStr">
        <is>
          <t>PoS Transactions V6.6.0 (EMI-5914)</t>
        </is>
      </c>
      <c r="B77" s="12" t="inlineStr">
        <is>
          <t>Wallet Crediting &amp; Visib</t>
        </is>
      </c>
      <c r="C77" s="12" t="inlineStr">
        <is>
          <t>Gap Coverage</t>
        </is>
      </c>
      <c r="D77" s="13" t="inlineStr">
        <is>
          <t>TC-Wallet-25</t>
        </is>
      </c>
      <c r="E77" s="12" t="inlineStr">
        <is>
          <t>Partial Approval Path</t>
        </is>
      </c>
      <c r="F77" s="13" t="inlineStr">
        <is>
          <t>High</t>
        </is>
      </c>
      <c r="G77" s="12" t="inlineStr">
        <is>
          <t>Acquirer returns a partial-approval amount for a purchase</t>
        </is>
      </c>
      <c r="H77" s="12" t="inlineStr">
        <is>
          <t>1. Submit a transaction carrying a partial-approval amount
2. Process grouping and clearing</t>
        </is>
      </c>
      <c r="I77" s="12" t="inlineStr">
        <is>
          <t>Partial-approval amount is handled correctly through grouping and clearing without breaking aggregate/daily conservation.</t>
        </is>
      </c>
      <c r="J77" s="13" t="inlineStr">
        <is>
          <t>NA</t>
        </is>
      </c>
      <c r="K77" s="13" t="inlineStr">
        <is>
          <t>Functional</t>
        </is>
      </c>
    </row>
    <row r="78" ht="36" customHeight="1">
      <c r="A78" s="12" t="inlineStr">
        <is>
          <t>PoS Transactions V6.6.0 (EMI-5914)</t>
        </is>
      </c>
      <c r="B78" s="12" t="inlineStr">
        <is>
          <t>Wallet Crediting &amp; Visib</t>
        </is>
      </c>
      <c r="C78" s="12" t="inlineStr">
        <is>
          <t>Gap Coverage</t>
        </is>
      </c>
      <c r="D78" s="13" t="inlineStr">
        <is>
          <t>TC-Wallet-26</t>
        </is>
      </c>
      <c r="E78" s="12" t="inlineStr">
        <is>
          <t>COMPLIANCE_HOLD Recovery</t>
        </is>
      </c>
      <c r="F78" s="13" t="inlineStr">
        <is>
          <t>High</t>
        </is>
      </c>
      <c r="G78" s="12" t="inlineStr">
        <is>
          <t>A transaction is held via Gate 3 (COMPLIANCE_HOLD/suspense)</t>
        </is>
      </c>
      <c r="H78" s="12" t="inlineStr">
        <is>
          <t>1. Trigger a Gate 3 hold
2. Have Compliance manually release/approve the held transaction
3. Re-run crediting</t>
        </is>
      </c>
      <c r="I78" s="12" t="inlineStr">
        <is>
          <t>Happy path resumes correctly: held amount moves from suspense to Available; wallet and ledger consistent post-release.</t>
        </is>
      </c>
      <c r="J78" s="13" t="inlineStr">
        <is>
          <t>NA</t>
        </is>
      </c>
      <c r="K78" s="13" t="inlineStr">
        <is>
          <t>Functional</t>
        </is>
      </c>
    </row>
    <row r="79" ht="36" customHeight="1">
      <c r="A79" s="12" t="inlineStr">
        <is>
          <t>PoS Transactions V6.6.0 (EMI-5914)</t>
        </is>
      </c>
      <c r="B79" s="12" t="inlineStr">
        <is>
          <t>Wallet Crediting &amp; Visib</t>
        </is>
      </c>
      <c r="C79" s="12" t="inlineStr">
        <is>
          <t>Ledger Integrity</t>
        </is>
      </c>
      <c r="D79" s="13" t="inlineStr">
        <is>
          <t>TC-Wallet-27</t>
        </is>
      </c>
      <c r="E79" s="12" t="inlineStr">
        <is>
          <t>Ledger Is Append-Only</t>
        </is>
      </c>
      <c r="F79" s="13" t="inlineStr">
        <is>
          <t>Critical</t>
        </is>
      </c>
      <c r="G79" s="12" t="inlineStr">
        <is>
          <t>Wallet ledger contains credited, held and reversed settlement entries</t>
        </is>
      </c>
      <c r="H79" s="12" t="inlineStr">
        <is>
          <t>1. Attempt to update an existing ledger entry's amount, direction or status directly
2. Attempt to delete a ledger entry
3. Perform a correction via each supported path (returned transfer, COMPLIANCE_HOLD release, adjustment)
4. Inspect the ledger entry set and row identifiers before and after</t>
        </is>
      </c>
      <c r="I79" s="12" t="inlineStr">
        <is>
          <t>No ledger entry is ever mutated or removed — update/delete attempts are rejected. Every correction appears as a new appended entry with the original preserved, so the full history is reconstructable.</t>
        </is>
      </c>
      <c r="J79" s="13" t="inlineStr">
        <is>
          <t>NA</t>
        </is>
      </c>
      <c r="K79" s="13" t="inlineStr">
        <is>
          <t>Negative</t>
        </is>
      </c>
    </row>
    <row r="80" ht="36" customHeight="1">
      <c r="A80" s="12" t="inlineStr">
        <is>
          <t>PoS Transactions V6.6.0 (EMI-5914)</t>
        </is>
      </c>
      <c r="B80" s="12" t="inlineStr">
        <is>
          <t>Wallet Crediting &amp; Visib</t>
        </is>
      </c>
      <c r="C80" s="12" t="inlineStr">
        <is>
          <t>Conservation</t>
        </is>
      </c>
      <c r="D80" s="13" t="inlineStr">
        <is>
          <t>TC-Wallet-28</t>
        </is>
      </c>
      <c r="E80" s="12" t="inlineStr">
        <is>
          <t>Daily Wallet Conservation – Mismatch Alarms and Blocks</t>
        </is>
      </c>
      <c r="F80" s="13" t="inlineStr">
        <is>
          <t>Critical</t>
        </is>
      </c>
      <c r="G80" s="12" t="inlineStr">
        <is>
          <t>Wallet with cleared, pending-unfunded, held and suspense amounts, deliberately made not to reconcile against the omnibus received amount</t>
        </is>
      </c>
      <c r="H80" s="12" t="inlineStr">
        <is>
          <t>1. Introduce a halalah-level discrepancy between the wallet components and the omnibus received amount
2. Let the daily conservation check run
3. Inspect alarms and whether downstream crediting/settlement is permitted to continue</t>
        </is>
      </c>
      <c r="I80" s="12" t="inlineStr">
        <is>
          <t>Mismatch raises an alarm and acts as a control — downstream crediting is blocked or escalated for the affected wallet, not merely logged in a report. Discrepancy is surfaced to Ops with the failing components identified.</t>
        </is>
      </c>
      <c r="J80" s="13" t="inlineStr">
        <is>
          <t>NA</t>
        </is>
      </c>
      <c r="K80" s="13" t="inlineStr">
        <is>
          <t>Functional</t>
        </is>
      </c>
    </row>
    <row r="81" ht="36" customHeight="1">
      <c r="A81" s="12" t="inlineStr">
        <is>
          <t>PoS Transactions V6.6.0 (EMI-5914)</t>
        </is>
      </c>
      <c r="B81" s="12" t="inlineStr">
        <is>
          <t>Wallet Crediting &amp; Visib</t>
        </is>
      </c>
      <c r="C81" s="12" t="inlineStr">
        <is>
          <t>Conservation</t>
        </is>
      </c>
      <c r="D81" s="13" t="inlineStr">
        <is>
          <t>TC-Wallet-29</t>
        </is>
      </c>
      <c r="E81" s="12" t="inlineStr">
        <is>
          <t>Conservation Checks Run Automatically</t>
        </is>
      </c>
      <c r="F81" s="13" t="inlineStr">
        <is>
          <t>High</t>
        </is>
      </c>
      <c r="G81" s="12" t="inlineStr">
        <is>
          <t>Conservation checks configured with their scheduled/event trigger; no manual invocation performed</t>
        </is>
      </c>
      <c r="H81" s="12" t="inlineStr">
        <is>
          <t>1. Allow the group and daily conservation checks to reach their trigger point without any manual invocation
2. Confirm both executed and recorded a result
3. Suppress/disable the trigger and let the window pass
4. Inspect whether the missed run is detected</t>
        </is>
      </c>
      <c r="I81" s="12" t="inlineStr">
        <is>
          <t>Both conservation checks execute automatically at their trigger point and persist a pass/fail result each run. A skipped or failed-to-run check is itself detected and alarmed, so silence is never read as success.</t>
        </is>
      </c>
      <c r="J81" s="13" t="inlineStr">
        <is>
          <t>NA</t>
        </is>
      </c>
      <c r="K81" s="13" t="inlineStr">
        <is>
          <t>Functional</t>
        </is>
      </c>
    </row>
    <row r="82" ht="36" customHeight="1">
      <c r="A82" s="12" t="inlineStr">
        <is>
          <t>PoS Transactions V6.6.0 (EMI-5914)</t>
        </is>
      </c>
      <c r="B82" s="12" t="inlineStr">
        <is>
          <t>Wallet Crediting &amp; Visib</t>
        </is>
      </c>
      <c r="C82" s="12" t="inlineStr">
        <is>
          <t>Consistency</t>
        </is>
      </c>
      <c r="D82" s="13" t="inlineStr">
        <is>
          <t>TC-Wallet-30</t>
        </is>
      </c>
      <c r="E82" s="12" t="inlineStr">
        <is>
          <t>Merchant Figures Derive From a Single Source</t>
        </is>
      </c>
      <c r="F82" s="13" t="inlineStr">
        <is>
          <t>High</t>
        </is>
      </c>
      <c r="G82" s="12" t="inlineStr">
        <is>
          <t>Merchant wallet and per-device (TID) activity view both accessible; transactions spanning pending, held, reversed and partially-approved states</t>
        </is>
      </c>
      <c r="H82" s="12" t="inlineStr">
        <is>
          <t>1. Read the per-device view totals and the wallet balance for the same merchant
2. Drive the merchant through a hold, a reversal and a partial approval
3. Re-read both surfaces after each event and compare
4. Trace both figures back to their underlying data source</t>
        </is>
      </c>
      <c r="I82" s="12" t="inlineStr">
        <is>
          <t>Both surfaces resolve to the same single source and never diverge across any state transition; the per-device view and wallet balance are not computed by two independent paths.</t>
        </is>
      </c>
      <c r="J82" s="13" t="inlineStr">
        <is>
          <t>NA</t>
        </is>
      </c>
      <c r="K82" s="13" t="inlineStr">
        <is>
          <t>Integration</t>
        </is>
      </c>
    </row>
    <row r="83" ht="36" customHeight="1">
      <c r="A83" s="12" t="inlineStr">
        <is>
          <t>PoS Transactions V6.6.0 (EMI-5914)</t>
        </is>
      </c>
      <c r="B83" s="12" t="inlineStr">
        <is>
          <t>Wallet Crediting &amp; Visib</t>
        </is>
      </c>
      <c r="C83" s="12" t="inlineStr">
        <is>
          <t>Conservation</t>
        </is>
      </c>
      <c r="D83" s="13" t="inlineStr">
        <is>
          <t>TC-Wallet-31</t>
        </is>
      </c>
      <c r="E83" s="12" t="inlineStr">
        <is>
          <t>Rounding Residual Absorbed at Destination Leg</t>
        </is>
      </c>
      <c r="F83" s="13" t="inlineStr">
        <is>
          <t>Medium</t>
        </is>
      </c>
      <c r="G83" s="12" t="inlineStr">
        <is>
          <t>Commission engine produces a rounding residual (e.g. halalah-level remainder) when applying commission/VAT to a cleared cash-in</t>
        </is>
      </c>
      <c r="H83" s="12" t="inlineStr">
        <is>
          <t>1. Process a settlement credit where the commission-engine calculation leaves a rounding residual
2. Inspect the destination-leg entries
3. Check for any unattributed amount</t>
        </is>
      </c>
      <c r="I83" s="12" t="inlineStr">
        <is>
          <t>The residual is absorbed into the destination leg; no unattributed/orphaned amount remains anywhere in the ledger; daily conservation still reconciles to the halalah.</t>
        </is>
      </c>
      <c r="J83" s="13" t="inlineStr">
        <is>
          <t>NA</t>
        </is>
      </c>
      <c r="K83" s="13" t="inlineStr">
        <is>
          <t>Functional</t>
        </is>
      </c>
    </row>
    <row r="84" ht="36" customHeight="1">
      <c r="A84" s="12" t="inlineStr">
        <is>
          <t>PoS Transactions V6.6.0 (EMI-5914)</t>
        </is>
      </c>
      <c r="B84" s="12" t="inlineStr">
        <is>
          <t>Wallet Crediting &amp; Visib</t>
        </is>
      </c>
      <c r="C84" s="12" t="inlineStr">
        <is>
          <t>Integration/UX</t>
        </is>
      </c>
      <c r="D84" s="13" t="inlineStr">
        <is>
          <t>TC-Wallet-32</t>
        </is>
      </c>
      <c r="E84" s="12" t="inlineStr">
        <is>
          <t>Merchant Notified on Successful Crediting</t>
        </is>
      </c>
      <c r="F84" s="13" t="inlineStr">
        <is>
          <t>Medium</t>
        </is>
      </c>
      <c r="G84" s="12" t="inlineStr">
        <is>
          <t>Settlement group clears successfully (pending → available)</t>
        </is>
      </c>
      <c r="H84" s="12" t="inlineStr">
        <is>
          <t>1. Complete a successful intraday clearing for a group
2. Check for a merchant notification
3. Review notification content</t>
        </is>
      </c>
      <c r="I84" s="12" t="inlineStr">
        <is>
          <t>Merchant receives a notification of the credit; content correctly identifies the settlement group/device and is distinct from the neutral copy used for held items.</t>
        </is>
      </c>
      <c r="J84" s="13" t="inlineStr">
        <is>
          <t>NA</t>
        </is>
      </c>
      <c r="K84" s="13" t="inlineStr">
        <is>
          <t>Usability</t>
        </is>
      </c>
    </row>
    <row r="85" ht="36" customHeight="1">
      <c r="A85" s="12" t="inlineStr">
        <is>
          <t>PoS Transactions V6.6.0 (EMI-5914)</t>
        </is>
      </c>
      <c r="B85" s="12" t="inlineStr">
        <is>
          <t>Wallet Crediting &amp; Visib</t>
        </is>
      </c>
      <c r="C85" s="12" t="inlineStr">
        <is>
          <t>Conservation</t>
        </is>
      </c>
      <c r="D85" s="13" t="inlineStr">
        <is>
          <t>TC-Wallet-33</t>
        </is>
      </c>
      <c r="E85" s="12" t="inlineStr">
        <is>
          <t>Group Conservation Checked at Grouping Time, Not Only at Crediting</t>
        </is>
      </c>
      <c r="F85" s="13" t="inlineStr">
        <is>
          <t>High</t>
        </is>
      </c>
      <c r="G85" s="12" t="inlineStr">
        <is>
          <t>New settlement group about to be created by EMI-5989</t>
        </is>
      </c>
      <c r="H85" s="12" t="inlineStr">
        <is>
          <t>1. Create a settlement group where aggregate net would mismatch member sum
2. Observe whether the mismatch is caught at grouping time, before any crediting attempt
3. Separately confirm the same group is re-checked again at crediting time</t>
        </is>
      </c>
      <c r="I85" s="12" t="inlineStr">
        <is>
          <t>Conservation is evaluated at both checkpoints independently, per AC-D; a mismatch introduced after grouping is still caught at crediting even if grouping's check passed.</t>
        </is>
      </c>
      <c r="J85" s="13" t="inlineStr">
        <is>
          <t>NA</t>
        </is>
      </c>
      <c r="K85" s="13" t="inlineStr">
        <is>
          <t>Functional</t>
        </is>
      </c>
    </row>
    <row r="86" ht="36" customHeight="1">
      <c r="A86" s="12" t="inlineStr">
        <is>
          <t>PoS Transactions V6.6.0 (EMI-5914)</t>
        </is>
      </c>
      <c r="B86" s="12" t="inlineStr">
        <is>
          <t>Wallet Crediting &amp; Visib</t>
        </is>
      </c>
      <c r="C86" s="12" t="inlineStr">
        <is>
          <t>Functional/Security</t>
        </is>
      </c>
      <c r="D86" s="13" t="inlineStr">
        <is>
          <t>TC-Wallet-34</t>
        </is>
      </c>
      <c r="E86" s="12" t="inlineStr">
        <is>
          <t>Valid batch_ref for a Different Group Does Not Cross-Credit</t>
        </is>
      </c>
      <c r="F86" s="13" t="inlineStr">
        <is>
          <t>Critical</t>
        </is>
      </c>
      <c r="G86" s="12" t="inlineStr">
        <is>
          <t>Two distinct pending settlement groups exist (Group A, Group B)</t>
        </is>
      </c>
      <c r="H86" s="12" t="inlineStr">
        <is>
          <t>1. Submit a valid, correctly-formatted intraday credit whose batch_ref belongs to Group A
2. Attempt to apply it against Group B
3. Check both groups' states</t>
        </is>
      </c>
      <c r="I86" s="12" t="inlineStr">
        <is>
          <t>Only Group A is credited; Group B remains pending and unaffected.</t>
        </is>
      </c>
      <c r="J86" s="13" t="inlineStr">
        <is>
          <t>NA</t>
        </is>
      </c>
      <c r="K86" s="13" t="inlineStr">
        <is>
          <t>Security</t>
        </is>
      </c>
    </row>
    <row r="87" ht="36" customHeight="1">
      <c r="A87" s="12" t="inlineStr">
        <is>
          <t>PoS Transactions V6.6.0 (EMI-5914)</t>
        </is>
      </c>
      <c r="B87" s="12" t="inlineStr">
        <is>
          <t>Wallet Crediting &amp; Visib</t>
        </is>
      </c>
      <c r="C87" s="12" t="inlineStr">
        <is>
          <t>Compliance/UX</t>
        </is>
      </c>
      <c r="D87" s="13" t="inlineStr">
        <is>
          <t>TC-Wallet-35</t>
        </is>
      </c>
      <c r="E87" s="12" t="inlineStr">
        <is>
          <t>Finance-Facing Held-Funds / Suspense Position View</t>
        </is>
      </c>
      <c r="F87" s="13" t="inlineStr">
        <is>
          <t>Medium</t>
        </is>
      </c>
      <c r="G87" s="12" t="inlineStr">
        <is>
          <t>One or more wallets hold amounts in COMPLIANCE_HOLD/suspense</t>
        </is>
      </c>
      <c r="H87" s="12" t="inlineStr">
        <is>
          <t>1. Open the Finance-facing held-funds/suspense view
2. Compare totals against the wallet-level suspense entries
3. Confirm traceability to individual held transactions</t>
        </is>
      </c>
      <c r="I87" s="12" t="inlineStr">
        <is>
          <t>Finance can see an accurate, traceable picture of all held/suspense funds; the total agrees with the underlying ledger entries.</t>
        </is>
      </c>
      <c r="J87" s="13" t="inlineStr">
        <is>
          <t>NA</t>
        </is>
      </c>
      <c r="K87" s="13" t="inlineStr">
        <is>
          <t>Integration</t>
        </is>
      </c>
    </row>
    <row r="88" ht="36" customHeight="1">
      <c r="A88" s="12" t="inlineStr">
        <is>
          <t>PoS Transactions V6.6.0 (EMI-5914)</t>
        </is>
      </c>
      <c r="B88" s="12" t="inlineStr">
        <is>
          <t>Wallet Payment at Terminal</t>
        </is>
      </c>
      <c r="C88" s="12" t="inlineStr">
        <is>
          <t>Functional</t>
        </is>
      </c>
      <c r="D88" s="13" t="inlineStr">
        <is>
          <t>TC-WalletPay-01</t>
        </is>
      </c>
      <c r="E88" s="12" t="inlineStr">
        <is>
          <t>Happy Path - Dynamic QR Approval</t>
        </is>
      </c>
      <c r="F88" s="13" t="inlineStr">
        <is>
          <t>High</t>
        </is>
      </c>
      <c r="G88" s="12" t="inlineStr">
        <is>
          <t>Customer wallet funded above the sale amount; merchant wallet active and fully compliant; terminal online and linked to the merchant wallet</t>
        </is>
      </c>
      <c r="H88" s="12" t="inlineStr">
        <is>
          <t>1. Merchant enters the amount on the terminal
2. Terminal displays the dynamic QR
3. Customer scans the QR in the MJD Pay app
4. Customer approves with PIN or biometric</t>
        </is>
      </c>
      <c r="I88" s="12" t="inlineStr">
        <is>
          <t>Authorization approved inside the 10 s end-to-end budget; customer wallet debited; merchant wallet credited; merchant funds spendable at once; commission priced by the commission engine</t>
        </is>
      </c>
      <c r="J88" s="13" t="inlineStr">
        <is>
          <t>Not Tested</t>
        </is>
      </c>
      <c r="K88" s="13" t="inlineStr">
        <is>
          <t>Functional</t>
        </is>
      </c>
    </row>
    <row r="89" ht="36" customHeight="1">
      <c r="A89" s="12" t="inlineStr">
        <is>
          <t>PoS Transactions V6.6.0 (EMI-5914)</t>
        </is>
      </c>
      <c r="B89" s="12" t="inlineStr">
        <is>
          <t>Wallet Payment at Terminal</t>
        </is>
      </c>
      <c r="C89" s="12" t="inlineStr">
        <is>
          <t>Functional</t>
        </is>
      </c>
      <c r="D89" s="13" t="inlineStr">
        <is>
          <t>TC-WalletPay-02</t>
        </is>
      </c>
      <c r="E89" s="12" t="inlineStr">
        <is>
          <t>Customer-Presented Code Fallback Uses the Same Authorization API</t>
        </is>
      </c>
      <c r="F89" s="13" t="inlineStr">
        <is>
          <t>High</t>
        </is>
      </c>
      <c r="G89" s="12" t="inlineStr">
        <is>
          <t>Customer-presented mode enabled; customer wallet funded</t>
        </is>
      </c>
      <c r="H89" s="12" t="inlineStr">
        <is>
          <t>1. Customer displays their code in the app
2. Merchant scans it at the terminal
3. Trace the request path to the authorization endpoint
4. Customer approves</t>
        </is>
      </c>
      <c r="I89" s="12" t="inlineStr">
        <is>
          <t>Payment succeeds through the same single authorization API as the QR flow; no second money path exists; the method is switchable by configuration without touching the money path</t>
        </is>
      </c>
      <c r="J89" s="13" t="inlineStr">
        <is>
          <t>Not Tested</t>
        </is>
      </c>
      <c r="K89" s="13" t="inlineStr">
        <is>
          <t>Integration</t>
        </is>
      </c>
    </row>
    <row r="90" ht="36" customHeight="1">
      <c r="A90" s="12" t="inlineStr">
        <is>
          <t>PoS Transactions V6.6.0 (EMI-5914)</t>
        </is>
      </c>
      <c r="B90" s="12" t="inlineStr">
        <is>
          <t>Wallet Payment at Terminal</t>
        </is>
      </c>
      <c r="C90" s="12" t="inlineStr">
        <is>
          <t>Functional</t>
        </is>
      </c>
      <c r="D90" s="13" t="inlineStr">
        <is>
          <t>TC-WalletPay-03</t>
        </is>
      </c>
      <c r="E90" s="12" t="inlineStr">
        <is>
          <t>Terminal Resolves to the Correct Merchant Wallet</t>
        </is>
      </c>
      <c r="F90" s="13" t="inlineStr">
        <is>
          <t>Medium</t>
        </is>
      </c>
      <c r="G90" s="12" t="inlineStr">
        <is>
          <t>Terminal (TID) linked to a known merchant wallet</t>
        </is>
      </c>
      <c r="H90" s="12" t="inlineStr">
        <is>
          <t>1. Submit an authorization for that terminal
2. Inspect the resolved merchant wallet on the authorization record</t>
        </is>
      </c>
      <c r="I90" s="12" t="inlineStr">
        <is>
          <t>Terminal resolves to its linked merchant wallet; the credit lands on that wallet and no other</t>
        </is>
      </c>
      <c r="J90" s="13" t="inlineStr">
        <is>
          <t>Not Tested</t>
        </is>
      </c>
      <c r="K90" s="13" t="inlineStr">
        <is>
          <t>Functional</t>
        </is>
      </c>
    </row>
    <row r="91" ht="36" customHeight="1">
      <c r="A91" s="12" t="inlineStr">
        <is>
          <t>PoS Transactions V6.6.0 (EMI-5914)</t>
        </is>
      </c>
      <c r="B91" s="12" t="inlineStr">
        <is>
          <t>Wallet Payment at Terminal</t>
        </is>
      </c>
      <c r="C91" s="12" t="inlineStr">
        <is>
          <t>Functional</t>
        </is>
      </c>
      <c r="D91" s="13" t="inlineStr">
        <is>
          <t>TC-WalletPay-04</t>
        </is>
      </c>
      <c r="E91" s="12" t="inlineStr">
        <is>
          <t>Scanned Reference Resolves to the Correct Customer Wallet</t>
        </is>
      </c>
      <c r="F91" s="13" t="inlineStr">
        <is>
          <t>Medium</t>
        </is>
      </c>
      <c r="G91" s="12" t="inlineStr">
        <is>
          <t>Customer wallet active and funded</t>
        </is>
      </c>
      <c r="H91" s="12" t="inlineStr">
        <is>
          <t>1. Customer scans the terminal QR
2. Inspect the resolved customer wallet on the authorization record</t>
        </is>
      </c>
      <c r="I91" s="12" t="inlineStr">
        <is>
          <t>The scanned reference resolves to the scanning customer's wallet; the debit lands on that wallet and no other</t>
        </is>
      </c>
      <c r="J91" s="13" t="inlineStr">
        <is>
          <t>Not Tested</t>
        </is>
      </c>
      <c r="K91" s="13" t="inlineStr">
        <is>
          <t>Functional</t>
        </is>
      </c>
    </row>
    <row r="92" ht="36" customHeight="1">
      <c r="A92" s="12" t="inlineStr">
        <is>
          <t>PoS Transactions V6.6.0 (EMI-5914)</t>
        </is>
      </c>
      <c r="B92" s="12" t="inlineStr">
        <is>
          <t>Wallet Payment at Terminal</t>
        </is>
      </c>
      <c r="C92" s="12" t="inlineStr">
        <is>
          <t>Functional</t>
        </is>
      </c>
      <c r="D92" s="13" t="inlineStr">
        <is>
          <t>TC-WalletPay-05</t>
        </is>
      </c>
      <c r="E92" s="12" t="inlineStr">
        <is>
          <t>Merchant Funds Are Spendable Immediately</t>
        </is>
      </c>
      <c r="F92" s="13" t="inlineStr">
        <is>
          <t>High</t>
        </is>
      </c>
      <c r="G92" s="12" t="inlineStr">
        <is>
          <t>A wallet payment has just been approved at the terminal</t>
        </is>
      </c>
      <c r="H92" s="12" t="inlineStr">
        <is>
          <t>1. Read the merchant's available (spendable) balance immediately after approval
2. Attempt to spend the credited amount straight away</t>
        </is>
      </c>
      <c r="I92" s="12" t="inlineStr">
        <is>
          <t>Credited amount is immediately available and spendable; it is never presented as pending, cleared-later or provisional</t>
        </is>
      </c>
      <c r="J92" s="13" t="inlineStr">
        <is>
          <t>Not Tested</t>
        </is>
      </c>
      <c r="K92" s="13" t="inlineStr">
        <is>
          <t>Functional</t>
        </is>
      </c>
    </row>
    <row r="93" ht="36" customHeight="1">
      <c r="A93" s="12" t="inlineStr">
        <is>
          <t>PoS Transactions V6.6.0 (EMI-5914)</t>
        </is>
      </c>
      <c r="B93" s="12" t="inlineStr">
        <is>
          <t>Wallet Payment at Terminal</t>
        </is>
      </c>
      <c r="C93" s="12" t="inlineStr">
        <is>
          <t>Functional</t>
        </is>
      </c>
      <c r="D93" s="13" t="inlineStr">
        <is>
          <t>TC-WalletPay-06</t>
        </is>
      </c>
      <c r="E93" s="12" t="inlineStr">
        <is>
          <t>Commission Priced by the Existing Engine on TXN Type + Platform</t>
        </is>
      </c>
      <c r="F93" s="13" t="inlineStr">
        <is>
          <t>High</t>
        </is>
      </c>
      <c r="G93" s="12" t="inlineStr">
        <is>
          <t>PoS commission scheme configured per EMI-5921; customer wallet funded</t>
        </is>
      </c>
      <c r="H93" s="12" t="inlineStr">
        <is>
          <t>1. Complete a wallet payment at the terminal
2. Inspect the fee entries and the pricing call that was made</t>
        </is>
      </c>
      <c r="I93" s="12" t="inlineStr">
        <is>
          <t>Commission is resolved and priced solely by the existing commission engine on TXN type + Platform; no rate is held or computed inside this story</t>
        </is>
      </c>
      <c r="J93" s="13" t="inlineStr">
        <is>
          <t>Not Tested</t>
        </is>
      </c>
      <c r="K93" s="13" t="inlineStr">
        <is>
          <t>Functional</t>
        </is>
      </c>
    </row>
    <row r="94" ht="36" customHeight="1">
      <c r="A94" s="12" t="inlineStr">
        <is>
          <t>PoS Transactions V6.6.0 (EMI-5914)</t>
        </is>
      </c>
      <c r="B94" s="12" t="inlineStr">
        <is>
          <t>Wallet Payment at Terminal</t>
        </is>
      </c>
      <c r="C94" s="12" t="inlineStr">
        <is>
          <t>Functional</t>
        </is>
      </c>
      <c r="D94" s="13" t="inlineStr">
        <is>
          <t>TC-WalletPay-07</t>
        </is>
      </c>
      <c r="E94" s="12" t="inlineStr">
        <is>
          <t>Customer In-App Receipt Content</t>
        </is>
      </c>
      <c r="F94" s="13" t="inlineStr">
        <is>
          <t>Medium</t>
        </is>
      </c>
      <c r="G94" s="12" t="inlineStr">
        <is>
          <t>A wallet payment has been approved</t>
        </is>
      </c>
      <c r="H94" s="12" t="inlineStr">
        <is>
          <t>1. Open the receipt in the customer app</t>
        </is>
      </c>
      <c r="I94" s="12" t="inlineStr">
        <is>
          <t>Receipt shows merchant name, amount, any fee and the transaction reference</t>
        </is>
      </c>
      <c r="J94" s="13" t="inlineStr">
        <is>
          <t>Not Tested</t>
        </is>
      </c>
      <c r="K94" s="13" t="inlineStr">
        <is>
          <t>Functional</t>
        </is>
      </c>
    </row>
    <row r="95" ht="36" customHeight="1">
      <c r="A95" s="12" t="inlineStr">
        <is>
          <t>PoS Transactions V6.6.0 (EMI-5914)</t>
        </is>
      </c>
      <c r="B95" s="12" t="inlineStr">
        <is>
          <t>Wallet Payment at Terminal</t>
        </is>
      </c>
      <c r="C95" s="12" t="inlineStr">
        <is>
          <t>Functional</t>
        </is>
      </c>
      <c r="D95" s="13" t="inlineStr">
        <is>
          <t>TC-WalletPay-08</t>
        </is>
      </c>
      <c r="E95" s="12" t="inlineStr">
        <is>
          <t>Merchant Notification and Wallet Activity Entry</t>
        </is>
      </c>
      <c r="F95" s="13" t="inlineStr">
        <is>
          <t>Medium</t>
        </is>
      </c>
      <c r="G95" s="12" t="inlineStr">
        <is>
          <t>A wallet payment has been approved; merchant push notifications enabled</t>
        </is>
      </c>
      <c r="H95" s="12" t="inlineStr">
        <is>
          <t>1. Observe the merchant app after approval
2. Open the merchant wallet activity list</t>
        </is>
      </c>
      <c r="I95" s="12" t="inlineStr">
        <is>
          <t>Merchant receives a push notification and an activity entry for the payment, shown as immediately spendable</t>
        </is>
      </c>
      <c r="J95" s="13" t="inlineStr">
        <is>
          <t>Not Tested</t>
        </is>
      </c>
      <c r="K95" s="13" t="inlineStr">
        <is>
          <t>Functional</t>
        </is>
      </c>
    </row>
    <row r="96" ht="36" customHeight="1">
      <c r="A96" s="12" t="inlineStr">
        <is>
          <t>PoS Transactions V6.6.0 (EMI-5914)</t>
        </is>
      </c>
      <c r="B96" s="12" t="inlineStr">
        <is>
          <t>Wallet Payment at Terminal</t>
        </is>
      </c>
      <c r="C96" s="12" t="inlineStr">
        <is>
          <t>Functional</t>
        </is>
      </c>
      <c r="D96" s="13" t="inlineStr">
        <is>
          <t>TC-WalletPay-09</t>
        </is>
      </c>
      <c r="E96" s="12" t="inlineStr">
        <is>
          <t>Wallet View Distinguishes Instant Payment from Card Settlement Credit</t>
        </is>
      </c>
      <c r="F96" s="13" t="inlineStr">
        <is>
          <t>Medium</t>
        </is>
      </c>
      <c r="G96" s="12" t="inlineStr">
        <is>
          <t>Merchant wallet holds both a terminal wallet payment and a card settlement batch credit</t>
        </is>
      </c>
      <c r="H96" s="12" t="inlineStr">
        <is>
          <t>1. Open the merchant wallet activity view
2. Compare how the two credits are presented</t>
        </is>
      </c>
      <c r="I96" s="12" t="inlineStr">
        <is>
          <t>The instant wallet payment is visually and semantically distinct from a card settlement credit that lands days later per batch; the merchant can tell them apart without opening details</t>
        </is>
      </c>
      <c r="J96" s="13" t="inlineStr">
        <is>
          <t>Not Tested</t>
        </is>
      </c>
      <c r="K96" s="13" t="inlineStr">
        <is>
          <t>Functional</t>
        </is>
      </c>
    </row>
    <row r="97" ht="36" customHeight="1">
      <c r="A97" s="12" t="inlineStr">
        <is>
          <t>PoS Transactions V6.6.0 (EMI-5914)</t>
        </is>
      </c>
      <c r="B97" s="12" t="inlineStr">
        <is>
          <t>Wallet Payment at Terminal</t>
        </is>
      </c>
      <c r="C97" s="12" t="inlineStr">
        <is>
          <t>Negative</t>
        </is>
      </c>
      <c r="D97" s="13" t="inlineStr">
        <is>
          <t>TC-WalletPay-10</t>
        </is>
      </c>
      <c r="E97" s="12" t="inlineStr">
        <is>
          <t>Insufficient Customer Balance Declines Before Any Prompt</t>
        </is>
      </c>
      <c r="F97" s="13" t="inlineStr">
        <is>
          <t>High</t>
        </is>
      </c>
      <c r="G97" s="12" t="inlineStr">
        <is>
          <t>Customer wallet balance below the sale amount</t>
        </is>
      </c>
      <c r="H97" s="12" t="inlineStr">
        <is>
          <t>1. Submit an authorization for an amount above the customer's balance
2. Observe the customer app throughout</t>
        </is>
      </c>
      <c r="I97" s="12" t="inlineStr">
        <is>
          <t>Synchronous decline returned to the terminal; the customer is never prompted for PIN or biometric; nothing moves; no partial payment and no hold is created</t>
        </is>
      </c>
      <c r="J97" s="13" t="inlineStr">
        <is>
          <t>Not Tested</t>
        </is>
      </c>
      <c r="K97" s="13" t="inlineStr">
        <is>
          <t>Negative</t>
        </is>
      </c>
    </row>
    <row r="98" ht="36" customHeight="1">
      <c r="A98" s="12" t="inlineStr">
        <is>
          <t>PoS Transactions V6.6.0 (EMI-5914)</t>
        </is>
      </c>
      <c r="B98" s="12" t="inlineStr">
        <is>
          <t>Wallet Payment at Terminal</t>
        </is>
      </c>
      <c r="C98" s="12" t="inlineStr">
        <is>
          <t>Negative</t>
        </is>
      </c>
      <c r="D98" s="13" t="inlineStr">
        <is>
          <t>TC-WalletPay-11</t>
        </is>
      </c>
      <c r="E98" s="12" t="inlineStr">
        <is>
          <t>Customer Never Approves - 90 Second Timeout</t>
        </is>
      </c>
      <c r="F98" s="13" t="inlineStr">
        <is>
          <t>High</t>
        </is>
      </c>
      <c r="G98" s="12" t="inlineStr">
        <is>
          <t>Customer wallet funded; all checks pass so the prompt is raised</t>
        </is>
      </c>
      <c r="H98" s="12" t="inlineStr">
        <is>
          <t>1. Submit an authorization
2. Leave the customer prompt untouched past the configured window (default 90 s)</t>
        </is>
      </c>
      <c r="I98" s="12" t="inlineStr">
        <is>
          <t>Authorization declines at the timeout; terminal shows declined; all balances unchanged</t>
        </is>
      </c>
      <c r="J98" s="13" t="inlineStr">
        <is>
          <t>Not Tested</t>
        </is>
      </c>
      <c r="K98" s="13" t="inlineStr">
        <is>
          <t>Negative</t>
        </is>
      </c>
    </row>
    <row r="99" ht="36" customHeight="1">
      <c r="A99" s="12" t="inlineStr">
        <is>
          <t>PoS Transactions V6.6.0 (EMI-5914)</t>
        </is>
      </c>
      <c r="B99" s="12" t="inlineStr">
        <is>
          <t>Wallet Payment at Terminal</t>
        </is>
      </c>
      <c r="C99" s="12" t="inlineStr">
        <is>
          <t>Negative</t>
        </is>
      </c>
      <c r="D99" s="13" t="inlineStr">
        <is>
          <t>TC-WalletPay-12</t>
        </is>
      </c>
      <c r="E99" s="12" t="inlineStr">
        <is>
          <t>Customer Explicitly Rejects the Prompt</t>
        </is>
      </c>
      <c r="F99" s="13" t="inlineStr">
        <is>
          <t>Medium</t>
        </is>
      </c>
      <c r="G99" s="12" t="inlineStr">
        <is>
          <t>Customer wallet funded; prompt raised</t>
        </is>
      </c>
      <c r="H99" s="12" t="inlineStr">
        <is>
          <t>1. Customer taps reject on the approval screen</t>
        </is>
      </c>
      <c r="I99" s="12" t="inlineStr">
        <is>
          <t>Decline returned to the terminal; nothing moves; no reserve or hold remains</t>
        </is>
      </c>
      <c r="J99" s="13" t="inlineStr">
        <is>
          <t>Not Tested</t>
        </is>
      </c>
      <c r="K99" s="13" t="inlineStr">
        <is>
          <t>Negative</t>
        </is>
      </c>
    </row>
    <row r="100" ht="36" customHeight="1">
      <c r="A100" s="12" t="inlineStr">
        <is>
          <t>PoS Transactions V6.6.0 (EMI-5914)</t>
        </is>
      </c>
      <c r="B100" s="12" t="inlineStr">
        <is>
          <t>Wallet Payment at Terminal</t>
        </is>
      </c>
      <c r="C100" s="12" t="inlineStr">
        <is>
          <t>Configuration</t>
        </is>
      </c>
      <c r="D100" s="13" t="inlineStr">
        <is>
          <t>TC-WalletPay-13</t>
        </is>
      </c>
      <c r="E100" s="12" t="inlineStr">
        <is>
          <t>Customer Approval Window Is Configurable</t>
        </is>
      </c>
      <c r="F100" s="13" t="inlineStr">
        <is>
          <t>Medium</t>
        </is>
      </c>
      <c r="G100" s="12" t="inlineStr">
        <is>
          <t>Access to the approval-window configuration</t>
        </is>
      </c>
      <c r="H100" s="12" t="inlineStr">
        <is>
          <t>1. Change the customer approval window from the 90 s default to another value
2. Run an authorization and let it time out</t>
        </is>
      </c>
      <c r="I100" s="12" t="inlineStr">
        <is>
          <t>The new window takes effect without a release; the decline fires at the configured value</t>
        </is>
      </c>
      <c r="J100" s="13" t="inlineStr">
        <is>
          <t>Not Tested</t>
        </is>
      </c>
      <c r="K100" s="13" t="inlineStr">
        <is>
          <t>Configuration</t>
        </is>
      </c>
    </row>
    <row r="101" ht="36" customHeight="1">
      <c r="A101" s="12" t="inlineStr">
        <is>
          <t>PoS Transactions V6.6.0 (EMI-5914)</t>
        </is>
      </c>
      <c r="B101" s="12" t="inlineStr">
        <is>
          <t>Wallet Payment at Terminal</t>
        </is>
      </c>
      <c r="C101" s="12" t="inlineStr">
        <is>
          <t>Compliance</t>
        </is>
      </c>
      <c r="D101" s="13" t="inlineStr">
        <is>
          <t>TC-WalletPay-14</t>
        </is>
      </c>
      <c r="E101" s="12" t="inlineStr">
        <is>
          <t>Merchant Under AML Review - Decline Before Prompt</t>
        </is>
      </c>
      <c r="F101" s="13" t="inlineStr">
        <is>
          <t>High</t>
        </is>
      </c>
      <c r="G101" s="12" t="inlineStr">
        <is>
          <t>Merchant wallet flagged under AML review; customer wallet funded</t>
        </is>
      </c>
      <c r="H101" s="12" t="inlineStr">
        <is>
          <t>1. Submit an authorization for that merchant's terminal
2. Observe the customer app and the terminal response</t>
        </is>
      </c>
      <c r="I101" s="12" t="inlineStr">
        <is>
          <t>Synchronous terminal decline with a neutral reason code; the customer is never prompted; nothing moves; the merchant's review state is not inferable from any surface</t>
        </is>
      </c>
      <c r="J101" s="13" t="inlineStr">
        <is>
          <t>Not Tested</t>
        </is>
      </c>
      <c r="K101" s="13" t="inlineStr">
        <is>
          <t>Compliance</t>
        </is>
      </c>
    </row>
    <row r="102" ht="36" customHeight="1">
      <c r="A102" s="12" t="inlineStr">
        <is>
          <t>PoS Transactions V6.6.0 (EMI-5914)</t>
        </is>
      </c>
      <c r="B102" s="12" t="inlineStr">
        <is>
          <t>Wallet Payment at Terminal</t>
        </is>
      </c>
      <c r="C102" s="12" t="inlineStr">
        <is>
          <t>Compliance</t>
        </is>
      </c>
      <c r="D102" s="13" t="inlineStr">
        <is>
          <t>TC-WalletPay-15</t>
        </is>
      </c>
      <c r="E102" s="12" t="inlineStr">
        <is>
          <t>Merchant Sanctions or UBO Screening Hit</t>
        </is>
      </c>
      <c r="F102" s="13" t="inlineStr">
        <is>
          <t>High</t>
        </is>
      </c>
      <c r="G102" s="12" t="inlineStr">
        <is>
          <t>Merchant carries an unresolved sanctions or UBO screening hit</t>
        </is>
      </c>
      <c r="H102" s="12" t="inlineStr">
        <is>
          <t>1. Submit an authorization for that merchant's terminal</t>
        </is>
      </c>
      <c r="I102" s="12" t="inlineStr">
        <is>
          <t>Synchronous decline with a neutral reason code; customer never prompted; nothing moves</t>
        </is>
      </c>
      <c r="J102" s="13" t="inlineStr">
        <is>
          <t>Not Tested</t>
        </is>
      </c>
      <c r="K102" s="13" t="inlineStr">
        <is>
          <t>Compliance</t>
        </is>
      </c>
    </row>
    <row r="103" ht="36" customHeight="1">
      <c r="A103" s="12" t="inlineStr">
        <is>
          <t>PoS Transactions V6.6.0 (EMI-5914)</t>
        </is>
      </c>
      <c r="B103" s="12" t="inlineStr">
        <is>
          <t>Wallet Payment at Terminal</t>
        </is>
      </c>
      <c r="C103" s="12" t="inlineStr">
        <is>
          <t>Compliance</t>
        </is>
      </c>
      <c r="D103" s="13" t="inlineStr">
        <is>
          <t>TC-WalletPay-16</t>
        </is>
      </c>
      <c r="E103" s="12" t="inlineStr">
        <is>
          <t>Merchant KYC/KYB Invalid or Expired</t>
        </is>
      </c>
      <c r="F103" s="13" t="inlineStr">
        <is>
          <t>High</t>
        </is>
      </c>
      <c r="G103" s="12" t="inlineStr">
        <is>
          <t>Merchant KYB documents expired or KYC invalid</t>
        </is>
      </c>
      <c r="H103" s="12" t="inlineStr">
        <is>
          <t>1. Submit an authorization for that merchant's terminal</t>
        </is>
      </c>
      <c r="I103" s="12" t="inlineStr">
        <is>
          <t>Synchronous decline with a neutral reason code; customer never prompted; nothing moves</t>
        </is>
      </c>
      <c r="J103" s="13" t="inlineStr">
        <is>
          <t>Not Tested</t>
        </is>
      </c>
      <c r="K103" s="13" t="inlineStr">
        <is>
          <t>Negative</t>
        </is>
      </c>
    </row>
    <row r="104" ht="36" customHeight="1">
      <c r="A104" s="12" t="inlineStr">
        <is>
          <t>PoS Transactions V6.6.0 (EMI-5914)</t>
        </is>
      </c>
      <c r="B104" s="12" t="inlineStr">
        <is>
          <t>Wallet Payment at Terminal</t>
        </is>
      </c>
      <c r="C104" s="12" t="inlineStr">
        <is>
          <t>Compliance</t>
        </is>
      </c>
      <c r="D104" s="13" t="inlineStr">
        <is>
          <t>TC-WalletPay-17</t>
        </is>
      </c>
      <c r="E104" s="12" t="inlineStr">
        <is>
          <t>Merchant Wallet Not Active</t>
        </is>
      </c>
      <c r="F104" s="13" t="inlineStr">
        <is>
          <t>Medium</t>
        </is>
      </c>
      <c r="G104" s="12" t="inlineStr">
        <is>
          <t>Merchant wallet suspended, frozen or closed</t>
        </is>
      </c>
      <c r="H104" s="12" t="inlineStr">
        <is>
          <t>1. Submit an authorization for that merchant's terminal</t>
        </is>
      </c>
      <c r="I104" s="12" t="inlineStr">
        <is>
          <t>Synchronous decline with a neutral reason code; customer never prompted; nothing moves</t>
        </is>
      </c>
      <c r="J104" s="13" t="inlineStr">
        <is>
          <t>Not Tested</t>
        </is>
      </c>
      <c r="K104" s="13" t="inlineStr">
        <is>
          <t>Compliance</t>
        </is>
      </c>
    </row>
    <row r="105" ht="36" customHeight="1">
      <c r="A105" s="12" t="inlineStr">
        <is>
          <t>PoS Transactions V6.6.0 (EMI-5914)</t>
        </is>
      </c>
      <c r="B105" s="12" t="inlineStr">
        <is>
          <t>Wallet Payment at Terminal</t>
        </is>
      </c>
      <c r="C105" s="12" t="inlineStr">
        <is>
          <t>Compliance</t>
        </is>
      </c>
      <c r="D105" s="13" t="inlineStr">
        <is>
          <t>TC-WalletPay-18</t>
        </is>
      </c>
      <c r="E105" s="12" t="inlineStr">
        <is>
          <t>Merchant Fraud Score Breach</t>
        </is>
      </c>
      <c r="F105" s="13" t="inlineStr">
        <is>
          <t>Medium</t>
        </is>
      </c>
      <c r="G105" s="12" t="inlineStr">
        <is>
          <t>Merchant fraud score above the configured decline threshold</t>
        </is>
      </c>
      <c r="H105" s="12" t="inlineStr">
        <is>
          <t>1. Submit an authorization for that merchant's terminal</t>
        </is>
      </c>
      <c r="I105" s="12" t="inlineStr">
        <is>
          <t>Synchronous decline with a neutral reason code; customer never prompted; nothing moves</t>
        </is>
      </c>
      <c r="J105" s="13" t="inlineStr">
        <is>
          <t>Not Tested</t>
        </is>
      </c>
      <c r="K105" s="13" t="inlineStr">
        <is>
          <t>Compliance</t>
        </is>
      </c>
    </row>
    <row r="106" ht="36" customHeight="1">
      <c r="A106" s="12" t="inlineStr">
        <is>
          <t>PoS Transactions V6.6.0 (EMI-5914)</t>
        </is>
      </c>
      <c r="B106" s="12" t="inlineStr">
        <is>
          <t>Wallet Payment at Terminal</t>
        </is>
      </c>
      <c r="C106" s="12" t="inlineStr">
        <is>
          <t>Compliance</t>
        </is>
      </c>
      <c r="D106" s="13" t="inlineStr">
        <is>
          <t>TC-WalletPay-19</t>
        </is>
      </c>
      <c r="E106" s="12" t="inlineStr">
        <is>
          <t>Customer Screening Hit</t>
        </is>
      </c>
      <c r="F106" s="13" t="inlineStr">
        <is>
          <t>High</t>
        </is>
      </c>
      <c r="G106" s="12" t="inlineStr">
        <is>
          <t>Customer carries an unresolved screening hit; wallet funded</t>
        </is>
      </c>
      <c r="H106" s="12" t="inlineStr">
        <is>
          <t>1. Customer scans and the authorization is submitted</t>
        </is>
      </c>
      <c r="I106" s="12" t="inlineStr">
        <is>
          <t>Synchronous decline with a neutral reason code; nothing moves; no compliance detail is exposed to either party</t>
        </is>
      </c>
      <c r="J106" s="13" t="inlineStr">
        <is>
          <t>Not Tested</t>
        </is>
      </c>
      <c r="K106" s="13" t="inlineStr">
        <is>
          <t>Compliance</t>
        </is>
      </c>
    </row>
    <row r="107" ht="36" customHeight="1">
      <c r="A107" s="12" t="inlineStr">
        <is>
          <t>PoS Transactions V6.6.0 (EMI-5914)</t>
        </is>
      </c>
      <c r="B107" s="12" t="inlineStr">
        <is>
          <t>Wallet Payment at Terminal</t>
        </is>
      </c>
      <c r="C107" s="12" t="inlineStr">
        <is>
          <t>Compliance</t>
        </is>
      </c>
      <c r="D107" s="13" t="inlineStr">
        <is>
          <t>TC-WalletPay-20</t>
        </is>
      </c>
      <c r="E107" s="12" t="inlineStr">
        <is>
          <t>Customer Wallet Not Active</t>
        </is>
      </c>
      <c r="F107" s="13" t="inlineStr">
        <is>
          <t>Medium</t>
        </is>
      </c>
      <c r="G107" s="12" t="inlineStr">
        <is>
          <t>Customer wallet suspended or frozen</t>
        </is>
      </c>
      <c r="H107" s="12" t="inlineStr">
        <is>
          <t>1. Customer scans and the authorization is submitted</t>
        </is>
      </c>
      <c r="I107" s="12" t="inlineStr">
        <is>
          <t>Synchronous decline with a neutral reason code; nothing moves</t>
        </is>
      </c>
      <c r="J107" s="13" t="inlineStr">
        <is>
          <t>Not Tested</t>
        </is>
      </c>
      <c r="K107" s="13" t="inlineStr">
        <is>
          <t>Compliance</t>
        </is>
      </c>
    </row>
    <row r="108" ht="36" customHeight="1">
      <c r="A108" s="12" t="inlineStr">
        <is>
          <t>PoS Transactions V6.6.0 (EMI-5914)</t>
        </is>
      </c>
      <c r="B108" s="12" t="inlineStr">
        <is>
          <t>Wallet Payment at Terminal</t>
        </is>
      </c>
      <c r="C108" s="12" t="inlineStr">
        <is>
          <t>Limits</t>
        </is>
      </c>
      <c r="D108" s="13" t="inlineStr">
        <is>
          <t>TC-WalletPay-21</t>
        </is>
      </c>
      <c r="E108" s="12" t="inlineStr">
        <is>
          <t>Merchant SAMA Balance Cap Would Be Breached</t>
        </is>
      </c>
      <c r="F108" s="13" t="inlineStr">
        <is>
          <t>High</t>
        </is>
      </c>
      <c r="G108" s="12" t="inlineStr">
        <is>
          <t>Merchant wallet close enough to its SAMA balance cap that this credit would breach it</t>
        </is>
      </c>
      <c r="H108" s="12" t="inlineStr">
        <is>
          <t>1. Submit an authorization that would take the merchant above the cap
2. Query for any held or suspense position afterwards</t>
        </is>
      </c>
      <c r="I108" s="12" t="inlineStr">
        <is>
          <t>Synchronous decline before the prompt; no held funds, no suspense entry and no compliance hold exist anywhere on this rail</t>
        </is>
      </c>
      <c r="J108" s="13" t="inlineStr">
        <is>
          <t>Not Tested</t>
        </is>
      </c>
      <c r="K108" s="13" t="inlineStr">
        <is>
          <t>Edge / Boundary</t>
        </is>
      </c>
    </row>
    <row r="109" ht="36" customHeight="1">
      <c r="A109" s="12" t="inlineStr">
        <is>
          <t>PoS Transactions V6.6.0 (EMI-5914)</t>
        </is>
      </c>
      <c r="B109" s="12" t="inlineStr">
        <is>
          <t>Wallet Payment at Terminal</t>
        </is>
      </c>
      <c r="C109" s="12" t="inlineStr">
        <is>
          <t>Limits</t>
        </is>
      </c>
      <c r="D109" s="13" t="inlineStr">
        <is>
          <t>TC-WalletPay-22</t>
        </is>
      </c>
      <c r="E109" s="12" t="inlineStr">
        <is>
          <t>Merchant Turnover Limit Would Be Breached</t>
        </is>
      </c>
      <c r="F109" s="13" t="inlineStr">
        <is>
          <t>High</t>
        </is>
      </c>
      <c r="G109" s="12" t="inlineStr">
        <is>
          <t>Merchant near its configured turnover limit for the period</t>
        </is>
      </c>
      <c r="H109" s="12" t="inlineStr">
        <is>
          <t>1. Submit an authorization that would breach the turnover limit</t>
        </is>
      </c>
      <c r="I109" s="12" t="inlineStr">
        <is>
          <t>Synchronous decline before the prompt with a neutral reason code; nothing moves</t>
        </is>
      </c>
      <c r="J109" s="13" t="inlineStr">
        <is>
          <t>Not Tested</t>
        </is>
      </c>
      <c r="K109" s="13" t="inlineStr">
        <is>
          <t>Edge / Boundary</t>
        </is>
      </c>
    </row>
    <row r="110" ht="36" customHeight="1">
      <c r="A110" s="12" t="inlineStr">
        <is>
          <t>PoS Transactions V6.6.0 (EMI-5914)</t>
        </is>
      </c>
      <c r="B110" s="12" t="inlineStr">
        <is>
          <t>Wallet Payment at Terminal</t>
        </is>
      </c>
      <c r="C110" s="12" t="inlineStr">
        <is>
          <t>Limits</t>
        </is>
      </c>
      <c r="D110" s="13" t="inlineStr">
        <is>
          <t>TC-WalletPay-23</t>
        </is>
      </c>
      <c r="E110" s="12" t="inlineStr">
        <is>
          <t>Customer at Their Own SAMA Limit</t>
        </is>
      </c>
      <c r="F110" s="13" t="inlineStr">
        <is>
          <t>High</t>
        </is>
      </c>
      <c r="G110" s="12" t="inlineStr">
        <is>
          <t>Customer at or would breach their SAMA limit with this payment</t>
        </is>
      </c>
      <c r="H110" s="12" t="inlineStr">
        <is>
          <t>1. Customer scans and the authorization is submitted</t>
        </is>
      </c>
      <c r="I110" s="12" t="inlineStr">
        <is>
          <t>Synchronous decline with a neutral reason code; the customer is not prompted; nothing moves</t>
        </is>
      </c>
      <c r="J110" s="13" t="inlineStr">
        <is>
          <t>Not Tested</t>
        </is>
      </c>
      <c r="K110" s="13" t="inlineStr">
        <is>
          <t>Edge / Boundary</t>
        </is>
      </c>
    </row>
    <row r="111" ht="36" customHeight="1">
      <c r="A111" s="12" t="inlineStr">
        <is>
          <t>PoS Transactions V6.6.0 (EMI-5914)</t>
        </is>
      </c>
      <c r="B111" s="12" t="inlineStr">
        <is>
          <t>Wallet Payment at Terminal</t>
        </is>
      </c>
      <c r="C111" s="12" t="inlineStr">
        <is>
          <t>Limits</t>
        </is>
      </c>
      <c r="D111" s="13" t="inlineStr">
        <is>
          <t>TC-WalletPay-24</t>
        </is>
      </c>
      <c r="E111" s="12" t="inlineStr">
        <is>
          <t>Limits Are Checked Pre-Prompt, Not Deferred to Gate 3</t>
        </is>
      </c>
      <c r="F111" s="13" t="inlineStr">
        <is>
          <t>High</t>
        </is>
      </c>
      <c r="G111" s="12" t="inlineStr">
        <is>
          <t>Instrumentation available on the check sequence</t>
        </is>
      </c>
      <c r="H111" s="12" t="inlineStr">
        <is>
          <t>1. Submit an authorization that breaches a limit
2. Trace when the limit evaluation occurs relative to the customer prompt
3. Confirm no Gate 3 evaluation is scheduled for this rail</t>
        </is>
      </c>
      <c r="I111" s="12" t="inlineStr">
        <is>
          <t>Limits are evaluated synchronously before the prompt, against the same position the payment would affect; the epic's Gate 3 deferral is deliberately not applied to this rail</t>
        </is>
      </c>
      <c r="J111" s="13" t="inlineStr">
        <is>
          <t>Not Tested</t>
        </is>
      </c>
      <c r="K111" s="13" t="inlineStr">
        <is>
          <t>Integration</t>
        </is>
      </c>
    </row>
    <row r="112" ht="36" customHeight="1">
      <c r="A112" s="12" t="inlineStr">
        <is>
          <t>PoS Transactions V6.6.0 (EMI-5914)</t>
        </is>
      </c>
      <c r="B112" s="12" t="inlineStr">
        <is>
          <t>Wallet Payment at Terminal</t>
        </is>
      </c>
      <c r="C112" s="12" t="inlineStr">
        <is>
          <t>Negative</t>
        </is>
      </c>
      <c r="D112" s="13" t="inlineStr">
        <is>
          <t>TC-WalletPay-25</t>
        </is>
      </c>
      <c r="E112" s="12" t="inlineStr">
        <is>
          <t>Full Check Set Completes Before the Customer Is Prompted</t>
        </is>
      </c>
      <c r="F112" s="13" t="inlineStr">
        <is>
          <t>High</t>
        </is>
      </c>
      <c r="G112" s="12" t="inlineStr">
        <is>
          <t>Instrumentation available on the check sequence</t>
        </is>
      </c>
      <c r="H112" s="12" t="inlineStr">
        <is>
          <t>1. Submit an authorization that passes all checks
2. Trace the order of merchant checks, customer checks and the prompt</t>
        </is>
      </c>
      <c r="I112" s="12" t="inlineStr">
        <is>
          <t>Every merchant check (status, AML flag, sanctions/UBO, KYC/KYB, fraud score, balance cap, turnover) and every customer check (status, SAMA limits, fraud score, screening, sufficient balance) completes before the prompt is raised</t>
        </is>
      </c>
      <c r="J112" s="13" t="inlineStr">
        <is>
          <t>Not Tested</t>
        </is>
      </c>
      <c r="K112" s="13" t="inlineStr">
        <is>
          <t>Integration</t>
        </is>
      </c>
    </row>
    <row r="113" ht="36" customHeight="1">
      <c r="A113" s="12" t="inlineStr">
        <is>
          <t>PoS Transactions V6.6.0 (EMI-5914)</t>
        </is>
      </c>
      <c r="B113" s="12" t="inlineStr">
        <is>
          <t>Wallet Payment at Terminal</t>
        </is>
      </c>
      <c r="C113" s="12" t="inlineStr">
        <is>
          <t>Security</t>
        </is>
      </c>
      <c r="D113" s="13" t="inlineStr">
        <is>
          <t>TC-WalletPay-26</t>
        </is>
      </c>
      <c r="E113" s="12" t="inlineStr">
        <is>
          <t>Decline Reason Codes Are Neutral and Identical Across Causes</t>
        </is>
      </c>
      <c r="F113" s="13" t="inlineStr">
        <is>
          <t>High</t>
        </is>
      </c>
      <c r="G113" s="12" t="inlineStr">
        <is>
          <t>Ability to trigger merchant-compliance, merchant-limit and customer-limit declines</t>
        </is>
      </c>
      <c r="H113" s="12" t="inlineStr">
        <is>
          <t>1. Trigger a merchant AML decline, a merchant cap decline and a customer limit decline
2. Compare the reason code and wording on the terminal, the customer app and the merchant app</t>
        </is>
      </c>
      <c r="I113" s="12" t="inlineStr">
        <is>
          <t>All three produce identical neutral wording and reason codes on every surface; neither party can distinguish the cause; no compliance detail leaks</t>
        </is>
      </c>
      <c r="J113" s="13" t="inlineStr">
        <is>
          <t>Not Tested</t>
        </is>
      </c>
      <c r="K113" s="13" t="inlineStr">
        <is>
          <t>Security</t>
        </is>
      </c>
    </row>
    <row r="114" ht="36" customHeight="1">
      <c r="A114" s="12" t="inlineStr">
        <is>
          <t>PoS Transactions V6.6.0 (EMI-5914)</t>
        </is>
      </c>
      <c r="B114" s="12" t="inlineStr">
        <is>
          <t>Wallet Payment at Terminal</t>
        </is>
      </c>
      <c r="C114" s="12" t="inlineStr">
        <is>
          <t>Security</t>
        </is>
      </c>
      <c r="D114" s="13" t="inlineStr">
        <is>
          <t>TC-WalletPay-27</t>
        </is>
      </c>
      <c r="E114" s="12" t="inlineStr">
        <is>
          <t>Customer's Own Insufficient Balance Is the Only Non-Neutral Decline</t>
        </is>
      </c>
      <c r="F114" s="13" t="inlineStr">
        <is>
          <t>Medium</t>
        </is>
      </c>
      <c r="G114" s="12" t="inlineStr">
        <is>
          <t>Customer balance below the amount</t>
        </is>
      </c>
      <c r="H114" s="12" t="inlineStr">
        <is>
          <t>1. Trigger an insufficient-balance decline
2. Compare its customer-facing copy with a compliance decline</t>
        </is>
      </c>
      <c r="I114" s="12" t="inlineStr">
        <is>
          <t>The customer is told their balance is insufficient so they can act on it; the merchant-facing surface stays neutral; no other decline cause is disclosed to anyone</t>
        </is>
      </c>
      <c r="J114" s="13" t="inlineStr">
        <is>
          <t>Not Tested</t>
        </is>
      </c>
      <c r="K114" s="13" t="inlineStr">
        <is>
          <t>Security</t>
        </is>
      </c>
    </row>
    <row r="115" ht="36" customHeight="1">
      <c r="A115" s="12" t="inlineStr">
        <is>
          <t>PoS Transactions V6.6.0 (EMI-5914)</t>
        </is>
      </c>
      <c r="B115" s="12" t="inlineStr">
        <is>
          <t>Wallet Payment at Terminal</t>
        </is>
      </c>
      <c r="C115" s="12" t="inlineStr">
        <is>
          <t>Reversal</t>
        </is>
      </c>
      <c r="D115" s="13" t="inlineStr">
        <is>
          <t>TC-WalletPay-28</t>
        </is>
      </c>
      <c r="E115" s="12" t="inlineStr">
        <is>
          <t>No Confirmation Callback Within 15 Minutes - Auto Reversal</t>
        </is>
      </c>
      <c r="F115" s="13" t="inlineStr">
        <is>
          <t>High</t>
        </is>
      </c>
      <c r="G115" s="12" t="inlineStr">
        <is>
          <t>A wallet payment approved; InterSoft confirmation callback suppressed</t>
        </is>
      </c>
      <c r="H115" s="12" t="inlineStr">
        <is>
          <t>1. Approve a payment and record both starting balances
2. Withhold the confirmation callback
3. Wait past the 15-minute window</t>
        </is>
      </c>
      <c r="I115" s="12" t="inlineStr">
        <is>
          <t>Payment is auto-reversed; customer and merchant balances return exactly to their starting positions; the reversal is recorded and observable</t>
        </is>
      </c>
      <c r="J115" s="13" t="inlineStr">
        <is>
          <t>Not Tested</t>
        </is>
      </c>
      <c r="K115" s="13" t="inlineStr">
        <is>
          <t>Edge / Boundary</t>
        </is>
      </c>
    </row>
    <row r="116" ht="36" customHeight="1">
      <c r="A116" s="12" t="inlineStr">
        <is>
          <t>PoS Transactions V6.6.0 (EMI-5914)</t>
        </is>
      </c>
      <c r="B116" s="12" t="inlineStr">
        <is>
          <t>Wallet Payment at Terminal</t>
        </is>
      </c>
      <c r="C116" s="12" t="inlineStr">
        <is>
          <t>Reversal</t>
        </is>
      </c>
      <c r="D116" s="13" t="inlineStr">
        <is>
          <t>TC-WalletPay-29</t>
        </is>
      </c>
      <c r="E116" s="12" t="inlineStr">
        <is>
          <t>Confirmation Amount Mismatch - Auto Reversal and Alarm</t>
        </is>
      </c>
      <c r="F116" s="13" t="inlineStr">
        <is>
          <t>High</t>
        </is>
      </c>
      <c r="G116" s="12" t="inlineStr">
        <is>
          <t>A wallet payment approved for a known amount</t>
        </is>
      </c>
      <c r="H116" s="12" t="inlineStr">
        <is>
          <t>1. Send a confirmation callback with a different amount
2. Inspect the stored transaction and the alarm channel</t>
        </is>
      </c>
      <c r="I116" s="12" t="inlineStr">
        <is>
          <t>Payment is auto-reversed and an alarm is raised; our record is never adjusted to match the terminal's amount; both positions return to start</t>
        </is>
      </c>
      <c r="J116" s="13" t="inlineStr">
        <is>
          <t>Not Tested</t>
        </is>
      </c>
      <c r="K116" s="13" t="inlineStr">
        <is>
          <t>Negative</t>
        </is>
      </c>
    </row>
    <row r="117" ht="36" customHeight="1">
      <c r="A117" s="12" t="inlineStr">
        <is>
          <t>PoS Transactions V6.6.0 (EMI-5914)</t>
        </is>
      </c>
      <c r="B117" s="12" t="inlineStr">
        <is>
          <t>Wallet Payment at Terminal</t>
        </is>
      </c>
      <c r="C117" s="12" t="inlineStr">
        <is>
          <t>Reversal</t>
        </is>
      </c>
      <c r="D117" s="13" t="inlineStr">
        <is>
          <t>TC-WalletPay-30</t>
        </is>
      </c>
      <c r="E117" s="12" t="inlineStr">
        <is>
          <t>Confirmation Reference Mismatch - Auto Reversal and Alarm</t>
        </is>
      </c>
      <c r="F117" s="13" t="inlineStr">
        <is>
          <t>High</t>
        </is>
      </c>
      <c r="G117" s="12" t="inlineStr">
        <is>
          <t>A wallet payment approved with a known reference</t>
        </is>
      </c>
      <c r="H117" s="12" t="inlineStr">
        <is>
          <t>1. Send a confirmation callback carrying a reference that does not match the authorization</t>
        </is>
      </c>
      <c r="I117" s="12" t="inlineStr">
        <is>
          <t>Confirmation does not match on reference; payment is auto-reversed and alarmed; no record is silently re-pointed</t>
        </is>
      </c>
      <c r="J117" s="13" t="inlineStr">
        <is>
          <t>Not Tested</t>
        </is>
      </c>
      <c r="K117" s="13" t="inlineStr">
        <is>
          <t>Negative</t>
        </is>
      </c>
    </row>
    <row r="118" ht="36" customHeight="1">
      <c r="A118" s="12" t="inlineStr">
        <is>
          <t>PoS Transactions V6.6.0 (EMI-5914)</t>
        </is>
      </c>
      <c r="B118" s="12" t="inlineStr">
        <is>
          <t>Wallet Payment at Terminal</t>
        </is>
      </c>
      <c r="C118" s="12" t="inlineStr">
        <is>
          <t>Reversal</t>
        </is>
      </c>
      <c r="D118" s="13" t="inlineStr">
        <is>
          <t>TC-WalletPay-31</t>
        </is>
      </c>
      <c r="E118" s="12" t="inlineStr">
        <is>
          <t>Late Confirmation After a Reversal Is Never Re-Applied</t>
        </is>
      </c>
      <c r="F118" s="13" t="inlineStr">
        <is>
          <t>High</t>
        </is>
      </c>
      <c r="G118" s="12" t="inlineStr">
        <is>
          <t>A payment already auto-reversed after the 15-minute window</t>
        </is>
      </c>
      <c r="H118" s="12" t="inlineStr">
        <is>
          <t>1. Send the confirmation callback after the reversal has run
2. Inspect balances and the alarm channel</t>
        </is>
      </c>
      <c r="I118" s="12" t="inlineStr">
        <is>
          <t>The late confirmation is recorded and alarmed; it is never re-applied; balances stay at their post-reversal position</t>
        </is>
      </c>
      <c r="J118" s="13" t="inlineStr">
        <is>
          <t>Not Tested</t>
        </is>
      </c>
      <c r="K118" s="13" t="inlineStr">
        <is>
          <t>Negative</t>
        </is>
      </c>
    </row>
    <row r="119" ht="36" customHeight="1">
      <c r="A119" s="12" t="inlineStr">
        <is>
          <t>PoS Transactions V6.6.0 (EMI-5914)</t>
        </is>
      </c>
      <c r="B119" s="12" t="inlineStr">
        <is>
          <t>Wallet Payment at Terminal</t>
        </is>
      </c>
      <c r="C119" s="12" t="inlineStr">
        <is>
          <t>Reversal</t>
        </is>
      </c>
      <c r="D119" s="13" t="inlineStr">
        <is>
          <t>TC-WalletPay-32</t>
        </is>
      </c>
      <c r="E119" s="12" t="inlineStr">
        <is>
          <t>Reversal Job Is Idempotent and Re-Runnable</t>
        </is>
      </c>
      <c r="F119" s="13" t="inlineStr">
        <is>
          <t>High</t>
        </is>
      </c>
      <c r="G119" s="12" t="inlineStr">
        <is>
          <t>A payment eligible for reversal</t>
        </is>
      </c>
      <c r="H119" s="12" t="inlineStr">
        <is>
          <t>1. Run the reversal job
2. Run it again over the same window</t>
        </is>
      </c>
      <c r="I119" s="12" t="inlineStr">
        <is>
          <t>The second run makes no further change; exactly one reversal exists; balances are unchanged by the re-run</t>
        </is>
      </c>
      <c r="J119" s="13" t="inlineStr">
        <is>
          <t>Not Tested</t>
        </is>
      </c>
      <c r="K119" s="13" t="inlineStr">
        <is>
          <t>Integration</t>
        </is>
      </c>
    </row>
    <row r="120" ht="36" customHeight="1">
      <c r="A120" s="12" t="inlineStr">
        <is>
          <t>PoS Transactions V6.6.0 (EMI-5914)</t>
        </is>
      </c>
      <c r="B120" s="12" t="inlineStr">
        <is>
          <t>Wallet Payment at Terminal</t>
        </is>
      </c>
      <c r="C120" s="12" t="inlineStr">
        <is>
          <t>Idempotency</t>
        </is>
      </c>
      <c r="D120" s="13" t="inlineStr">
        <is>
          <t>TC-WalletPay-33</t>
        </is>
      </c>
      <c r="E120" s="12" t="inlineStr">
        <is>
          <t>Duplicate Authorization Request for the Same QR</t>
        </is>
      </c>
      <c r="F120" s="13" t="inlineStr">
        <is>
          <t>High</t>
        </is>
      </c>
      <c r="G120" s="12" t="inlineStr">
        <is>
          <t>A dynamic QR displayed on the terminal</t>
        </is>
      </c>
      <c r="H120" s="12" t="inlineStr">
        <is>
          <t>1. Submit the same authorization request twice for the same QR reference
2. Inspect payments and receipts</t>
        </is>
      </c>
      <c r="I120" s="12" t="inlineStr">
        <is>
          <t>Exactly one payment and one receipt exist; the duplicate is absorbed idempotently; the customer is charged once</t>
        </is>
      </c>
      <c r="J120" s="13" t="inlineStr">
        <is>
          <t>Not Tested</t>
        </is>
      </c>
      <c r="K120" s="13" t="inlineStr">
        <is>
          <t>Integration</t>
        </is>
      </c>
    </row>
    <row r="121" ht="36" customHeight="1">
      <c r="A121" s="12" t="inlineStr">
        <is>
          <t>PoS Transactions V6.6.0 (EMI-5914)</t>
        </is>
      </c>
      <c r="B121" s="12" t="inlineStr">
        <is>
          <t>Wallet Payment at Terminal</t>
        </is>
      </c>
      <c r="C121" s="12" t="inlineStr">
        <is>
          <t>Isolation</t>
        </is>
      </c>
      <c r="D121" s="13" t="inlineStr">
        <is>
          <t>TC-WalletPay-34</t>
        </is>
      </c>
      <c r="E121" s="12" t="inlineStr">
        <is>
          <t>No Pending, Suspense or Compliance Hold Can Exist on This Rail</t>
        </is>
      </c>
      <c r="F121" s="13" t="inlineStr">
        <is>
          <t>High</t>
        </is>
      </c>
      <c r="G121" s="12" t="inlineStr">
        <is>
          <t>Ability to exercise every failure and success path on this rail</t>
        </is>
      </c>
      <c r="H121" s="12" t="inlineStr">
        <is>
          <t>1. Run the happy path, each compliance decline, each limit decline, the timeout and the reversal
2. After each, query for any pending, suspense or compliance-hold position for either party</t>
        </is>
      </c>
      <c r="I121" s="12" t="inlineStr">
        <is>
          <t>No pending, suspense or held position is ever created on this rail; every failure is a decline before movement. Any such position found is a defect</t>
        </is>
      </c>
      <c r="J121" s="13" t="inlineStr">
        <is>
          <t>Not Tested</t>
        </is>
      </c>
      <c r="K121" s="13" t="inlineStr">
        <is>
          <t>Negative</t>
        </is>
      </c>
    </row>
    <row r="122" ht="36" customHeight="1">
      <c r="A122" s="12" t="inlineStr">
        <is>
          <t>PoS Transactions V6.6.0 (EMI-5914)</t>
        </is>
      </c>
      <c r="B122" s="12" t="inlineStr">
        <is>
          <t>Wallet Payment at Terminal</t>
        </is>
      </c>
      <c r="C122" s="12" t="inlineStr">
        <is>
          <t>Isolation</t>
        </is>
      </c>
      <c r="D122" s="13" t="inlineStr">
        <is>
          <t>TC-WalletPay-35</t>
        </is>
      </c>
      <c r="E122" s="12" t="inlineStr">
        <is>
          <t>Rail Never Enters the Card Settlement Chain</t>
        </is>
      </c>
      <c r="F122" s="13" t="inlineStr">
        <is>
          <t>High</t>
        </is>
      </c>
      <c r="G122" s="12" t="inlineStr">
        <is>
          <t>A completed wallet payment at a terminal</t>
        </is>
      </c>
      <c r="H122" s="12" t="inlineStr">
        <is>
          <t>1. Search the settlement batches (EMI-5989), PTS settlement report rows (EMI-5991), reconciliation candidate sets (EMI-5920) and ACH/VIBAN items (EMI-5922) for this payment
2. Check whether Gate 3 was evaluated</t>
        </is>
      </c>
      <c r="I122" s="12" t="inlineStr">
        <is>
          <t>The payment appears in none of them; no batch, no PTS row, no ACH item and no Gate 3 evaluation exists for this rail</t>
        </is>
      </c>
      <c r="J122" s="13" t="inlineStr">
        <is>
          <t>Not Tested</t>
        </is>
      </c>
      <c r="K122" s="13" t="inlineStr">
        <is>
          <t>Integration</t>
        </is>
      </c>
    </row>
    <row r="123" ht="36" customHeight="1">
      <c r="A123" s="12" t="inlineStr">
        <is>
          <t>PoS Transactions V6.6.0 (EMI-5914)</t>
        </is>
      </c>
      <c r="B123" s="12" t="inlineStr">
        <is>
          <t>Wallet Payment at Terminal</t>
        </is>
      </c>
      <c r="C123" s="12" t="inlineStr">
        <is>
          <t>Isolation</t>
        </is>
      </c>
      <c r="D123" s="13" t="inlineStr">
        <is>
          <t>TC-WalletPay-36</t>
        </is>
      </c>
      <c r="E123" s="12" t="inlineStr">
        <is>
          <t>No Commission Rate Is Held Inside This Story</t>
        </is>
      </c>
      <c r="F123" s="13" t="inlineStr">
        <is>
          <t>Medium</t>
        </is>
      </c>
      <c r="G123" s="12" t="inlineStr">
        <is>
          <t>Access to this story's configuration and code paths</t>
        </is>
      </c>
      <c r="H123" s="12" t="inlineStr">
        <is>
          <t>1. Search this rail's configuration and pricing path for any hardcoded or locally stored rate</t>
        </is>
      </c>
      <c r="I123" s="12" t="inlineStr">
        <is>
          <t>No rate exists in this story; pricing comes only from the commission engine on TXN type + Platform</t>
        </is>
      </c>
      <c r="J123" s="13" t="inlineStr">
        <is>
          <t>Not Tested</t>
        </is>
      </c>
      <c r="K123" s="13" t="inlineStr">
        <is>
          <t>Integration</t>
        </is>
      </c>
    </row>
    <row r="124" ht="36" customHeight="1">
      <c r="A124" s="12" t="inlineStr">
        <is>
          <t>PoS Transactions V6.6.0 (EMI-5914)</t>
        </is>
      </c>
      <c r="B124" s="12" t="inlineStr">
        <is>
          <t>Wallet Payment at Terminal</t>
        </is>
      </c>
      <c r="C124" s="12" t="inlineStr">
        <is>
          <t>Non-Functional</t>
        </is>
      </c>
      <c r="D124" s="13" t="inlineStr">
        <is>
          <t>TC-WalletPay-37</t>
        </is>
      </c>
      <c r="E124" s="12" t="inlineStr">
        <is>
          <t>Authorization p99 Under 2 Seconds Excluding Think-Time</t>
        </is>
      </c>
      <c r="F124" s="13" t="inlineStr">
        <is>
          <t>High</t>
        </is>
      </c>
      <c r="G124" s="12" t="inlineStr">
        <is>
          <t>Load profile representative of peak terminal traffic</t>
        </is>
      </c>
      <c r="H124" s="12" t="inlineStr">
        <is>
          <t>1. Drive sustained authorization load including the full merchant and customer check sets
2. Measure server-side authorization latency excluding customer think-time</t>
        </is>
      </c>
      <c r="I124" s="12" t="inlineStr">
        <is>
          <t>p99 authorization latency stays under 2 s with the full check set running</t>
        </is>
      </c>
      <c r="J124" s="13" t="inlineStr">
        <is>
          <t>Not Tested</t>
        </is>
      </c>
      <c r="K124" s="13" t="inlineStr">
        <is>
          <t>Performance / NFR</t>
        </is>
      </c>
    </row>
    <row r="125" ht="36" customHeight="1">
      <c r="A125" s="12" t="inlineStr">
        <is>
          <t>PoS Transactions V6.6.0 (EMI-5914)</t>
        </is>
      </c>
      <c r="B125" s="12" t="inlineStr">
        <is>
          <t>Wallet Payment at Terminal</t>
        </is>
      </c>
      <c r="C125" s="12" t="inlineStr">
        <is>
          <t>Non-Functional</t>
        </is>
      </c>
      <c r="D125" s="13" t="inlineStr">
        <is>
          <t>TC-WalletPay-38</t>
        </is>
      </c>
      <c r="E125" s="12" t="inlineStr">
        <is>
          <t>End-to-End Budget of 10 Seconds Including Think-Time</t>
        </is>
      </c>
      <c r="F125" s="13" t="inlineStr">
        <is>
          <t>High</t>
        </is>
      </c>
      <c r="G125" s="12" t="inlineStr">
        <is>
          <t>Terminal integration available end to end</t>
        </is>
      </c>
      <c r="H125" s="12" t="inlineStr">
        <is>
          <t>1. Run authorizations with realistic customer approval delays
2. Measure terminal request to terminal response</t>
        </is>
      </c>
      <c r="I125" s="12" t="inlineStr">
        <is>
          <t>End-to-end time stays inside the 10 s contract with InterSoft; slower cases decline rather than hang the terminal</t>
        </is>
      </c>
      <c r="J125" s="13" t="inlineStr">
        <is>
          <t>Not Tested</t>
        </is>
      </c>
      <c r="K125" s="13" t="inlineStr">
        <is>
          <t>Performance / NFR</t>
        </is>
      </c>
    </row>
    <row r="126" ht="36" customHeight="1">
      <c r="A126" s="12" t="inlineStr">
        <is>
          <t>PoS Transactions V6.6.0 (EMI-5914)</t>
        </is>
      </c>
      <c r="B126" s="12" t="inlineStr">
        <is>
          <t>Wallet Payment at Terminal</t>
        </is>
      </c>
      <c r="C126" s="12" t="inlineStr">
        <is>
          <t>Audit</t>
        </is>
      </c>
      <c r="D126" s="13" t="inlineStr">
        <is>
          <t>TC-WalletPay-39</t>
        </is>
      </c>
      <c r="E126" s="12" t="inlineStr">
        <is>
          <t>Every Authorization, Decline and Reversal Is Audit-Logged</t>
        </is>
      </c>
      <c r="F126" s="13" t="inlineStr">
        <is>
          <t>Medium</t>
        </is>
      </c>
      <c r="G126" s="12" t="inlineStr">
        <is>
          <t>Audit log accessible</t>
        </is>
      </c>
      <c r="H126" s="12" t="inlineStr">
        <is>
          <t>1. Run an approval, a decline and a reversal
2. Inspect the audit log for each</t>
        </is>
      </c>
      <c r="I126" s="12" t="inlineStr">
        <is>
          <t>Each carries actor, reference and outcome; the log is complete enough to reconstruct the decision without compliance detail leaking to either party</t>
        </is>
      </c>
      <c r="J126" s="13" t="inlineStr">
        <is>
          <t>Not Tested</t>
        </is>
      </c>
      <c r="K126" s="13" t="inlineStr">
        <is>
          <t>Security</t>
        </is>
      </c>
    </row>
    <row r="127" ht="36" customHeight="1">
      <c r="A127" s="12" t="inlineStr">
        <is>
          <t>PoS Transactions V6.6.0 (EMI-5914)</t>
        </is>
      </c>
      <c r="B127" s="12" t="inlineStr">
        <is>
          <t>Wallet Payment at Terminal</t>
        </is>
      </c>
      <c r="C127" s="12" t="inlineStr">
        <is>
          <t>UX</t>
        </is>
      </c>
      <c r="D127" s="13" t="inlineStr">
        <is>
          <t>TC-WalletPay-40</t>
        </is>
      </c>
      <c r="E127" s="12" t="inlineStr">
        <is>
          <t>Approval Screen Shows Merchant, Amount, Fee and a Visible Countdown</t>
        </is>
      </c>
      <c r="F127" s="13" t="inlineStr">
        <is>
          <t>Medium</t>
        </is>
      </c>
      <c r="G127" s="12" t="inlineStr">
        <is>
          <t>Customer prompted for approval</t>
        </is>
      </c>
      <c r="H127" s="12" t="inlineStr">
        <is>
          <t>1. Observe the approval screen from prompt to timeout</t>
        </is>
      </c>
      <c r="I127" s="12" t="inlineStr">
        <is>
          <t>Screen shows merchant name, amount and any fee, offers PIN or biometric, and displays a visible countdown against the configured approval window</t>
        </is>
      </c>
      <c r="J127" s="13" t="inlineStr">
        <is>
          <t>Not Tested</t>
        </is>
      </c>
      <c r="K127" s="13" t="inlineStr">
        <is>
          <t>Usability</t>
        </is>
      </c>
    </row>
    <row r="128" ht="36" customHeight="1">
      <c r="A128" s="12" t="inlineStr">
        <is>
          <t>PoS Transactions V6.6.0 (EMI-5914)</t>
        </is>
      </c>
      <c r="B128" s="12" t="inlineStr">
        <is>
          <t>Wallet Payment at Terminal</t>
        </is>
      </c>
      <c r="C128" s="12" t="inlineStr">
        <is>
          <t>Compliance</t>
        </is>
      </c>
      <c r="D128" s="13" t="inlineStr">
        <is>
          <t>TC-WalletPay-41</t>
        </is>
      </c>
      <c r="E128" s="12" t="inlineStr">
        <is>
          <t>Customer-Side Compliance Fail Exercised Independently of the Merchant Side</t>
        </is>
      </c>
      <c r="F128" s="13" t="inlineStr">
        <is>
          <t>High</t>
        </is>
      </c>
      <c r="G128" s="12" t="inlineStr">
        <is>
          <t>Merchant fully compliant; customer carries the compliance condition</t>
        </is>
      </c>
      <c r="H128" s="12" t="inlineStr">
        <is>
          <t>1. Run an authorization where only the customer-side check set fails
2. Compare the outcome and wording with an equivalent merchant-side failure</t>
        </is>
      </c>
      <c r="I128" s="12" t="inlineStr">
        <is>
          <t>Customer-side failure produces the same synchronous neutral decline before the prompt as a merchant-side failure; both check sets are exercised independently, as the acceptance criteria list them separately</t>
        </is>
      </c>
      <c r="J128" s="13" t="inlineStr">
        <is>
          <t>Not Tested</t>
        </is>
      </c>
      <c r="K128" s="13" t="inlineStr">
        <is>
          <t>Negative</t>
        </is>
      </c>
    </row>
    <row r="129" ht="36" customHeight="1">
      <c r="A129" s="12" t="inlineStr">
        <is>
          <t>PoS Transactions V6.6.0 (EMI-5914)</t>
        </is>
      </c>
      <c r="B129" s="12" t="inlineStr">
        <is>
          <t>Wallet Payment at Terminal</t>
        </is>
      </c>
      <c r="C129" s="12" t="inlineStr">
        <is>
          <t>Reversal</t>
        </is>
      </c>
      <c r="D129" s="13" t="inlineStr">
        <is>
          <t>TC-WalletPay-42</t>
        </is>
      </c>
      <c r="E129" s="12" t="inlineStr">
        <is>
          <t>Reversal Releases No Pending or Reserved Position, Because None Exists</t>
        </is>
      </c>
      <c r="F129" s="13" t="inlineStr">
        <is>
          <t>High</t>
        </is>
      </c>
      <c r="G129" s="12" t="inlineStr">
        <is>
          <t>A wallet payment reversed after the 15-minute window</t>
        </is>
      </c>
      <c r="H129" s="12" t="inlineStr">
        <is>
          <t>1. Reverse a payment
2. Inspect what the reversal actually released for each party
3. Query for any pending-credit or reserved position at any point in the payment's life</t>
        </is>
      </c>
      <c r="I129" s="12" t="inlineStr">
        <is>
          <t>The reversal restores both parties by unwinding a completed internal movement; no pending credit or reserved position is released because none is ever created on this rail. Any pending or reserve found is a defect (cross-check with TC-WalletPay-34)</t>
        </is>
      </c>
      <c r="J129" s="13" t="inlineStr">
        <is>
          <t>Not Tested</t>
        </is>
      </c>
      <c r="K129" s="13" t="inlineStr">
        <is>
          <t>Negative</t>
        </is>
      </c>
    </row>
    <row r="130" ht="36" customHeight="1">
      <c r="A130" s="12" t="inlineStr">
        <is>
          <t>PoS Transactions V6.6.0 (EMI-5914)</t>
        </is>
      </c>
      <c r="B130" s="12" t="inlineStr">
        <is>
          <t>PoS Refunds</t>
        </is>
      </c>
      <c r="C130" s="12" t="inlineStr">
        <is>
          <t>Functional</t>
        </is>
      </c>
      <c r="D130" s="13" t="inlineStr">
        <is>
          <t>TC-Refund-01</t>
        </is>
      </c>
      <c r="E130" s="12" t="inlineStr">
        <is>
          <t>Refund Captured Against a Known Settled Original</t>
        </is>
      </c>
      <c r="F130" s="13" t="inlineStr">
        <is>
          <t>High</t>
        </is>
      </c>
      <c r="G130" s="12" t="inlineStr">
        <is>
          <t>A PURCHASE for the same terminal has been captured and settled; refund endpoint reachable</t>
        </is>
      </c>
      <c r="H130" s="12" t="inlineStr">
        <is>
          <t>1. Submit a REFUND event referencing the settled original
2. Inspect the per-TID ledger, the original record and the merchant wallet balance</t>
        </is>
      </c>
      <c r="I130" s="12" t="inlineStr">
        <is>
          <t>Refund written to the terminal's per-TID ledger with full detail and its terminal-reported status; original flagged refunded; merchant wallet balance unchanged</t>
        </is>
      </c>
      <c r="J130" s="13" t="inlineStr">
        <is>
          <t>Not Tested</t>
        </is>
      </c>
      <c r="K130" s="13" t="inlineStr">
        <is>
          <t>Functional</t>
        </is>
      </c>
    </row>
    <row r="131" ht="36" customHeight="1">
      <c r="A131" s="12" t="inlineStr">
        <is>
          <t>PoS Transactions V6.6.0 (EMI-5914)</t>
        </is>
      </c>
      <c r="B131" s="12" t="inlineStr">
        <is>
          <t>PoS Refunds</t>
        </is>
      </c>
      <c r="C131" s="12" t="inlineStr">
        <is>
          <t>Functional</t>
        </is>
      </c>
      <c r="D131" s="13" t="inlineStr">
        <is>
          <t>TC-Refund-02</t>
        </is>
      </c>
      <c r="E131" s="12" t="inlineStr">
        <is>
          <t>Refund Arrives Through the EMI-5915 Entry Point Only</t>
        </is>
      </c>
      <c r="F131" s="13" t="inlineStr">
        <is>
          <t>High</t>
        </is>
      </c>
      <c r="G131" s="12" t="inlineStr">
        <is>
          <t>Refund capture available</t>
        </is>
      </c>
      <c r="H131" s="12" t="inlineStr">
        <is>
          <t>1. Trace the transport, authentication, hardening and idempotency handling of a REFUND event
2. Search for any refund-specific ingestion endpoint</t>
        </is>
      </c>
      <c r="I131" s="12" t="inlineStr">
        <is>
          <t>The refund uses EMI-5915's single entry point with event_type = REFUND; no separate ingestion path or second code path exists</t>
        </is>
      </c>
      <c r="J131" s="13" t="inlineStr">
        <is>
          <t>Not Tested</t>
        </is>
      </c>
      <c r="K131" s="13" t="inlineStr">
        <is>
          <t>Integration</t>
        </is>
      </c>
    </row>
    <row r="132" ht="36" customHeight="1">
      <c r="A132" s="12" t="inlineStr">
        <is>
          <t>PoS Transactions V6.6.0 (EMI-5914)</t>
        </is>
      </c>
      <c r="B132" s="12" t="inlineStr">
        <is>
          <t>PoS Refunds</t>
        </is>
      </c>
      <c r="C132" s="12" t="inlineStr">
        <is>
          <t>Functional</t>
        </is>
      </c>
      <c r="D132" s="13" t="inlineStr">
        <is>
          <t>TC-Refund-03</t>
        </is>
      </c>
      <c r="E132" s="12" t="inlineStr">
        <is>
          <t>No Wallet Entry, Pending, Fee or Balance Movement on Capture</t>
        </is>
      </c>
      <c r="F132" s="13" t="inlineStr">
        <is>
          <t>High</t>
        </is>
      </c>
      <c r="G132" s="12" t="inlineStr">
        <is>
          <t>Merchant wallet with a known balance</t>
        </is>
      </c>
      <c r="H132" s="12" t="inlineStr">
        <is>
          <t>1. Capture a refund for that merchant
2. Query wallet entries, pending positions, fee entries and the balance</t>
        </is>
      </c>
      <c r="I132" s="12" t="inlineStr">
        <is>
          <t>No wallet entry, no pending, no fee and no balance movement is created; the ledger entry is the only artefact</t>
        </is>
      </c>
      <c r="J132" s="13" t="inlineStr">
        <is>
          <t>Not Tested</t>
        </is>
      </c>
      <c r="K132" s="13" t="inlineStr">
        <is>
          <t>Functional</t>
        </is>
      </c>
    </row>
    <row r="133" ht="36" customHeight="1">
      <c r="A133" s="12" t="inlineStr">
        <is>
          <t>PoS Transactions V6.6.0 (EMI-5914)</t>
        </is>
      </c>
      <c r="B133" s="12" t="inlineStr">
        <is>
          <t>PoS Refunds</t>
        </is>
      </c>
      <c r="C133" s="12" t="inlineStr">
        <is>
          <t>Functional</t>
        </is>
      </c>
      <c r="D133" s="13" t="inlineStr">
        <is>
          <t>TC-Refund-04</t>
        </is>
      </c>
      <c r="E133" s="12" t="inlineStr">
        <is>
          <t>settlement_expected Is Derived False at Capture</t>
        </is>
      </c>
      <c r="F133" s="13" t="inlineStr">
        <is>
          <t>High</t>
        </is>
      </c>
      <c r="G133" s="12" t="inlineStr">
        <is>
          <t>Refund capture available</t>
        </is>
      </c>
      <c r="H133" s="12" t="inlineStr">
        <is>
          <t>1. Capture a refund
2. Read settlement_expected on the stored record</t>
        </is>
      </c>
      <c r="I133" s="12" t="inlineStr">
        <is>
          <t>settlement_expected is derived as false at capture time, per EMI-5915 section H</t>
        </is>
      </c>
      <c r="J133" s="13" t="inlineStr">
        <is>
          <t>Not Tested</t>
        </is>
      </c>
      <c r="K133" s="13" t="inlineStr">
        <is>
          <t>Functional</t>
        </is>
      </c>
    </row>
    <row r="134" ht="36" customHeight="1">
      <c r="A134" s="12" t="inlineStr">
        <is>
          <t>PoS Transactions V6.6.0 (EMI-5914)</t>
        </is>
      </c>
      <c r="B134" s="12" t="inlineStr">
        <is>
          <t>PoS Refunds</t>
        </is>
      </c>
      <c r="C134" s="12" t="inlineStr">
        <is>
          <t>Functional</t>
        </is>
      </c>
      <c r="D134" s="13" t="inlineStr">
        <is>
          <t>TC-Refund-05</t>
        </is>
      </c>
      <c r="E134" s="12" t="inlineStr">
        <is>
          <t>settlement_expected Is Immutable After Capture</t>
        </is>
      </c>
      <c r="F134" s="13" t="inlineStr">
        <is>
          <t>Medium</t>
        </is>
      </c>
      <c r="G134" s="12" t="inlineStr">
        <is>
          <t>A captured refund with settlement_expected = false</t>
        </is>
      </c>
      <c r="H134" s="12" t="inlineStr">
        <is>
          <t>1. Attempt to update settlement_expected on the stored refund through every available path</t>
        </is>
      </c>
      <c r="I134" s="12" t="inlineStr">
        <is>
          <t>The field cannot be changed after capture; attempts are rejected and recorded</t>
        </is>
      </c>
      <c r="J134" s="13" t="inlineStr">
        <is>
          <t>Not Tested</t>
        </is>
      </c>
      <c r="K134" s="13" t="inlineStr">
        <is>
          <t>Negative</t>
        </is>
      </c>
    </row>
    <row r="135" ht="36" customHeight="1">
      <c r="A135" s="12" t="inlineStr">
        <is>
          <t>PoS Transactions V6.6.0 (EMI-5914)</t>
        </is>
      </c>
      <c r="B135" s="12" t="inlineStr">
        <is>
          <t>PoS Refunds</t>
        </is>
      </c>
      <c r="C135" s="12" t="inlineStr">
        <is>
          <t>Reconciliation</t>
        </is>
      </c>
      <c r="D135" s="13" t="inlineStr">
        <is>
          <t>TC-Refund-06</t>
        </is>
      </c>
      <c r="E135" s="12" t="inlineStr">
        <is>
          <t>Refund Never Enters the E13 Candidate Set</t>
        </is>
      </c>
      <c r="F135" s="13" t="inlineStr">
        <is>
          <t>High</t>
        </is>
      </c>
      <c r="G135" s="12" t="inlineStr">
        <is>
          <t>A captured refund and a reconciliation run for the same date</t>
        </is>
      </c>
      <c r="H135" s="12" t="inlineStr">
        <is>
          <t>1. Run reconciliation (EMI-5920) for the date
2. Inspect the E13 candidate set and the discrepancy queue</t>
        </is>
      </c>
      <c r="I135" s="12" t="inlineStr">
        <is>
          <t>The refund is absent from the E13 candidate set and from the discrepancy queue; it is never reported as money the bank failed to settle</t>
        </is>
      </c>
      <c r="J135" s="13" t="inlineStr">
        <is>
          <t>Not Tested</t>
        </is>
      </c>
      <c r="K135" s="13" t="inlineStr">
        <is>
          <t>Functional</t>
        </is>
      </c>
    </row>
    <row r="136" ht="36" customHeight="1">
      <c r="A136" s="12" t="inlineStr">
        <is>
          <t>PoS Transactions V6.6.0 (EMI-5914)</t>
        </is>
      </c>
      <c r="B136" s="12" t="inlineStr">
        <is>
          <t>PoS Refunds</t>
        </is>
      </c>
      <c r="C136" s="12" t="inlineStr">
        <is>
          <t>Reconciliation</t>
        </is>
      </c>
      <c r="D136" s="13" t="inlineStr">
        <is>
          <t>TC-Refund-07</t>
        </is>
      </c>
      <c r="E136" s="12" t="inlineStr">
        <is>
          <t>Refund Searched For in the Settlement Report</t>
        </is>
      </c>
      <c r="F136" s="13" t="inlineStr">
        <is>
          <t>High</t>
        </is>
      </c>
      <c r="G136" s="12" t="inlineStr">
        <is>
          <t>A captured refund and the corresponding ANB settlement report</t>
        </is>
      </c>
      <c r="H136" s="12" t="inlineStr">
        <is>
          <t>1. Search the settlement report for the refund</t>
        </is>
      </c>
      <c r="I136" s="12" t="inlineStr">
        <is>
          <t>The refund is absent by ANB's settled-only contract; its absence raises no exception and creates no reconciliation discrepancy</t>
        </is>
      </c>
      <c r="J136" s="13" t="inlineStr">
        <is>
          <t>Not Tested</t>
        </is>
      </c>
      <c r="K136" s="13" t="inlineStr">
        <is>
          <t>Functional</t>
        </is>
      </c>
    </row>
    <row r="137" ht="36" customHeight="1">
      <c r="A137" s="12" t="inlineStr">
        <is>
          <t>PoS Transactions V6.6.0 (EMI-5914)</t>
        </is>
      </c>
      <c r="B137" s="12" t="inlineStr">
        <is>
          <t>PoS Refunds</t>
        </is>
      </c>
      <c r="C137" s="12" t="inlineStr">
        <is>
          <t>Validation</t>
        </is>
      </c>
      <c r="D137" s="13" t="inlineStr">
        <is>
          <t>TC-Refund-08</t>
        </is>
      </c>
      <c r="E137" s="12" t="inlineStr">
        <is>
          <t>Mandatory Field Validation on Capture</t>
        </is>
      </c>
      <c r="F137" s="13" t="inlineStr">
        <is>
          <t>High</t>
        </is>
      </c>
      <c r="G137" s="12" t="inlineStr">
        <is>
          <t>Refund capture available</t>
        </is>
      </c>
      <c r="H137" s="12" t="inlineStr">
        <is>
          <t>1. Submit refunds each missing one of rrn, amount, occurred_at, original_provider_txn_id</t>
        </is>
      </c>
      <c r="I137" s="12" t="inlineStr">
        <is>
          <t>Each is rejected with a clear validation reason and alarmed; capture rejections are never silent</t>
        </is>
      </c>
      <c r="J137" s="13" t="inlineStr">
        <is>
          <t>Not Tested</t>
        </is>
      </c>
      <c r="K137" s="13" t="inlineStr">
        <is>
          <t>Negative</t>
        </is>
      </c>
    </row>
    <row r="138" ht="36" customHeight="1">
      <c r="A138" s="12" t="inlineStr">
        <is>
          <t>PoS Transactions V6.6.0 (EMI-5914)</t>
        </is>
      </c>
      <c r="B138" s="12" t="inlineStr">
        <is>
          <t>PoS Refunds</t>
        </is>
      </c>
      <c r="C138" s="12" t="inlineStr">
        <is>
          <t>Validation</t>
        </is>
      </c>
      <c r="D138" s="13" t="inlineStr">
        <is>
          <t>TC-Refund-09</t>
        </is>
      </c>
      <c r="E138" s="12" t="inlineStr">
        <is>
          <t>occurred_at Precision Is Preserved in Full</t>
        </is>
      </c>
      <c r="F138" s="13" t="inlineStr">
        <is>
          <t>Medium</t>
        </is>
      </c>
      <c r="G138" s="12" t="inlineStr">
        <is>
          <t>Refund carrying a high-precision timestamp</t>
        </is>
      </c>
      <c r="H138" s="12" t="inlineStr">
        <is>
          <t>1. Submit the refund
2. Read occurred_at back from storage and compare with the source</t>
        </is>
      </c>
      <c r="I138" s="12" t="inlineStr">
        <is>
          <t>occurred_at is stored at full source precision with no truncation or rounding; amount and rrn likewise match the source exactly</t>
        </is>
      </c>
      <c r="J138" s="13" t="inlineStr">
        <is>
          <t>Not Tested</t>
        </is>
      </c>
      <c r="K138" s="13" t="inlineStr">
        <is>
          <t>Edge / Boundary</t>
        </is>
      </c>
    </row>
    <row r="139" ht="36" customHeight="1">
      <c r="A139" s="12" t="inlineStr">
        <is>
          <t>PoS Transactions V6.6.0 (EMI-5914)</t>
        </is>
      </c>
      <c r="B139" s="12" t="inlineStr">
        <is>
          <t>PoS Refunds</t>
        </is>
      </c>
      <c r="C139" s="12" t="inlineStr">
        <is>
          <t>Linkage</t>
        </is>
      </c>
      <c r="D139" s="13" t="inlineStr">
        <is>
          <t>TC-Refund-10</t>
        </is>
      </c>
      <c r="E139" s="12" t="inlineStr">
        <is>
          <t>Refund Is Linked to Its Original Sale</t>
        </is>
      </c>
      <c r="F139" s="13" t="inlineStr">
        <is>
          <t>High</t>
        </is>
      </c>
      <c r="G139" s="12" t="inlineStr">
        <is>
          <t>A captured original PURCHASE</t>
        </is>
      </c>
      <c r="H139" s="12" t="inlineStr">
        <is>
          <t>1. Capture a refund carrying original_provider_txn_id
2. Inspect the linkage on both records</t>
        </is>
      </c>
      <c r="I139" s="12" t="inlineStr">
        <is>
          <t>The refund resolves to and is linked with its original sale; the link is navigable from either side</t>
        </is>
      </c>
      <c r="J139" s="13" t="inlineStr">
        <is>
          <t>Not Tested</t>
        </is>
      </c>
      <c r="K139" s="13" t="inlineStr">
        <is>
          <t>Functional</t>
        </is>
      </c>
    </row>
    <row r="140" ht="36" customHeight="1">
      <c r="A140" s="12" t="inlineStr">
        <is>
          <t>PoS Transactions V6.6.0 (EMI-5914)</t>
        </is>
      </c>
      <c r="B140" s="12" t="inlineStr">
        <is>
          <t>PoS Refunds</t>
        </is>
      </c>
      <c r="C140" s="12" t="inlineStr">
        <is>
          <t>Linkage</t>
        </is>
      </c>
      <c r="D140" s="13" t="inlineStr">
        <is>
          <t>TC-Refund-11</t>
        </is>
      </c>
      <c r="E140" s="12" t="inlineStr">
        <is>
          <t>Linkage Is Enforced at Database Level</t>
        </is>
      </c>
      <c r="F140" s="13" t="inlineStr">
        <is>
          <t>High</t>
        </is>
      </c>
      <c r="G140" s="12" t="inlineStr">
        <is>
          <t>Direct database access available</t>
        </is>
      </c>
      <c r="H140" s="12" t="inlineStr">
        <is>
          <t>1. Attempt to insert a refund row with an original reference that does not exist, bypassing the application</t>
        </is>
      </c>
      <c r="I140" s="12" t="inlineStr">
        <is>
          <t>The database rejects the write; linkage is enforced by constraint, not by application code alone</t>
        </is>
      </c>
      <c r="J140" s="13" t="inlineStr">
        <is>
          <t>Not Tested</t>
        </is>
      </c>
      <c r="K140" s="13" t="inlineStr">
        <is>
          <t>Functional</t>
        </is>
      </c>
    </row>
    <row r="141" ht="36" customHeight="1">
      <c r="A141" s="12" t="inlineStr">
        <is>
          <t>PoS Transactions V6.6.0 (EMI-5914)</t>
        </is>
      </c>
      <c r="B141" s="12" t="inlineStr">
        <is>
          <t>PoS Refunds</t>
        </is>
      </c>
      <c r="C141" s="12" t="inlineStr">
        <is>
          <t>Linkage</t>
        </is>
      </c>
      <c r="D141" s="13" t="inlineStr">
        <is>
          <t>TC-Refund-12</t>
        </is>
      </c>
      <c r="E141" s="12" t="inlineStr">
        <is>
          <t>Original Flagged refunded on a Full Refund</t>
        </is>
      </c>
      <c r="F141" s="13" t="inlineStr">
        <is>
          <t>Medium</t>
        </is>
      </c>
      <c r="G141" s="12" t="inlineStr">
        <is>
          <t>A captured original with no prior refunds</t>
        </is>
      </c>
      <c r="H141" s="12" t="inlineStr">
        <is>
          <t>1. Capture a refund for the original's full gross amount
2. Read the original's flag</t>
        </is>
      </c>
      <c r="I141" s="12" t="inlineStr">
        <is>
          <t>The original is flagged refunded</t>
        </is>
      </c>
      <c r="J141" s="13" t="inlineStr">
        <is>
          <t>Not Tested</t>
        </is>
      </c>
      <c r="K141" s="13" t="inlineStr">
        <is>
          <t>Functional</t>
        </is>
      </c>
    </row>
    <row r="142" ht="36" customHeight="1">
      <c r="A142" s="12" t="inlineStr">
        <is>
          <t>PoS Transactions V6.6.0 (EMI-5914)</t>
        </is>
      </c>
      <c r="B142" s="12" t="inlineStr">
        <is>
          <t>PoS Refunds</t>
        </is>
      </c>
      <c r="C142" s="12" t="inlineStr">
        <is>
          <t>Linkage</t>
        </is>
      </c>
      <c r="D142" s="13" t="inlineStr">
        <is>
          <t>TC-Refund-13</t>
        </is>
      </c>
      <c r="E142" s="12" t="inlineStr">
        <is>
          <t>Original Flagged partially_refunded on a Partial Refund</t>
        </is>
      </c>
      <c r="F142" s="13" t="inlineStr">
        <is>
          <t>Medium</t>
        </is>
      </c>
      <c r="G142" s="12" t="inlineStr">
        <is>
          <t>A captured original with no prior refunds</t>
        </is>
      </c>
      <c r="H142" s="12" t="inlineStr">
        <is>
          <t>1. Capture a refund for part of the original's gross
2. Read the original's flag</t>
        </is>
      </c>
      <c r="I142" s="12" t="inlineStr">
        <is>
          <t>The original is flagged partially_refunded</t>
        </is>
      </c>
      <c r="J142" s="13" t="inlineStr">
        <is>
          <t>Not Tested</t>
        </is>
      </c>
      <c r="K142" s="13" t="inlineStr">
        <is>
          <t>Functional</t>
        </is>
      </c>
    </row>
    <row r="143" ht="36" customHeight="1">
      <c r="A143" s="12" t="inlineStr">
        <is>
          <t>PoS Transactions V6.6.0 (EMI-5914)</t>
        </is>
      </c>
      <c r="B143" s="12" t="inlineStr">
        <is>
          <t>PoS Refunds</t>
        </is>
      </c>
      <c r="C143" s="12" t="inlineStr">
        <is>
          <t>Integrity</t>
        </is>
      </c>
      <c r="D143" s="13" t="inlineStr">
        <is>
          <t>TC-Refund-14</t>
        </is>
      </c>
      <c r="E143" s="12" t="inlineStr">
        <is>
          <t>Cumulative Refunds May Not Exceed the Original Gross</t>
        </is>
      </c>
      <c r="F143" s="13" t="inlineStr">
        <is>
          <t>High</t>
        </is>
      </c>
      <c r="G143" s="12" t="inlineStr">
        <is>
          <t>A captured original with one partial refund already applied</t>
        </is>
      </c>
      <c r="H143" s="12" t="inlineStr">
        <is>
          <t>1. Capture a second refund that would take the cumulative total above the original's gross</t>
        </is>
      </c>
      <c r="I143" s="12" t="inlineStr">
        <is>
          <t>The second refund is rejected at database level by constraint and alarmed as a feed-integrity defect; the exposure figure is not inflated</t>
        </is>
      </c>
      <c r="J143" s="13" t="inlineStr">
        <is>
          <t>Not Tested</t>
        </is>
      </c>
      <c r="K143" s="13" t="inlineStr">
        <is>
          <t>Negative</t>
        </is>
      </c>
    </row>
    <row r="144" ht="36" customHeight="1">
      <c r="A144" s="12" t="inlineStr">
        <is>
          <t>PoS Transactions V6.6.0 (EMI-5914)</t>
        </is>
      </c>
      <c r="B144" s="12" t="inlineStr">
        <is>
          <t>PoS Refunds</t>
        </is>
      </c>
      <c r="C144" s="12" t="inlineStr">
        <is>
          <t>Integrity</t>
        </is>
      </c>
      <c r="D144" s="13" t="inlineStr">
        <is>
          <t>TC-Refund-15</t>
        </is>
      </c>
      <c r="E144" s="12" t="inlineStr">
        <is>
          <t>Cap Breach Is Alarmed as a Feed-Integrity Defect</t>
        </is>
      </c>
      <c r="F144" s="13" t="inlineStr">
        <is>
          <t>Medium</t>
        </is>
      </c>
      <c r="G144" s="12" t="inlineStr">
        <is>
          <t>Ability to trigger a cumulative cap breach</t>
        </is>
      </c>
      <c r="H144" s="12" t="inlineStr">
        <is>
          <t>1. Trigger a cap breach
2. Inspect the alarm channel and its classification</t>
        </is>
      </c>
      <c r="I144" s="12" t="inlineStr">
        <is>
          <t>The breach is alarmed and classified as a feed-integrity defect, not as a business rejection; the raw record is retained for Ops</t>
        </is>
      </c>
      <c r="J144" s="13" t="inlineStr">
        <is>
          <t>Not Tested</t>
        </is>
      </c>
      <c r="K144" s="13" t="inlineStr">
        <is>
          <t>Negative</t>
        </is>
      </c>
    </row>
    <row r="145" ht="36" customHeight="1">
      <c r="A145" s="12" t="inlineStr">
        <is>
          <t>PoS Transactions V6.6.0 (EMI-5914)</t>
        </is>
      </c>
      <c r="B145" s="12" t="inlineStr">
        <is>
          <t>PoS Refunds</t>
        </is>
      </c>
      <c r="C145" s="12" t="inlineStr">
        <is>
          <t>Parking</t>
        </is>
      </c>
      <c r="D145" s="13" t="inlineStr">
        <is>
          <t>TC-Refund-16</t>
        </is>
      </c>
      <c r="E145" s="12" t="inlineStr">
        <is>
          <t>Refund Arriving Before Its Original Is Parked, Not Rejected</t>
        </is>
      </c>
      <c r="F145" s="13" t="inlineStr">
        <is>
          <t>High</t>
        </is>
      </c>
      <c r="G145" s="12" t="inlineStr">
        <is>
          <t>No original present for the reference</t>
        </is>
      </c>
      <c r="H145" s="12" t="inlineStr">
        <is>
          <t>1. Capture a refund whose original has not yet arrived
2. Inspect its state</t>
        </is>
      </c>
      <c r="I145" s="12" t="inlineStr">
        <is>
          <t>The refund is parked, not rejected; out-of-order arrival is treated as normal</t>
        </is>
      </c>
      <c r="J145" s="13" t="inlineStr">
        <is>
          <t>Not Tested</t>
        </is>
      </c>
      <c r="K145" s="13" t="inlineStr">
        <is>
          <t>Negative</t>
        </is>
      </c>
    </row>
    <row r="146" ht="36" customHeight="1">
      <c r="A146" s="12" t="inlineStr">
        <is>
          <t>PoS Transactions V6.6.0 (EMI-5914)</t>
        </is>
      </c>
      <c r="B146" s="12" t="inlineStr">
        <is>
          <t>PoS Refunds</t>
        </is>
      </c>
      <c r="C146" s="12" t="inlineStr">
        <is>
          <t>Parking</t>
        </is>
      </c>
      <c r="D146" s="13" t="inlineStr">
        <is>
          <t>TC-Refund-17</t>
        </is>
      </c>
      <c r="E146" s="12" t="inlineStr">
        <is>
          <t>Parked Refund Is Retried on Each Subsequent Arrival</t>
        </is>
      </c>
      <c r="F146" s="13" t="inlineStr">
        <is>
          <t>Medium</t>
        </is>
      </c>
      <c r="G146" s="12" t="inlineStr">
        <is>
          <t>A parked refund awaiting its original</t>
        </is>
      </c>
      <c r="H146" s="12" t="inlineStr">
        <is>
          <t>1. Capture the original
2. Observe the parked refund</t>
        </is>
      </c>
      <c r="I146" s="12" t="inlineStr">
        <is>
          <t>The parked refund is retried on the arrival and links successfully; the original is flagged accordingly</t>
        </is>
      </c>
      <c r="J146" s="13" t="inlineStr">
        <is>
          <t>Not Tested</t>
        </is>
      </c>
      <c r="K146" s="13" t="inlineStr">
        <is>
          <t>Negative</t>
        </is>
      </c>
    </row>
    <row r="147" ht="36" customHeight="1">
      <c r="A147" s="12" t="inlineStr">
        <is>
          <t>PoS Transactions V6.6.0 (EMI-5914)</t>
        </is>
      </c>
      <c r="B147" s="12" t="inlineStr">
        <is>
          <t>PoS Refunds</t>
        </is>
      </c>
      <c r="C147" s="12" t="inlineStr">
        <is>
          <t>Parking</t>
        </is>
      </c>
      <c r="D147" s="13" t="inlineStr">
        <is>
          <t>TC-Refund-18</t>
        </is>
      </c>
      <c r="E147" s="12" t="inlineStr">
        <is>
          <t>Parked Refund Escalates After 48 Hours</t>
        </is>
      </c>
      <c r="F147" s="13" t="inlineStr">
        <is>
          <t>Medium</t>
        </is>
      </c>
      <c r="G147" s="12" t="inlineStr">
        <is>
          <t>A parked refund whose original never arrives</t>
        </is>
      </c>
      <c r="H147" s="12" t="inlineStr">
        <is>
          <t>1. Leave the refund parked past the 48 h window
2. Inspect the Ops queue and escalation</t>
        </is>
      </c>
      <c r="I147" s="12" t="inlineStr">
        <is>
          <t>The refund escalates at 48 h; it is never auto-rejected or discarded</t>
        </is>
      </c>
      <c r="J147" s="13" t="inlineStr">
        <is>
          <t>Not Tested</t>
        </is>
      </c>
      <c r="K147" s="13" t="inlineStr">
        <is>
          <t>Negative</t>
        </is>
      </c>
    </row>
    <row r="148" ht="36" customHeight="1">
      <c r="A148" s="12" t="inlineStr">
        <is>
          <t>PoS Transactions V6.6.0 (EMI-5914)</t>
        </is>
      </c>
      <c r="B148" s="12" t="inlineStr">
        <is>
          <t>PoS Refunds</t>
        </is>
      </c>
      <c r="C148" s="12" t="inlineStr">
        <is>
          <t>Parking</t>
        </is>
      </c>
      <c r="D148" s="13" t="inlineStr">
        <is>
          <t>TC-Refund-19</t>
        </is>
      </c>
      <c r="E148" s="12" t="inlineStr">
        <is>
          <t>Ops Parked-Refund Queue Shows Time Remaining</t>
        </is>
      </c>
      <c r="F148" s="13" t="inlineStr">
        <is>
          <t>Medium</t>
        </is>
      </c>
      <c r="G148" s="12" t="inlineStr">
        <is>
          <t>One or more parked refunds of differing ages</t>
        </is>
      </c>
      <c r="H148" s="12" t="inlineStr">
        <is>
          <t>1. Open the Ops parked-refund queue</t>
        </is>
      </c>
      <c r="I148" s="12" t="inlineStr">
        <is>
          <t>Parked refunds are listed with the 48 h window shown as time remaining and aged; cap breaches and window rejections are listed with the raw record</t>
        </is>
      </c>
      <c r="J148" s="13" t="inlineStr">
        <is>
          <t>Not Tested</t>
        </is>
      </c>
      <c r="K148" s="13" t="inlineStr">
        <is>
          <t>Negative</t>
        </is>
      </c>
    </row>
    <row r="149" ht="36" customHeight="1">
      <c r="A149" s="12" t="inlineStr">
        <is>
          <t>PoS Transactions V6.6.0 (EMI-5914)</t>
        </is>
      </c>
      <c r="B149" s="12" t="inlineStr">
        <is>
          <t>PoS Refunds</t>
        </is>
      </c>
      <c r="C149" s="12" t="inlineStr">
        <is>
          <t>Validation</t>
        </is>
      </c>
      <c r="D149" s="13" t="inlineStr">
        <is>
          <t>TC-Refund-20</t>
        </is>
      </c>
      <c r="E149" s="12" t="inlineStr">
        <is>
          <t>Refund Outside the Configured Window Is Rejected</t>
        </is>
      </c>
      <c r="F149" s="13" t="inlineStr">
        <is>
          <t>Medium</t>
        </is>
      </c>
      <c r="G149" s="12" t="inlineStr">
        <is>
          <t>An original older than the configured refund window</t>
        </is>
      </c>
      <c r="H149" s="12" t="inlineStr">
        <is>
          <t>1. Capture a refund against it</t>
        </is>
      </c>
      <c r="I149" s="12" t="inlineStr">
        <is>
          <t>Rejected with a clear reason and alarmed</t>
        </is>
      </c>
      <c r="J149" s="13" t="inlineStr">
        <is>
          <t>Not Tested</t>
        </is>
      </c>
      <c r="K149" s="13" t="inlineStr">
        <is>
          <t>Negative</t>
        </is>
      </c>
    </row>
    <row r="150" ht="36" customHeight="1">
      <c r="A150" s="12" t="inlineStr">
        <is>
          <t>PoS Transactions V6.6.0 (EMI-5914)</t>
        </is>
      </c>
      <c r="B150" s="12" t="inlineStr">
        <is>
          <t>PoS Refunds</t>
        </is>
      </c>
      <c r="C150" s="12" t="inlineStr">
        <is>
          <t>Configuration</t>
        </is>
      </c>
      <c r="D150" s="13" t="inlineStr">
        <is>
          <t>TC-Refund-21</t>
        </is>
      </c>
      <c r="E150" s="12" t="inlineStr">
        <is>
          <t>Refund Window Is Configurable, Default 180 Days</t>
        </is>
      </c>
      <c r="F150" s="13" t="inlineStr">
        <is>
          <t>Medium</t>
        </is>
      </c>
      <c r="G150" s="12" t="inlineStr">
        <is>
          <t>Access to the refund-window configuration</t>
        </is>
      </c>
      <c r="H150" s="12" t="inlineStr">
        <is>
          <t>1. Confirm the default is 180 days
2. Change it and capture a refund on either side of the new boundary</t>
        </is>
      </c>
      <c r="I150" s="12" t="inlineStr">
        <is>
          <t>The default is 180 days; the new value takes effect without a release and is applied at capture</t>
        </is>
      </c>
      <c r="J150" s="13" t="inlineStr">
        <is>
          <t>Not Tested</t>
        </is>
      </c>
      <c r="K150" s="13" t="inlineStr">
        <is>
          <t>Edge / Boundary</t>
        </is>
      </c>
    </row>
    <row r="151" ht="36" customHeight="1">
      <c r="A151" s="12" t="inlineStr">
        <is>
          <t>PoS Transactions V6.6.0 (EMI-5914)</t>
        </is>
      </c>
      <c r="B151" s="12" t="inlineStr">
        <is>
          <t>PoS Refunds</t>
        </is>
      </c>
      <c r="C151" s="12" t="inlineStr">
        <is>
          <t>Negative</t>
        </is>
      </c>
      <c r="D151" s="13" t="inlineStr">
        <is>
          <t>TC-Refund-22</t>
        </is>
      </c>
      <c r="E151" s="12" t="inlineStr">
        <is>
          <t>Refund on a Merchant With Zero or Low Wallet Balance</t>
        </is>
      </c>
      <c r="F151" s="13" t="inlineStr">
        <is>
          <t>High</t>
        </is>
      </c>
      <c r="G151" s="12" t="inlineStr">
        <is>
          <t>Merchant wallet at or near zero balance</t>
        </is>
      </c>
      <c r="H151" s="12" t="inlineStr">
        <is>
          <t>1. Capture a refund for that merchant
2. Inspect the outcome and the wallet</t>
        </is>
      </c>
      <c r="I151" s="12" t="inlineStr">
        <is>
          <t>The refund is captured normally with no rejection; no balance is touched so there is nothing to check; no insufficient-balance error is possible here</t>
        </is>
      </c>
      <c r="J151" s="13" t="inlineStr">
        <is>
          <t>Not Tested</t>
        </is>
      </c>
      <c r="K151" s="13" t="inlineStr">
        <is>
          <t>Edge / Boundary</t>
        </is>
      </c>
    </row>
    <row r="152" ht="36" customHeight="1">
      <c r="A152" s="12" t="inlineStr">
        <is>
          <t>PoS Transactions V6.6.0 (EMI-5914)</t>
        </is>
      </c>
      <c r="B152" s="12" t="inlineStr">
        <is>
          <t>PoS Refunds</t>
        </is>
      </c>
      <c r="C152" s="12" t="inlineStr">
        <is>
          <t>Isolation</t>
        </is>
      </c>
      <c r="D152" s="13" t="inlineStr">
        <is>
          <t>TC-Refund-23</t>
        </is>
      </c>
      <c r="E152" s="12" t="inlineStr">
        <is>
          <t>No Wallet Debit Is Raised for a Refund</t>
        </is>
      </c>
      <c r="F152" s="13" t="inlineStr">
        <is>
          <t>High</t>
        </is>
      </c>
      <c r="G152" s="12" t="inlineStr">
        <is>
          <t>A merchant wallet with a recorded starting balance</t>
        </is>
      </c>
      <c r="H152" s="12" t="inlineStr">
        <is>
          <t>1. Capture refunds across settled, unsettled and partially refunded originals
2. Run the settlement, reconciliation and ACH cycles
3. Compare the merchant wallet balance with its starting value</t>
        </is>
      </c>
      <c r="I152" s="12" t="inlineStr">
        <is>
          <t>No wallet debit is raised at any point - not immediate, not deferred, not on settlement; the merchant balance is untouched. Any debit found is a defect</t>
        </is>
      </c>
      <c r="J152" s="13" t="inlineStr">
        <is>
          <t>Not Tested</t>
        </is>
      </c>
      <c r="K152" s="13" t="inlineStr">
        <is>
          <t>Integration</t>
        </is>
      </c>
    </row>
    <row r="153" ht="36" customHeight="1">
      <c r="A153" s="12" t="inlineStr">
        <is>
          <t>PoS Transactions V6.6.0 (EMI-5914)</t>
        </is>
      </c>
      <c r="B153" s="12" t="inlineStr">
        <is>
          <t>PoS Refunds</t>
        </is>
      </c>
      <c r="C153" s="12" t="inlineStr">
        <is>
          <t>Isolation</t>
        </is>
      </c>
      <c r="D153" s="13" t="inlineStr">
        <is>
          <t>TC-Refund-24</t>
        </is>
      </c>
      <c r="E153" s="12" t="inlineStr">
        <is>
          <t>No Reserve, Hold or Balance Guard Is Created</t>
        </is>
      </c>
      <c r="F153" s="13" t="inlineStr">
        <is>
          <t>High</t>
        </is>
      </c>
      <c r="G153" s="12" t="inlineStr">
        <is>
          <t>A merchant wallet with a recorded starting position</t>
        </is>
      </c>
      <c r="H153" s="12" t="inlineStr">
        <is>
          <t>1. Capture a refund
2. Query for reserves, holds and balance guards on the merchant</t>
        </is>
      </c>
      <c r="I153" s="12" t="inlineStr">
        <is>
          <t>None exist; there is nothing to reserve against because nothing will be taken</t>
        </is>
      </c>
      <c r="J153" s="13" t="inlineStr">
        <is>
          <t>Not Tested</t>
        </is>
      </c>
      <c r="K153" s="13" t="inlineStr">
        <is>
          <t>Integration</t>
        </is>
      </c>
    </row>
    <row r="154" ht="36" customHeight="1">
      <c r="A154" s="12" t="inlineStr">
        <is>
          <t>PoS Transactions V6.6.0 (EMI-5914)</t>
        </is>
      </c>
      <c r="B154" s="12" t="inlineStr">
        <is>
          <t>PoS Refunds</t>
        </is>
      </c>
      <c r="C154" s="12" t="inlineStr">
        <is>
          <t>Isolation</t>
        </is>
      </c>
      <c r="D154" s="13" t="inlineStr">
        <is>
          <t>TC-Refund-25</t>
        </is>
      </c>
      <c r="E154" s="12" t="inlineStr">
        <is>
          <t>No Netting Into Any Settlement Batch</t>
        </is>
      </c>
      <c r="F154" s="13" t="inlineStr">
        <is>
          <t>High</t>
        </is>
      </c>
      <c r="G154" s="12" t="inlineStr">
        <is>
          <t>A captured refund and a settlement batch for the same terminal and period</t>
        </is>
      </c>
      <c r="H154" s="12" t="inlineStr">
        <is>
          <t>1. Run settlement grouping (EMI-5989)
2. Inspect the batch members and the aggregate amount for any refund contribution</t>
        </is>
      </c>
      <c r="I154" s="12" t="inlineStr">
        <is>
          <t>No refund is netted into the batch; the aggregate reflects settled sales only</t>
        </is>
      </c>
      <c r="J154" s="13" t="inlineStr">
        <is>
          <t>Not Tested</t>
        </is>
      </c>
      <c r="K154" s="13" t="inlineStr">
        <is>
          <t>Integration</t>
        </is>
      </c>
    </row>
    <row r="155" ht="36" customHeight="1">
      <c r="A155" s="12" t="inlineStr">
        <is>
          <t>PoS Transactions V6.6.0 (EMI-5914)</t>
        </is>
      </c>
      <c r="B155" s="12" t="inlineStr">
        <is>
          <t>PoS Refunds</t>
        </is>
      </c>
      <c r="C155" s="12" t="inlineStr">
        <is>
          <t>Isolation</t>
        </is>
      </c>
      <c r="D155" s="13" t="inlineStr">
        <is>
          <t>TC-Refund-26</t>
        </is>
      </c>
      <c r="E155" s="12" t="inlineStr">
        <is>
          <t>No Card-Scheme Refund Leg Is Produced by Us</t>
        </is>
      </c>
      <c r="F155" s="13" t="inlineStr">
        <is>
          <t>Medium</t>
        </is>
      </c>
      <c r="G155" s="12" t="inlineStr">
        <is>
          <t>A captured refund</t>
        </is>
      </c>
      <c r="H155" s="12" t="inlineStr">
        <is>
          <t>1. Inspect all outbound integrations after capture</t>
        </is>
      </c>
      <c r="I155" s="12" t="inlineStr">
        <is>
          <t>We produce no card-scheme refund leg; the merchant refunds the customer through the terminal and the scheme, and we are not in that path</t>
        </is>
      </c>
      <c r="J155" s="13" t="inlineStr">
        <is>
          <t>Not Tested</t>
        </is>
      </c>
      <c r="K155" s="13" t="inlineStr">
        <is>
          <t>Integration</t>
        </is>
      </c>
    </row>
    <row r="156" ht="36" customHeight="1">
      <c r="A156" s="12" t="inlineStr">
        <is>
          <t>PoS Transactions V6.6.0 (EMI-5914)</t>
        </is>
      </c>
      <c r="B156" s="12" t="inlineStr">
        <is>
          <t>PoS Refunds</t>
        </is>
      </c>
      <c r="C156" s="12" t="inlineStr">
        <is>
          <t>Compliance</t>
        </is>
      </c>
      <c r="D156" s="13" t="inlineStr">
        <is>
          <t>TC-Refund-27</t>
        </is>
      </c>
      <c r="E156" s="12" t="inlineStr">
        <is>
          <t>Gate 1 Runs on Party State for Refund Events</t>
        </is>
      </c>
      <c r="F156" s="13" t="inlineStr">
        <is>
          <t>Medium</t>
        </is>
      </c>
      <c r="G156" s="12" t="inlineStr">
        <is>
          <t>Merchant under a compliance condition that Gate 1 evaluates</t>
        </is>
      </c>
      <c r="H156" s="12" t="inlineStr">
        <is>
          <t>1. Capture a refund for that merchant
2. Inspect the Gate 1 evaluation on the ledger entry</t>
        </is>
      </c>
      <c r="I156" s="12" t="inlineStr">
        <is>
          <t>Gate 1 runs on party state exactly as it does for any other captured event; the outcome is recorded on the entry</t>
        </is>
      </c>
      <c r="J156" s="13" t="inlineStr">
        <is>
          <t>Not Tested</t>
        </is>
      </c>
      <c r="K156" s="13" t="inlineStr">
        <is>
          <t>Edge / Boundary</t>
        </is>
      </c>
    </row>
    <row r="157" ht="36" customHeight="1">
      <c r="A157" s="12" t="inlineStr">
        <is>
          <t>PoS Transactions V6.6.0 (EMI-5914)</t>
        </is>
      </c>
      <c r="B157" s="12" t="inlineStr">
        <is>
          <t>PoS Refunds</t>
        </is>
      </c>
      <c r="C157" s="12" t="inlineStr">
        <is>
          <t>Idempotency</t>
        </is>
      </c>
      <c r="D157" s="13" t="inlineStr">
        <is>
          <t>TC-Refund-28</t>
        </is>
      </c>
      <c r="E157" s="12" t="inlineStr">
        <is>
          <t>Duplicate Refund Event Delivered Twice</t>
        </is>
      </c>
      <c r="F157" s="13" t="inlineStr">
        <is>
          <t>High</t>
        </is>
      </c>
      <c r="G157" s="12" t="inlineStr">
        <is>
          <t>Refund capture available</t>
        </is>
      </c>
      <c r="H157" s="12" t="inlineStr">
        <is>
          <t>1. Deliver the same refund event twice with the same idempotency key
2. Inspect records and the exposure total</t>
        </is>
      </c>
      <c r="I157" s="12" t="inlineStr">
        <is>
          <t>The duplicate is absorbed; a single record exists; the exposure is counted exactly once</t>
        </is>
      </c>
      <c r="J157" s="13" t="inlineStr">
        <is>
          <t>Not Tested</t>
        </is>
      </c>
      <c r="K157" s="13" t="inlineStr">
        <is>
          <t>Integration</t>
        </is>
      </c>
    </row>
    <row r="158" ht="36" customHeight="1">
      <c r="A158" s="12" t="inlineStr">
        <is>
          <t>PoS Transactions V6.6.0 (EMI-5914)</t>
        </is>
      </c>
      <c r="B158" s="12" t="inlineStr">
        <is>
          <t>PoS Refunds</t>
        </is>
      </c>
      <c r="C158" s="12" t="inlineStr">
        <is>
          <t>Exposure</t>
        </is>
      </c>
      <c r="D158" s="13" t="inlineStr">
        <is>
          <t>TC-Refund-29</t>
        </is>
      </c>
      <c r="E158" s="12" t="inlineStr">
        <is>
          <t>Captured Refund Contributes to the E34 Exposure Total</t>
        </is>
      </c>
      <c r="F158" s="13" t="inlineStr">
        <is>
          <t>High</t>
        </is>
      </c>
      <c r="G158" s="12" t="inlineStr">
        <is>
          <t>One or more captured refunds with no settlement counterpart</t>
        </is>
      </c>
      <c r="H158" s="12" t="inlineStr">
        <is>
          <t>1. Capture refunds for several merchants
2. Compute the day's exposure</t>
        </is>
      </c>
      <c r="I158" s="12" t="inlineStr">
        <is>
          <t>Each refund is included in the E34 total, reported per merchant, per wallet and in total</t>
        </is>
      </c>
      <c r="J158" s="13" t="inlineStr">
        <is>
          <t>Not Tested</t>
        </is>
      </c>
      <c r="K158" s="13" t="inlineStr">
        <is>
          <t>Reporting</t>
        </is>
      </c>
    </row>
    <row r="159" ht="36" customHeight="1">
      <c r="A159" s="12" t="inlineStr">
        <is>
          <t>PoS Transactions V6.6.0 (EMI-5914)</t>
        </is>
      </c>
      <c r="B159" s="12" t="inlineStr">
        <is>
          <t>PoS Refunds</t>
        </is>
      </c>
      <c r="C159" s="12" t="inlineStr">
        <is>
          <t>Exposure</t>
        </is>
      </c>
      <c r="D159" s="13" t="inlineStr">
        <is>
          <t>TC-Refund-30</t>
        </is>
      </c>
      <c r="E159" s="12" t="inlineStr">
        <is>
          <t>Exposure Is Aged and Recomputable From the Ledger</t>
        </is>
      </c>
      <c r="F159" s="13" t="inlineStr">
        <is>
          <t>Medium</t>
        </is>
      </c>
      <c r="G159" s="12" t="inlineStr">
        <is>
          <t>A ledger holding refunds of varying ages</t>
        </is>
      </c>
      <c r="H159" s="12" t="inlineStr">
        <is>
          <t>1. Recompute exposure from the ledger at an arbitrary point
2. Compare with the stored figure and check the ageing buckets</t>
        </is>
      </c>
      <c r="I159" s="12" t="inlineStr">
        <is>
          <t>Exposure is recomputable at any time and matches; ageing is reported per merchant, per wallet and in total</t>
        </is>
      </c>
      <c r="J159" s="13" t="inlineStr">
        <is>
          <t>Not Tested</t>
        </is>
      </c>
      <c r="K159" s="13" t="inlineStr">
        <is>
          <t>Reporting</t>
        </is>
      </c>
    </row>
    <row r="160" ht="36" customHeight="1">
      <c r="A160" s="12" t="inlineStr">
        <is>
          <t>PoS Transactions V6.6.0 (EMI-5914)</t>
        </is>
      </c>
      <c r="B160" s="12" t="inlineStr">
        <is>
          <t>PoS Refunds</t>
        </is>
      </c>
      <c r="C160" s="12" t="inlineStr">
        <is>
          <t>Exposure</t>
        </is>
      </c>
      <c r="D160" s="13" t="inlineStr">
        <is>
          <t>TC-Refund-31</t>
        </is>
      </c>
      <c r="E160" s="12" t="inlineStr">
        <is>
          <t>Exposure Over a Month of Trading Rises and Is Shown as a Trend</t>
        </is>
      </c>
      <c r="F160" s="13" t="inlineStr">
        <is>
          <t>High</t>
        </is>
      </c>
      <c r="G160" s="12" t="inlineStr">
        <is>
          <t>A month of refund activity with no settlement counterpart</t>
        </is>
      </c>
      <c r="H160" s="12" t="inlineStr">
        <is>
          <t>1. Capture refunds across a month
2. Open the Finance exposure view</t>
        </is>
      </c>
      <c r="I160" s="12" t="inlineStr">
        <is>
          <t>The exposure rises monotonically and the trend is the primary display, not the daily number; this is the evidence for closing O43</t>
        </is>
      </c>
      <c r="J160" s="13" t="inlineStr">
        <is>
          <t>Not Tested</t>
        </is>
      </c>
      <c r="K160" s="13" t="inlineStr">
        <is>
          <t>Reporting</t>
        </is>
      </c>
    </row>
    <row r="161" ht="36" customHeight="1">
      <c r="A161" s="12" t="inlineStr">
        <is>
          <t>PoS Transactions V6.6.0 (EMI-5914)</t>
        </is>
      </c>
      <c r="B161" s="12" t="inlineStr">
        <is>
          <t>PoS Refunds</t>
        </is>
      </c>
      <c r="C161" s="12" t="inlineStr">
        <is>
          <t>Exposure</t>
        </is>
      </c>
      <c r="D161" s="13" t="inlineStr">
        <is>
          <t>TC-Refund-32</t>
        </is>
      </c>
      <c r="E161" s="12" t="inlineStr">
        <is>
          <t>Exposure Is a Memo Line Outside the Reconciling Total</t>
        </is>
      </c>
      <c r="F161" s="13" t="inlineStr">
        <is>
          <t>High</t>
        </is>
      </c>
      <c r="G161" s="12" t="inlineStr">
        <is>
          <t>Refunds present for the reporting period</t>
        </is>
      </c>
      <c r="H161" s="12" t="inlineStr">
        <is>
          <t>1. Generate the Finance safeguarding report</t>
        </is>
      </c>
      <c r="I161" s="12" t="inlineStr">
        <is>
          <t>Exposure appears as a memo line outside the reconciling total; the reconciling line still reconciles with the exposure excluded</t>
        </is>
      </c>
      <c r="J161" s="13" t="inlineStr">
        <is>
          <t>Not Tested</t>
        </is>
      </c>
      <c r="K161" s="13" t="inlineStr">
        <is>
          <t>Reporting</t>
        </is>
      </c>
    </row>
    <row r="162" ht="36" customHeight="1">
      <c r="A162" s="12" t="inlineStr">
        <is>
          <t>PoS Transactions V6.6.0 (EMI-5914)</t>
        </is>
      </c>
      <c r="B162" s="12" t="inlineStr">
        <is>
          <t>PoS Refunds</t>
        </is>
      </c>
      <c r="C162" s="12" t="inlineStr">
        <is>
          <t>Exposure</t>
        </is>
      </c>
      <c r="D162" s="13" t="inlineStr">
        <is>
          <t>TC-Refund-33</t>
        </is>
      </c>
      <c r="E162" s="12" t="inlineStr">
        <is>
          <t>Finance Exposure View Drills Into Individual Refunds</t>
        </is>
      </c>
      <c r="F162" s="13" t="inlineStr">
        <is>
          <t>Medium</t>
        </is>
      </c>
      <c r="G162" s="12" t="inlineStr">
        <is>
          <t>A non-zero exposure total</t>
        </is>
      </c>
      <c r="H162" s="12" t="inlineStr">
        <is>
          <t>1. Open the Finance exposure view and drill from the total</t>
        </is>
      </c>
      <c r="I162" s="12" t="inlineStr">
        <is>
          <t>The view drills into the individual refunds and their originals, per merchant and per wallet, and is legible to someone who has not read the epic</t>
        </is>
      </c>
      <c r="J162" s="13" t="inlineStr">
        <is>
          <t>Not Tested</t>
        </is>
      </c>
      <c r="K162" s="13" t="inlineStr">
        <is>
          <t>Reporting</t>
        </is>
      </c>
    </row>
    <row r="163" ht="36" customHeight="1">
      <c r="A163" s="12" t="inlineStr">
        <is>
          <t>PoS Transactions V6.6.0 (EMI-5914)</t>
        </is>
      </c>
      <c r="B163" s="12" t="inlineStr">
        <is>
          <t>PoS Refunds</t>
        </is>
      </c>
      <c r="C163" s="12" t="inlineStr">
        <is>
          <t>Functional</t>
        </is>
      </c>
      <c r="D163" s="13" t="inlineStr">
        <is>
          <t>TC-Refund-34</t>
        </is>
      </c>
      <c r="E163" s="12" t="inlineStr">
        <is>
          <t>Refund Against an Original That Was Never Settled</t>
        </is>
      </c>
      <c r="F163" s="13" t="inlineStr">
        <is>
          <t>Medium</t>
        </is>
      </c>
      <c r="G163" s="12" t="inlineStr">
        <is>
          <t>An original captured but never settled by the bank</t>
        </is>
      </c>
      <c r="H163" s="12" t="inlineStr">
        <is>
          <t>1. Capture a refund against it</t>
        </is>
      </c>
      <c r="I163" s="12" t="inlineStr">
        <is>
          <t>The refund is captured and linked, and flagged for Ops as an anomaly worth seeing</t>
        </is>
      </c>
      <c r="J163" s="13" t="inlineStr">
        <is>
          <t>Not Tested</t>
        </is>
      </c>
      <c r="K163" s="13" t="inlineStr">
        <is>
          <t>Functional</t>
        </is>
      </c>
    </row>
    <row r="164" ht="36" customHeight="1">
      <c r="A164" s="12" t="inlineStr">
        <is>
          <t>PoS Transactions V6.6.0 (EMI-5914)</t>
        </is>
      </c>
      <c r="B164" s="12" t="inlineStr">
        <is>
          <t>PoS Refunds</t>
        </is>
      </c>
      <c r="C164" s="12" t="inlineStr">
        <is>
          <t>UI</t>
        </is>
      </c>
      <c r="D164" s="13" t="inlineStr">
        <is>
          <t>TC-Refund-35</t>
        </is>
      </c>
      <c r="E164" s="12" t="inlineStr">
        <is>
          <t>Refunds Appear in the Per-Device View, Visually Distinct</t>
        </is>
      </c>
      <c r="F164" s="13" t="inlineStr">
        <is>
          <t>Medium</t>
        </is>
      </c>
      <c r="G164" s="12" t="inlineStr">
        <is>
          <t>Merchant per-device view (EMI-5916) available with sales and refunds present</t>
        </is>
      </c>
      <c r="H164" s="12" t="inlineStr">
        <is>
          <t>1. Open the per-device view for the terminal
2. Compare refund rows with sale rows and with declines</t>
        </is>
      </c>
      <c r="I164" s="12" t="inlineStr">
        <is>
          <t>Refunds appear alongside sales, visually distinct, showing the original they refund, and are excluded from every total on the screen that looks like money, exactly as declines are</t>
        </is>
      </c>
      <c r="J164" s="13" t="inlineStr">
        <is>
          <t>Not Tested</t>
        </is>
      </c>
      <c r="K164" s="13" t="inlineStr">
        <is>
          <t>Edge / Boundary</t>
        </is>
      </c>
    </row>
    <row r="165" ht="36" customHeight="1">
      <c r="A165" s="12" t="inlineStr">
        <is>
          <t>PoS Transactions V6.6.0 (EMI-5914)</t>
        </is>
      </c>
      <c r="B165" s="12" t="inlineStr">
        <is>
          <t>PoS Refunds</t>
        </is>
      </c>
      <c r="C165" s="12" t="inlineStr">
        <is>
          <t>UI</t>
        </is>
      </c>
      <c r="D165" s="13" t="inlineStr">
        <is>
          <t>TC-Refund-36</t>
        </is>
      </c>
      <c r="E165" s="12" t="inlineStr">
        <is>
          <t>Merchant Copy Must Not Imply a Balance Deduction</t>
        </is>
      </c>
      <c r="F165" s="13" t="inlineStr">
        <is>
          <t>High</t>
        </is>
      </c>
      <c r="G165" s="12" t="inlineStr">
        <is>
          <t>A captured refund visible to the merchant</t>
        </is>
      </c>
      <c r="H165" s="12" t="inlineStr">
        <is>
          <t>1. Read every merchant-facing string and figure associated with the refund</t>
        </is>
      </c>
      <c r="I165" s="12" t="inlineStr">
        <is>
          <t>No copy, label, total or figure implies the refund has been deducted from the merchant's balance or from what they are owed today, because it has not been</t>
        </is>
      </c>
      <c r="J165" s="13" t="inlineStr">
        <is>
          <t>Not Tested</t>
        </is>
      </c>
      <c r="K165" s="13" t="inlineStr">
        <is>
          <t>Usability</t>
        </is>
      </c>
    </row>
    <row r="166" ht="36" customHeight="1">
      <c r="A166" s="12" t="inlineStr">
        <is>
          <t>PoS Transactions V6.6.0 (EMI-5914)</t>
        </is>
      </c>
      <c r="B166" s="12" t="inlineStr">
        <is>
          <t>PoS Refunds</t>
        </is>
      </c>
      <c r="C166" s="12" t="inlineStr">
        <is>
          <t>Observability</t>
        </is>
      </c>
      <c r="D166" s="13" t="inlineStr">
        <is>
          <t>TC-Refund-37</t>
        </is>
      </c>
      <c r="E166" s="12" t="inlineStr">
        <is>
          <t>Refund Observability Metrics Are Emitted</t>
        </is>
      </c>
      <c r="F166" s="13" t="inlineStr">
        <is>
          <t>Medium</t>
        </is>
      </c>
      <c r="G166" s="12" t="inlineStr">
        <is>
          <t>Monitoring accessible</t>
        </is>
      </c>
      <c r="H166" s="12" t="inlineStr">
        <is>
          <t>1. Capture refunds, park one and trigger a cap breach
2. Inspect the emitted metrics</t>
        </is>
      </c>
      <c r="I166" s="12" t="inlineStr">
        <is>
          <t>Metrics cover refunds captured per merchant per day, exposure total and trend, parked-refund count and age, and cap breaches</t>
        </is>
      </c>
      <c r="J166" s="13" t="inlineStr">
        <is>
          <t>Not Tested</t>
        </is>
      </c>
      <c r="K166" s="13" t="inlineStr">
        <is>
          <t>Observability</t>
        </is>
      </c>
    </row>
    <row r="167" ht="36" customHeight="1">
      <c r="A167" s="12" t="inlineStr">
        <is>
          <t>PoS Transactions V6.6.0 (EMI-5914)</t>
        </is>
      </c>
      <c r="B167" s="12" t="inlineStr">
        <is>
          <t>PoS Refunds</t>
        </is>
      </c>
      <c r="C167" s="12" t="inlineStr">
        <is>
          <t>Integrity</t>
        </is>
      </c>
      <c r="D167" s="13" t="inlineStr">
        <is>
          <t>TC-Refund-38</t>
        </is>
      </c>
      <c r="E167" s="12" t="inlineStr">
        <is>
          <t>Cumulative Cap Holds Under Concurrent Partial Refunds</t>
        </is>
      </c>
      <c r="F167" s="13" t="inlineStr">
        <is>
          <t>High</t>
        </is>
      </c>
      <c r="G167" s="12" t="inlineStr">
        <is>
          <t>An original sale with capacity for further partial refunds</t>
        </is>
      </c>
      <c r="H167" s="12" t="inlineStr">
        <is>
          <t>1. Submit several partial refunds concurrently whose combined total exceeds the original gross
2. Inspect which were admitted</t>
        </is>
      </c>
      <c r="I167" s="12" t="inlineStr">
        <is>
          <t>The database-level constraint, not application logic alone, admits only the refunds that keep the running total at or below the original gross; a race cannot inflate the exposure figure</t>
        </is>
      </c>
      <c r="J167" s="13" t="inlineStr">
        <is>
          <t>Not Tested</t>
        </is>
      </c>
      <c r="K167" s="13" t="inlineStr">
        <is>
          <t>Integration</t>
        </is>
      </c>
    </row>
    <row r="168" ht="36" customHeight="1">
      <c r="A168" s="12" t="inlineStr">
        <is>
          <t>PoS Transactions V6.6.0 (EMI-5914)</t>
        </is>
      </c>
      <c r="B168" s="12" t="inlineStr">
        <is>
          <t>PoS Refunds</t>
        </is>
      </c>
      <c r="C168" s="12" t="inlineStr">
        <is>
          <t>Open Question</t>
        </is>
      </c>
      <c r="D168" s="13" t="inlineStr">
        <is>
          <t>TC-Refund-39</t>
        </is>
      </c>
      <c r="E168" s="12" t="inlineStr">
        <is>
          <t>Refund Against a Pre-Settlement Original - Behaviour to Be Confirmed</t>
        </is>
      </c>
      <c r="F168" s="13" t="inlineStr">
        <is>
          <t>Medium</t>
        </is>
      </c>
      <c r="G168" s="12" t="inlineStr">
        <is>
          <t>An original captured but not yet settled</t>
        </is>
      </c>
      <c r="H168" s="12" t="inlineStr">
        <is>
          <t>1. Capture a REFUND against the pre-settlement original
2. Record the actual behaviour</t>
        </is>
      </c>
      <c r="I168" s="12" t="inlineStr">
        <is>
          <t>Current EMI-5918 acceptance criteria do not restrict refunds to settled originals; TC-Refund-34 expects capture with an Ops flag. An earlier suite expected rejection with USE_VOID. Confirm with Product which is correct, then keep one and retire the other</t>
        </is>
      </c>
      <c r="J168" s="13" t="inlineStr">
        <is>
          <t>Not Tested</t>
        </is>
      </c>
      <c r="K168" s="13" t="inlineStr">
        <is>
          <t>Open Question</t>
        </is>
      </c>
    </row>
    <row r="169" ht="36" customHeight="1">
      <c r="A169" s="12" t="inlineStr">
        <is>
          <t>PoS Transactions V6.6.0 (EMI-5914)</t>
        </is>
      </c>
      <c r="B169" s="12" t="inlineStr">
        <is>
          <t>PoS Refunds</t>
        </is>
      </c>
      <c r="C169" s="12" t="inlineStr">
        <is>
          <t>Open Question</t>
        </is>
      </c>
      <c r="D169" s="13" t="inlineStr">
        <is>
          <t>TC-Refund-40</t>
        </is>
      </c>
      <c r="E169" s="12" t="inlineStr">
        <is>
          <t>Commission on a Refunded Sale - Blocked on O43</t>
        </is>
      </c>
      <c r="F169" s="13" t="inlineStr">
        <is>
          <t>Medium</t>
        </is>
      </c>
      <c r="G169" s="12" t="inlineStr">
        <is>
          <t>A settled sale whose commission has been charged, then refunded</t>
        </is>
      </c>
      <c r="H169" s="12" t="inlineStr">
        <is>
          <t>1. Capture the refund
2. Inspect the original commission and VAT entries</t>
        </is>
      </c>
      <c r="I169" s="12" t="inlineStr">
        <is>
          <t>EMI-5918 states refund of MJD Pay commission follows O43 and is not designed. Assert only that the existing commission entries are left untouched and nothing is reversed speculatively. Re-scope this case once O43 is answered</t>
        </is>
      </c>
      <c r="J169" s="13" t="inlineStr">
        <is>
          <t>Not Tested</t>
        </is>
      </c>
      <c r="K169" s="13" t="inlineStr">
        <is>
          <t>Open Question</t>
        </is>
      </c>
    </row>
    <row r="170" ht="36" customHeight="1">
      <c r="A170" s="12" t="inlineStr">
        <is>
          <t>PoS Transactions V6.6.0 (EMI-5914)</t>
        </is>
      </c>
      <c r="B170" s="12" t="inlineStr">
        <is>
          <t>Void &amp; Technical Reversal</t>
        </is>
      </c>
      <c r="C170" s="12" t="inlineStr">
        <is>
          <t>Functional</t>
        </is>
      </c>
      <c r="D170" s="13" t="inlineStr">
        <is>
          <t>TC-Void-01</t>
        </is>
      </c>
      <c r="E170" s="12" t="inlineStr">
        <is>
          <t>Void transaction before settlement</t>
        </is>
      </c>
      <c r="F170" s="13" t="inlineStr">
        <is>
          <t>High</t>
        </is>
      </c>
      <c r="G170" s="12" t="inlineStr">
        <is>
          <t>Original sale is AWAITING_SETTLEMENT with merchant, commission, and VAT pending entries</t>
        </is>
      </c>
      <c r="H170" s="12" t="inlineStr">
        <is>
          <t>1. Send a valid same-batch void for the original transaction.
2. Process the void callback.
3. Retrieve transaction and wallet/batch records.</t>
        </is>
      </c>
      <c r="I170" s="12" t="inlineStr">
        <is>
          <t>Original transaction status becomes CANCELLED. Merchant pending amount is reversed. Commission pending amount is reversed. VAT pending amount is reversed. No money movement occurs. Transaction is excluded from batch settlement expectations.</t>
        </is>
      </c>
      <c r="J170" s="13" t="inlineStr">
        <is>
          <t>NA</t>
        </is>
      </c>
      <c r="K170" s="13" t="inlineStr">
        <is>
          <t>Functional</t>
        </is>
      </c>
    </row>
    <row r="171" ht="36" customHeight="1">
      <c r="A171" s="12" t="inlineStr">
        <is>
          <t>PoS Transactions V6.6.0 (EMI-5914)</t>
        </is>
      </c>
      <c r="B171" s="12" t="inlineStr">
        <is>
          <t>Void &amp; Technical Reversal</t>
        </is>
      </c>
      <c r="C171" s="12" t="inlineStr">
        <is>
          <t>Validation</t>
        </is>
      </c>
      <c r="D171" s="13" t="inlineStr">
        <is>
          <t>TC-Void-02</t>
        </is>
      </c>
      <c r="E171" s="12" t="inlineStr">
        <is>
          <t>Verify cancellation uses append-only reversal entries</t>
        </is>
      </c>
      <c r="F171" s="13" t="inlineStr">
        <is>
          <t>High</t>
        </is>
      </c>
      <c r="G171" s="12" t="inlineStr">
        <is>
          <t>Original transaction is AWAITING_SETTLEMENT</t>
        </is>
      </c>
      <c r="H171" s="12" t="inlineStr">
        <is>
          <t>1. Capture the original pending ledger entries.
2. Process a valid void/reversal.
3. Compare ledger records before and after cancellation.</t>
        </is>
      </c>
      <c r="I171" s="12" t="inlineStr">
        <is>
          <t>Original ledger entries remain unchanged. New reversal entries are appended for the merchant, commission, and VAT amounts. No existing ledger entry is updated or deleted.</t>
        </is>
      </c>
      <c r="J171" s="13" t="inlineStr">
        <is>
          <t>NA</t>
        </is>
      </c>
      <c r="K171" s="13" t="inlineStr">
        <is>
          <t>Negative</t>
        </is>
      </c>
    </row>
    <row r="172" ht="36" customHeight="1">
      <c r="A172" s="12" t="inlineStr">
        <is>
          <t>PoS Transactions V6.6.0 (EMI-5914)</t>
        </is>
      </c>
      <c r="B172" s="12" t="inlineStr">
        <is>
          <t>Void &amp; Technical Reversal</t>
        </is>
      </c>
      <c r="C172" s="12" t="inlineStr">
        <is>
          <t>Validation</t>
        </is>
      </c>
      <c r="D172" s="13" t="inlineStr">
        <is>
          <t>TC-Void-03</t>
        </is>
      </c>
      <c r="E172" s="12" t="inlineStr">
        <is>
          <t>Void/Reversal after settlement</t>
        </is>
      </c>
      <c r="F172" s="13" t="inlineStr">
        <is>
          <t>High</t>
        </is>
      </c>
      <c r="G172" s="12" t="inlineStr">
        <is>
          <t>Original transaction has already been settled</t>
        </is>
      </c>
      <c r="H172" s="12" t="inlineStr">
        <is>
          <t>1. Send a void or technical reversal for the settled transaction.
2. Process the request.
3. Check for an audit/log record of the rejection.</t>
        </is>
      </c>
      <c r="I172" s="12" t="inlineStr">
        <is>
          <t>Request returns 200 with a rejected result. Rejection reason is USE_REFUND. Original settled transaction remains unchanged. No reversal/pending-entry cancellation is created. Rejection is captured in the audit log.</t>
        </is>
      </c>
      <c r="J172" s="13" t="inlineStr">
        <is>
          <t>NA</t>
        </is>
      </c>
      <c r="K172" s="13" t="inlineStr">
        <is>
          <t>Negative</t>
        </is>
      </c>
    </row>
    <row r="173" ht="36" customHeight="1">
      <c r="A173" s="12" t="inlineStr">
        <is>
          <t>PoS Transactions V6.6.0 (EMI-5914)</t>
        </is>
      </c>
      <c r="B173" s="12" t="inlineStr">
        <is>
          <t>Void &amp; Technical Reversal</t>
        </is>
      </c>
      <c r="C173" s="12" t="inlineStr">
        <is>
          <t>Validation</t>
        </is>
      </c>
      <c r="D173" s="13" t="inlineStr">
        <is>
          <t>TC-Void-04</t>
        </is>
      </c>
      <c r="E173" s="12" t="inlineStr">
        <is>
          <t>Void transaction in an invalid lifecycle state</t>
        </is>
      </c>
      <c r="F173" s="13" t="inlineStr">
        <is>
          <t>High</t>
        </is>
      </c>
      <c r="G173" s="12" t="inlineStr">
        <is>
          <t>Original transaction is in a state other than AWAITING_SETTLEMENT or CANCELLED — e.g. PENDING_AUTH/INITIATED (not yet booked) or DECLINED</t>
        </is>
      </c>
      <c r="H173" s="12" t="inlineStr">
        <is>
          <t>1. Send a void request against a transaction in each listed state.
2. Process the request.</t>
        </is>
      </c>
      <c r="I173" s="12" t="inlineStr">
        <is>
          <t>Void is rejected according to lifecycle rules for that state. No pending balance is incorrectly released. No cancellation entries are created.</t>
        </is>
      </c>
      <c r="J173" s="13" t="inlineStr">
        <is>
          <t>NA</t>
        </is>
      </c>
      <c r="K173" s="13" t="inlineStr">
        <is>
          <t>Negative</t>
        </is>
      </c>
    </row>
    <row r="174" ht="36" customHeight="1">
      <c r="A174" s="12" t="inlineStr">
        <is>
          <t>PoS Transactions V6.6.0 (EMI-5914)</t>
        </is>
      </c>
      <c r="B174" s="12" t="inlineStr">
        <is>
          <t>Void &amp; Technical Reversal</t>
        </is>
      </c>
      <c r="C174" s="12" t="inlineStr">
        <is>
          <t>Routing</t>
        </is>
      </c>
      <c r="D174" s="13" t="inlineStr">
        <is>
          <t>TC-Void-05</t>
        </is>
      </c>
      <c r="E174" s="12" t="inlineStr">
        <is>
          <t>Reversal received before original (valid reference)</t>
        </is>
      </c>
      <c r="F174" s="13" t="inlineStr">
        <is>
          <t>High</t>
        </is>
      </c>
      <c r="G174" s="12" t="inlineStr">
        <is>
          <t>No original transaction exists yet when the reversal is received; reference format is valid and will eventually match a real transaction</t>
        </is>
      </c>
      <c r="H174" s="12" t="inlineStr">
        <is>
          <t>1. Send technical reversal with a valid transaction reference.
2. Verify ingestion/parking record.
3. Verify transaction state during the parking period.</t>
        </is>
      </c>
      <c r="I174" s="12" t="inlineStr">
        <is>
          <t>Reversal is accepted and parked for up to 48 hours. No wallet/ledger cancellation is performed because the original transaction does not yet exist. No erroneous money movement occurs.</t>
        </is>
      </c>
      <c r="J174" s="13" t="inlineStr">
        <is>
          <t>NA</t>
        </is>
      </c>
      <c r="K174" s="13" t="inlineStr">
        <is>
          <t>Functional</t>
        </is>
      </c>
    </row>
    <row r="175" ht="36" customHeight="1">
      <c r="A175" s="12" t="inlineStr">
        <is>
          <t>PoS Transactions V6.6.0 (EMI-5914)</t>
        </is>
      </c>
      <c r="B175" s="12" t="inlineStr">
        <is>
          <t>Void &amp; Technical Reversal</t>
        </is>
      </c>
      <c r="C175" s="12" t="inlineStr">
        <is>
          <t>Validation</t>
        </is>
      </c>
      <c r="D175" s="13" t="inlineStr">
        <is>
          <t>TC-Void-06</t>
        </is>
      </c>
      <c r="E175" s="12" t="inlineStr">
        <is>
          <t>Reversal/void with an invalid or malformed transaction reference</t>
        </is>
      </c>
      <c r="F175" s="13" t="inlineStr">
        <is>
          <t>High</t>
        </is>
      </c>
      <c r="G175" s="12" t="inlineStr">
        <is>
          <t>Reversal/void payload references a transaction ID that is structurally invalid or can never resolve to a real transaction</t>
        </is>
      </c>
      <c r="H175" s="12" t="inlineStr">
        <is>
          <t>1. Send technical reversal/void with a malformed or non-existent reference.
2. Process the request.</t>
        </is>
      </c>
      <c r="I175" s="12" t="inlineStr">
        <is>
          <t>Request is rejected at ingestion/validation with an explicit error. It is NOT parked — an invalid reference can never be matched to an original. No parking record, wallet entry, or ledger entry is created.</t>
        </is>
      </c>
      <c r="J175" s="13" t="inlineStr">
        <is>
          <t>NA</t>
        </is>
      </c>
      <c r="K175" s="13" t="inlineStr">
        <is>
          <t>Negative</t>
        </is>
      </c>
    </row>
    <row r="176" ht="36" customHeight="1">
      <c r="A176" s="12" t="inlineStr">
        <is>
          <t>PoS Transactions V6.6.0 (EMI-5914)</t>
        </is>
      </c>
      <c r="B176" s="12" t="inlineStr">
        <is>
          <t>Void &amp; Technical Reversal</t>
        </is>
      </c>
      <c r="C176" s="12" t="inlineStr">
        <is>
          <t>Routing</t>
        </is>
      </c>
      <c r="D176" s="13" t="inlineStr">
        <is>
          <t>TC-Void-07</t>
        </is>
      </c>
      <c r="E176" s="12" t="inlineStr">
        <is>
          <t>Reversal received before original, then original arrives</t>
        </is>
      </c>
      <c r="F176" s="13" t="inlineStr">
        <is>
          <t>Critical</t>
        </is>
      </c>
      <c r="G176" s="12" t="inlineStr">
        <is>
          <t>Reversal is parked and still within 48-hour window</t>
        </is>
      </c>
      <c r="H176" s="12" t="inlineStr">
        <is>
          <t>1. Submit technical reversal.
2. Submit the matching original transaction before the parking window expires.
3. Process the parked reversal.</t>
        </is>
      </c>
      <c r="I176" s="12" t="inlineStr">
        <is>
          <t>Parked reversal is matched to the original. Original is cancelled according to the pre-settlement cancellation rules. Pending merchant, commission, and VAT amounts are reversed through append-only entries. Transaction is excluded from settlement expectations.</t>
        </is>
      </c>
      <c r="J176" s="13" t="inlineStr">
        <is>
          <t>NA</t>
        </is>
      </c>
      <c r="K176" s="13" t="inlineStr">
        <is>
          <t>Functional</t>
        </is>
      </c>
    </row>
    <row r="177" ht="36" customHeight="1">
      <c r="A177" s="12" t="inlineStr">
        <is>
          <t>PoS Transactions V6.6.0 (EMI-5914)</t>
        </is>
      </c>
      <c r="B177" s="12" t="inlineStr">
        <is>
          <t>Void &amp; Technical Reversal</t>
        </is>
      </c>
      <c r="C177" s="12" t="inlineStr">
        <is>
          <t>Routing</t>
        </is>
      </c>
      <c r="D177" s="13" t="inlineStr">
        <is>
          <t>TC-Void-08</t>
        </is>
      </c>
      <c r="E177" s="12" t="inlineStr">
        <is>
          <t>Reversal received before original and original never arrives</t>
        </is>
      </c>
      <c r="F177" s="13" t="inlineStr">
        <is>
          <t>High</t>
        </is>
      </c>
      <c r="G177" s="12" t="inlineStr">
        <is>
          <t>Reversal is parked</t>
        </is>
      </c>
      <c r="H177" s="12" t="inlineStr">
        <is>
          <t>1. Submit technical reversal.
2. Do not submit the original transaction.
3. Advance/process beyond the 48-hour parking window.</t>
        </is>
      </c>
      <c r="I177" s="12" t="inlineStr">
        <is>
          <t>Parked reversal is closed as a no-op. No wallet/ledger entry is created. No transaction is created or cancelled. No money movement occurs. Audit entry retained.</t>
        </is>
      </c>
      <c r="J177" s="13" t="inlineStr">
        <is>
          <t>NA</t>
        </is>
      </c>
      <c r="K177" s="13" t="inlineStr">
        <is>
          <t>Functional</t>
        </is>
      </c>
    </row>
    <row r="178" ht="36" customHeight="1">
      <c r="A178" s="12" t="inlineStr">
        <is>
          <t>PoS Transactions V6.6.0 (EMI-5914)</t>
        </is>
      </c>
      <c r="B178" s="12" t="inlineStr">
        <is>
          <t>Void &amp; Technical Reversal</t>
        </is>
      </c>
      <c r="C178" s="12" t="inlineStr">
        <is>
          <t>Routing</t>
        </is>
      </c>
      <c r="D178" s="13" t="inlineStr">
        <is>
          <t>TC-Void-09</t>
        </is>
      </c>
      <c r="E178" s="12" t="inlineStr">
        <is>
          <t>Parking window boundary — original arrives right at the 48h edge</t>
        </is>
      </c>
      <c r="F178" s="13" t="inlineStr">
        <is>
          <t>High</t>
        </is>
      </c>
      <c r="G178" s="12" t="inlineStr">
        <is>
          <t>Reversal is parked; test harness/clock can control elapsed time precisely</t>
        </is>
      </c>
      <c r="H178" s="12" t="inlineStr">
        <is>
          <t>1. Submit technical reversal.
2. Submit the original at 47h59m — verify it still matches.
3. Repeat with a fresh reversal; submit the original at 48h01m — verify the window has already closed and it does not match.</t>
        </is>
      </c>
      <c r="I178" s="12" t="inlineStr">
        <is>
          <t>Original arriving before the 48h boundary matches and triggers cancellation per AC3. Original arriving after the boundary does not match; the reversal has already closed as no-op and the late original processes as a normal (non-reversed) transaction.</t>
        </is>
      </c>
      <c r="J178" s="13" t="inlineStr">
        <is>
          <t>NA</t>
        </is>
      </c>
      <c r="K178" s="13" t="inlineStr">
        <is>
          <t>Edge / Boundary</t>
        </is>
      </c>
    </row>
    <row r="179" ht="36" customHeight="1">
      <c r="A179" s="12" t="inlineStr">
        <is>
          <t>PoS Transactions V6.6.0 (EMI-5914)</t>
        </is>
      </c>
      <c r="B179" s="12" t="inlineStr">
        <is>
          <t>Void &amp; Technical Reversal</t>
        </is>
      </c>
      <c r="C179" s="12" t="inlineStr">
        <is>
          <t>Idempotency</t>
        </is>
      </c>
      <c r="D179" s="13" t="inlineStr">
        <is>
          <t>TC-Void-10</t>
        </is>
      </c>
      <c r="E179" s="12" t="inlineStr">
        <is>
          <t>Duplicate void or technical reversal</t>
        </is>
      </c>
      <c r="F179" s="13" t="inlineStr">
        <is>
          <t>Critical</t>
        </is>
      </c>
      <c r="G179" s="12" t="inlineStr">
        <is>
          <t>Original transaction is AWAITING_SETTLEMENT</t>
        </is>
      </c>
      <c r="H179" s="12" t="inlineStr">
        <is>
          <t>1. Submit a valid void/reversal.
2. Process it successfully.
3. Submit the same void/reversal again using the same idempotency/reference information.</t>
        </is>
      </c>
      <c r="I179" s="12" t="inlineStr">
        <is>
          <t>First request cancels the transaction. Second request is handled idempotently. No second cancellation occurs. No duplicate reversal entries are created. Final status remains CANCELLED.</t>
        </is>
      </c>
      <c r="J179" s="13" t="inlineStr">
        <is>
          <t>NA</t>
        </is>
      </c>
      <c r="K179" s="13" t="inlineStr">
        <is>
          <t>Integration</t>
        </is>
      </c>
    </row>
    <row r="180" ht="36" customHeight="1">
      <c r="A180" s="12" t="inlineStr">
        <is>
          <t>PoS Transactions V6.6.0 (EMI-5914)</t>
        </is>
      </c>
      <c r="B180" s="12" t="inlineStr">
        <is>
          <t>Void &amp; Technical Reversal</t>
        </is>
      </c>
      <c r="C180" s="12" t="inlineStr">
        <is>
          <t>Functional</t>
        </is>
      </c>
      <c r="D180" s="13" t="inlineStr">
        <is>
          <t>TC-Void-11</t>
        </is>
      </c>
      <c r="E180" s="12" t="inlineStr">
        <is>
          <t>Wallet-payment technical reversal</t>
        </is>
      </c>
      <c r="F180" s="13" t="inlineStr">
        <is>
          <t>Critical</t>
        </is>
      </c>
      <c r="G180" s="12" t="inlineStr">
        <is>
          <t>Wallet payment transaction is in the applicable pre-settlement lifecycle state</t>
        </is>
      </c>
      <c r="H180" s="12" t="inlineStr">
        <is>
          <t>1. Create/process a wallet payment.
2. Trigger a technical reversal.
3. Verify transaction and wallet lifecycle states.</t>
        </is>
      </c>
      <c r="I180" s="12" t="inlineStr">
        <is>
          <t>Lifecycle failure release is executed. Merchant/customer/related wallet state returns to the defined starting state per Transaction-Lifecycle-Contract Example E. Reserved/pending amounts are released. No residual financial impact remains.</t>
        </is>
      </c>
      <c r="J180" s="13" t="inlineStr">
        <is>
          <t>NA</t>
        </is>
      </c>
      <c r="K180" s="13" t="inlineStr">
        <is>
          <t>Negative</t>
        </is>
      </c>
    </row>
    <row r="181" ht="36" customHeight="1">
      <c r="A181" s="12" t="inlineStr">
        <is>
          <t>PoS Transactions V6.6.0 (EMI-5914)</t>
        </is>
      </c>
      <c r="B181" s="12" t="inlineStr">
        <is>
          <t>Void &amp; Technical Reversal</t>
        </is>
      </c>
      <c r="C181" s="12" t="inlineStr">
        <is>
          <t>Functional</t>
        </is>
      </c>
      <c r="D181" s="13" t="inlineStr">
        <is>
          <t>TC-Void-12</t>
        </is>
      </c>
      <c r="E181" s="12" t="inlineStr">
        <is>
          <t>Cancellation removes transaction from batch expectations</t>
        </is>
      </c>
      <c r="F181" s="13" t="inlineStr">
        <is>
          <t>Critical</t>
        </is>
      </c>
      <c r="G181" s="12" t="inlineStr">
        <is>
          <t>Transaction is included in the current unsettled batch</t>
        </is>
      </c>
      <c r="H181" s="12" t="inlineStr">
        <is>
          <t>1. Confirm transaction contributes to batch expectations.
2. Process a valid pre-settlement void/reversal.
3. Recalculate/retrieve batch totals.</t>
        </is>
      </c>
      <c r="I181" s="12" t="inlineStr">
        <is>
          <t>Transaction is marked CANCELLED. It is excluded from expected settlement totals. Merchant, commission, and VAT pending totals are adjusted accordingly. No cancelled amount is settled.</t>
        </is>
      </c>
      <c r="J181" s="13" t="inlineStr">
        <is>
          <t>NA</t>
        </is>
      </c>
      <c r="K181" s="13" t="inlineStr">
        <is>
          <t>Functional</t>
        </is>
      </c>
    </row>
    <row r="182" ht="36" customHeight="1">
      <c r="A182" s="12" t="inlineStr">
        <is>
          <t>PoS Transactions V6.6.0 (EMI-5914)</t>
        </is>
      </c>
      <c r="B182" s="12" t="inlineStr">
        <is>
          <t>Void &amp; Technical Reversal</t>
        </is>
      </c>
      <c r="C182" s="12" t="inlineStr">
        <is>
          <t>Race Condition</t>
        </is>
      </c>
      <c r="D182" s="13" t="inlineStr">
        <is>
          <t>TC-Void-13</t>
        </is>
      </c>
      <c r="E182" s="12" t="inlineStr">
        <is>
          <t>Reversal arrives just before settlement</t>
        </is>
      </c>
      <c r="F182" s="13" t="inlineStr">
        <is>
          <t>Critical</t>
        </is>
      </c>
      <c r="G182" s="12" t="inlineStr">
        <is>
          <t>Original transaction is AWAITING_SETTLEMENT and eligible for cancellation</t>
        </is>
      </c>
      <c r="H182" s="12" t="inlineStr">
        <is>
          <t>1. Submit reversal immediately before settlement processing.
2. Process both events according to their arrival/order.
3. Verify final transaction and ledger state.</t>
        </is>
      </c>
      <c r="I182" s="12" t="inlineStr">
        <is>
          <t>System maintains a consistent final state. Transaction must not result in both settlement and cancellation financial effects. Only one valid lifecycle transition is applied. No double debit/credit occurs.</t>
        </is>
      </c>
      <c r="J182" s="13" t="inlineStr">
        <is>
          <t>NA</t>
        </is>
      </c>
      <c r="K182" s="13" t="inlineStr">
        <is>
          <t>Functional</t>
        </is>
      </c>
    </row>
    <row r="183" ht="36" customHeight="1">
      <c r="A183" s="12" t="inlineStr">
        <is>
          <t>PoS Transactions V6.6.0 (EMI-5914)</t>
        </is>
      </c>
      <c r="B183" s="12" t="inlineStr">
        <is>
          <t>Void &amp; Technical Reversal</t>
        </is>
      </c>
      <c r="C183" s="12" t="inlineStr">
        <is>
          <t>Idempotency</t>
        </is>
      </c>
      <c r="D183" s="13" t="inlineStr">
        <is>
          <t>TC-Void-14</t>
        </is>
      </c>
      <c r="E183" s="12" t="inlineStr">
        <is>
          <t>Multiple duplicate reversals during parking</t>
        </is>
      </c>
      <c r="F183" s="13" t="inlineStr">
        <is>
          <t>High</t>
        </is>
      </c>
      <c r="G183" s="12" t="inlineStr">
        <is>
          <t>Original transaction does not yet exist</t>
        </is>
      </c>
      <c r="H183" s="12" t="inlineStr">
        <is>
          <t>1. Submit the same reversal multiple times before original arrival.
2. Verify parking records.
3. Allow the parking process to complete without an original.</t>
        </is>
      </c>
      <c r="I183" s="12" t="inlineStr">
        <is>
          <t>Reversal remains idempotent. Only one logical parked reversal exists/controls processing. After 48 hours, it closes as one no-op. No financial entries are generated.</t>
        </is>
      </c>
      <c r="J183" s="13" t="inlineStr">
        <is>
          <t>NA</t>
        </is>
      </c>
      <c r="K183" s="13" t="inlineStr">
        <is>
          <t>Integration</t>
        </is>
      </c>
    </row>
    <row r="184" ht="36" customHeight="1">
      <c r="A184" s="12" t="inlineStr">
        <is>
          <t>PoS Transactions V6.6.0 (EMI-5914)</t>
        </is>
      </c>
      <c r="B184" s="12" t="inlineStr">
        <is>
          <t>Void &amp; Technical Reversal</t>
        </is>
      </c>
      <c r="C184" s="12" t="inlineStr">
        <is>
          <t>Concurrency</t>
        </is>
      </c>
      <c r="D184" s="13" t="inlineStr">
        <is>
          <t>TC-Void-15</t>
        </is>
      </c>
      <c r="E184" s="12" t="inlineStr">
        <is>
          <t>Concurrent void/reversal requests</t>
        </is>
      </c>
      <c r="F184" s="13" t="inlineStr">
        <is>
          <t>Critical</t>
        </is>
      </c>
      <c r="G184" s="12" t="inlineStr">
        <is>
          <t>Original transaction is AWAITING_SETTLEMENT</t>
        </is>
      </c>
      <c r="H184" s="12" t="inlineStr">
        <is>
          <t>1. Submit void and technical reversal concurrently for the same transaction.
2. Process both requests.</t>
        </is>
      </c>
      <c r="I184" s="12" t="inlineStr">
        <is>
          <t>Only one cancellation takes financial effect. Transaction ends in CANCELLED. No duplicate reversal entries are generated. Pending amounts are released exactly once. Batch totals remain correct.</t>
        </is>
      </c>
      <c r="J184" s="13" t="inlineStr">
        <is>
          <t>NA</t>
        </is>
      </c>
      <c r="K184" s="13" t="inlineStr">
        <is>
          <t>Integration</t>
        </is>
      </c>
    </row>
    <row r="185" ht="36" customHeight="1">
      <c r="A185" s="12" t="inlineStr">
        <is>
          <t>PoS Transactions V6.6.0 (EMI-5914)</t>
        </is>
      </c>
      <c r="B185" s="12" t="inlineStr">
        <is>
          <t>Void &amp; Technical Reversal</t>
        </is>
      </c>
      <c r="C185" s="12" t="inlineStr">
        <is>
          <t>Audit</t>
        </is>
      </c>
      <c r="D185" s="13" t="inlineStr">
        <is>
          <t>TC-Void-16</t>
        </is>
      </c>
      <c r="E185" s="12" t="inlineStr">
        <is>
          <t>Verify no money movement after cancellation</t>
        </is>
      </c>
      <c r="F185" s="13" t="inlineStr">
        <is>
          <t>Critical</t>
        </is>
      </c>
      <c r="G185" s="12" t="inlineStr">
        <is>
          <t>Original transaction is AWAITING_SETTLEMENT</t>
        </is>
      </c>
      <c r="H185" s="12" t="inlineStr">
        <is>
          <t>1. Record wallet balances before cancellation.
2. Process void/reversal.
3. Compare balances and ledger entries.</t>
        </is>
      </c>
      <c r="I185" s="12" t="inlineStr">
        <is>
          <t>Cancellation only reverses pending/reserved amounts. No unintended debit/credit is posted as a new money movement. Final available balance matches the expected pre-transaction state.</t>
        </is>
      </c>
      <c r="J185" s="13" t="inlineStr">
        <is>
          <t>NA</t>
        </is>
      </c>
      <c r="K185" s="13" t="inlineStr">
        <is>
          <t>Security</t>
        </is>
      </c>
    </row>
    <row r="186" ht="36" customHeight="1">
      <c r="A186" s="12" t="inlineStr">
        <is>
          <t>PoS Transactions V6.6.0 (EMI-5914)</t>
        </is>
      </c>
      <c r="B186" s="12" t="inlineStr">
        <is>
          <t>Void &amp; Technical Reversal</t>
        </is>
      </c>
      <c r="C186" s="12" t="inlineStr">
        <is>
          <t>Idempotency</t>
        </is>
      </c>
      <c r="D186" s="13" t="inlineStr">
        <is>
          <t>TC-Void-17</t>
        </is>
      </c>
      <c r="E186" s="12" t="inlineStr">
        <is>
          <t>Callback replay after successful cancellation</t>
        </is>
      </c>
      <c r="F186" s="13" t="inlineStr">
        <is>
          <t>High</t>
        </is>
      </c>
      <c r="G186" s="12" t="inlineStr">
        <is>
          <t>Transaction has already been cancelled</t>
        </is>
      </c>
      <c r="H186" s="12" t="inlineStr">
        <is>
          <t>1. Replay the original void/reversal callback.
2. Process the callback multiple times.</t>
        </is>
      </c>
      <c r="I186" s="12" t="inlineStr">
        <is>
          <t>Callback processing is idempotent. Status remains CANCELLED. No additional ledger entries or batch adjustments are generated.</t>
        </is>
      </c>
      <c r="J186" s="13" t="inlineStr">
        <is>
          <t>NA</t>
        </is>
      </c>
      <c r="K186" s="13" t="inlineStr">
        <is>
          <t>Integration</t>
        </is>
      </c>
    </row>
    <row r="187" ht="36" customHeight="1">
      <c r="A187" s="12" t="inlineStr">
        <is>
          <t>PoS Transactions V6.6.0 (EMI-5914)</t>
        </is>
      </c>
      <c r="B187" s="12" t="inlineStr">
        <is>
          <t>Void &amp; Technical Reversal</t>
        </is>
      </c>
      <c r="C187" s="12" t="inlineStr">
        <is>
          <t>Reliability</t>
        </is>
      </c>
      <c r="D187" s="13" t="inlineStr">
        <is>
          <t>TC-Void-18</t>
        </is>
      </c>
      <c r="E187" s="12" t="inlineStr">
        <is>
          <t>Ledger persistence failure</t>
        </is>
      </c>
      <c r="F187" s="13" t="inlineStr">
        <is>
          <t>Critical</t>
        </is>
      </c>
      <c r="G187" s="12" t="inlineStr">
        <is>
          <t>Original transaction is AWAITING_SETTLEMENT</t>
        </is>
      </c>
      <c r="H187" s="12" t="inlineStr">
        <is>
          <t>1. Send a valid void.
2. Simulate DB failure during reversal entry write.
3. Check transaction status and ledger entries.</t>
        </is>
      </c>
      <c r="I187" s="12" t="inlineStr">
        <is>
          <t>Transaction remains AWAITING_SETTLEMENT (or a defined error state). No partial cancellation allowed. System triggers retry or alerts Ops without corrupting financial state.</t>
        </is>
      </c>
      <c r="J187" s="13" t="inlineStr">
        <is>
          <t>NA</t>
        </is>
      </c>
      <c r="K187" s="13" t="inlineStr">
        <is>
          <t>Negative</t>
        </is>
      </c>
    </row>
    <row r="188" ht="36" customHeight="1">
      <c r="A188" s="12" t="inlineStr">
        <is>
          <t>PoS Transactions V6.6.0 (EMI-5914)</t>
        </is>
      </c>
      <c r="B188" s="12" t="inlineStr">
        <is>
          <t>Void &amp; Technical Reversal</t>
        </is>
      </c>
      <c r="C188" s="12" t="inlineStr">
        <is>
          <t>Validation</t>
        </is>
      </c>
      <c r="D188" s="13" t="inlineStr">
        <is>
          <t>TC-Void-19</t>
        </is>
      </c>
      <c r="E188" s="12" t="inlineStr">
        <is>
          <t>Partial void / partial-amount reversal request</t>
        </is>
      </c>
      <c r="F188" s="13" t="inlineStr">
        <is>
          <t>High</t>
        </is>
      </c>
      <c r="G188" s="12" t="inlineStr">
        <is>
          <t>Original sale is AWAITING_SETTLEMENT for full amount X</t>
        </is>
      </c>
      <c r="H188" s="12" t="inlineStr">
        <is>
          <t>1. Send a void/reversal request specifying an amount less than the original transaction total.
2. Process the request.</t>
        </is>
      </c>
      <c r="I188" s="12" t="inlineStr">
        <is>
          <t>Behavior is undefined in this ticket's AC/T01–T04. Expected until confirmed: request is rejected outright (full-amount-only same-batch void). No partial cancellation entries are created until behavior is confirmed with the story owner.</t>
        </is>
      </c>
      <c r="J188" s="13" t="inlineStr">
        <is>
          <t>NA</t>
        </is>
      </c>
      <c r="K188" s="13" t="inlineStr">
        <is>
          <t>Negative</t>
        </is>
      </c>
    </row>
    <row r="189" ht="36" customHeight="1">
      <c r="A189" s="12" t="inlineStr">
        <is>
          <t>PoS Transactions V6.6.0 (EMI-5914)</t>
        </is>
      </c>
      <c r="B189" s="12" t="inlineStr">
        <is>
          <t>Recon &amp; Three-Way Match</t>
        </is>
      </c>
      <c r="C189" s="12" t="inlineStr">
        <is>
          <t>Functional</t>
        </is>
      </c>
      <c r="D189" s="13" t="inlineStr">
        <is>
          <t>TC-Recon-01</t>
        </is>
      </c>
      <c r="E189" s="12" t="inlineStr">
        <is>
          <t>Happy Path – Full Three-Way Match (TR_SLIP)</t>
        </is>
      </c>
      <c r="F189" s="13" t="inlineStr">
        <is>
          <t>Critical</t>
        </is>
      </c>
      <c r="G189" s="12" t="inlineStr">
        <is>
          <t>Valid closed TR_SLIP; PTS rows exist; ledger records exist; a credit-statement record is present in test data whose reference exactly equals TR_SLIP (per the O19/O22 assumption that the reference survives to the credit unaltered); credit = sum of TOTAL_AMOUNT</t>
        </is>
      </c>
      <c r="H189" s="12" t="inlineStr">
        <is>
          <t>1. Run reconciliation.
2. Compare credit reference with TR_SLIP.
3. Compare credit amount with configured net total.
4. Verify ledger members via composite key.
5. Execute EOD cut-off.</t>
        </is>
      </c>
      <c r="I189" s="12" t="inlineStr">
        <is>
          <t>TR_SLIP is matched successfully across all three legs (ledger, PTS, credit). Slip marked Matched &amp; Funded. Included in EMI-5922 handoff at EOD cut-off. Note: per the story's primary risk, this full three-way outcome depends on O19/O22 being confirmed – until ANB answers, this scenario is only provable with an assumed/simulated leg-3 reference; see TC-27 for the two-way-only fallback.</t>
        </is>
      </c>
      <c r="J189" s="13" t="inlineStr">
        <is>
          <t>NA</t>
        </is>
      </c>
      <c r="K189" s="13" t="inlineStr">
        <is>
          <t>Functional</t>
        </is>
      </c>
    </row>
    <row r="190" ht="36" customHeight="1">
      <c r="A190" s="12" t="inlineStr">
        <is>
          <t>PoS Transactions V6.6.0 (EMI-5914)</t>
        </is>
      </c>
      <c r="B190" s="12" t="inlineStr">
        <is>
          <t>Recon &amp; Three-Way Match</t>
        </is>
      </c>
      <c r="C190" s="12" t="inlineStr">
        <is>
          <t>Functional</t>
        </is>
      </c>
      <c r="D190" s="13" t="inlineStr">
        <is>
          <t>TC-Recon-02</t>
        </is>
      </c>
      <c r="E190" s="12" t="inlineStr">
        <is>
          <t>Net Expected Total Calculation &amp; Gross-to-Net Bridge</t>
        </is>
      </c>
      <c r="F190" s="13" t="inlineStr">
        <is>
          <t>Critical</t>
        </is>
      </c>
      <c r="G190" s="12" t="inlineStr">
        <is>
          <t>Sample slip per ANB spec (EMI-5920 data sample): TR_SLIP=78759970, TERMINAL_ID=1653490501111111, LOCALDATE=05/06/2026, row1 AMOUNT=100.00/TR_COM=-0.40/TR_VAT=-0.21/TR_FEE=1.00... i.e. Gross=350.00, ANB deductions=4.14, TOTAL_AMOUNT sum=345.86; configured basis = Net (assumed, O23)</t>
        </is>
      </c>
      <c r="H190" s="12" t="inlineStr">
        <is>
          <t>1. Ingest slip.
2. Run reconciliation.
3. Inspect calculated totals and safeguarding report.</t>
        </is>
      </c>
      <c r="I190" s="12" t="inlineStr">
        <is>
          <t>Expected credit = 345.86. Gross, ANB deductions (TR_COM, TR_VAT, TR_FEE), and net are stored independently. Gross − ANB deductions = Net to the halalah. No MJD Pay commission is included.</t>
        </is>
      </c>
      <c r="J190" s="13" t="inlineStr">
        <is>
          <t>NA</t>
        </is>
      </c>
      <c r="K190" s="13" t="inlineStr">
        <is>
          <t>Functional</t>
        </is>
      </c>
    </row>
    <row r="191" ht="36" customHeight="1">
      <c r="A191" s="12" t="inlineStr">
        <is>
          <t>PoS Transactions V6.6.0 (EMI-5914)</t>
        </is>
      </c>
      <c r="B191" s="12" t="inlineStr">
        <is>
          <t>Recon &amp; Three-Way Match</t>
        </is>
      </c>
      <c r="C191" s="12" t="inlineStr">
        <is>
          <t>Functional</t>
        </is>
      </c>
      <c r="D191" s="13" t="inlineStr">
        <is>
          <t>TC-Recon-03</t>
        </is>
      </c>
      <c r="E191" s="12" t="inlineStr">
        <is>
          <t>Member Resolution Using Composite Key</t>
        </is>
      </c>
      <c r="F191" s="13" t="inlineStr">
        <is>
          <t>High</t>
        </is>
      </c>
      <c r="G191" s="12" t="inlineStr">
        <is>
          <t>Matching PTS row and ledger record have identical TERMINAL_ID, TR_ARF, LOCALDATE</t>
        </is>
      </c>
      <c r="H191" s="12" t="inlineStr">
        <is>
          <t>1. Run reconciliation.
2. Verify member resolution.
3. Across a batch, measure the auto-match rate.</t>
        </is>
      </c>
      <c r="I191" s="12" t="inlineStr">
        <is>
          <t>Transaction resolves automatically using the composite key (TERMINAL_ID + TR_ARF + LOCALDATE). No merchant-level decomposition or amount-based fallback is used. Auto-match rate across the batch is ≥ 99.5% (acceptance-criteria target).</t>
        </is>
      </c>
      <c r="J191" s="13" t="inlineStr">
        <is>
          <t>NA</t>
        </is>
      </c>
      <c r="K191" s="13" t="inlineStr">
        <is>
          <t>Functional</t>
        </is>
      </c>
    </row>
    <row r="192" ht="36" customHeight="1">
      <c r="A192" s="12" t="inlineStr">
        <is>
          <t>PoS Transactions V6.6.0 (EMI-5914)</t>
        </is>
      </c>
      <c r="B192" s="12" t="inlineStr">
        <is>
          <t>Recon &amp; Three-Way Match</t>
        </is>
      </c>
      <c r="C192" s="12" t="inlineStr">
        <is>
          <t>Validation</t>
        </is>
      </c>
      <c r="D192" s="13" t="inlineStr">
        <is>
          <t>TC-Recon-04</t>
        </is>
      </c>
      <c r="E192" s="12" t="inlineStr">
        <is>
          <t>Composite Key Mismatch</t>
        </is>
      </c>
      <c r="F192" s="13" t="inlineStr">
        <is>
          <t>High</t>
        </is>
      </c>
      <c r="G192" s="12" t="inlineStr">
        <is>
          <t>One component of the composite key differs between PTS and ledger</t>
        </is>
      </c>
      <c r="H192" s="12" t="inlineStr">
        <is>
          <t>1. Change TERMINAL_ID, TR_ARF, or LOCALDATE in ledger test data.
2. Run reconciliation.</t>
        </is>
      </c>
      <c r="I192" s="12" t="inlineStr">
        <is>
          <t>Transaction is not incorrectly matched. Mismatch is reported. No fuzzy/amount-based fallback occurs.</t>
        </is>
      </c>
      <c r="J192" s="13" t="inlineStr">
        <is>
          <t>NA</t>
        </is>
      </c>
      <c r="K192" s="13" t="inlineStr">
        <is>
          <t>Negative</t>
        </is>
      </c>
    </row>
    <row r="193" ht="36" customHeight="1">
      <c r="A193" s="12" t="inlineStr">
        <is>
          <t>PoS Transactions V6.6.0 (EMI-5914)</t>
        </is>
      </c>
      <c r="B193" s="12" t="inlineStr">
        <is>
          <t>Recon &amp; Three-Way Match</t>
        </is>
      </c>
      <c r="C193" s="12" t="inlineStr">
        <is>
          <t>Exception</t>
        </is>
      </c>
      <c r="D193" s="13" t="inlineStr">
        <is>
          <t>TC-Recon-05</t>
        </is>
      </c>
      <c r="E193" s="12" t="inlineStr">
        <is>
          <t>Ledger Entry Missing From PTS – E13</t>
        </is>
      </c>
      <c r="F193" s="13" t="inlineStr">
        <is>
          <t>Critical</t>
        </is>
      </c>
      <c r="G193" s="12" t="inlineStr">
        <is>
          <t>Ledger contains a transaction that does not exist in any eligible PTS slip</t>
        </is>
      </c>
      <c r="H193" s="12" t="inlineStr">
        <is>
          <t>1. Run reconciliation.
2. Keep entry unresolved.
3. Advance three working days.</t>
        </is>
      </c>
      <c r="I193" s="12" t="inlineStr">
        <is>
          <t>Entry classified as E13. Remains pending initially. After 3 working days becomes DISPUTED. Unrelated transactions continue normally. E13 rate is fed into the integrity trend (see TC-22/TC-31).</t>
        </is>
      </c>
      <c r="J193" s="13" t="inlineStr">
        <is>
          <t>NA</t>
        </is>
      </c>
      <c r="K193" s="13" t="inlineStr">
        <is>
          <t>Negative</t>
        </is>
      </c>
    </row>
    <row r="194" ht="36" customHeight="1">
      <c r="A194" s="12" t="inlineStr">
        <is>
          <t>PoS Transactions V6.6.0 (EMI-5914)</t>
        </is>
      </c>
      <c r="B194" s="12" t="inlineStr">
        <is>
          <t>Recon &amp; Three-Way Match</t>
        </is>
      </c>
      <c r="C194" s="12" t="inlineStr">
        <is>
          <t>Exception</t>
        </is>
      </c>
      <c r="D194" s="13" t="inlineStr">
        <is>
          <t>TC-Recon-06</t>
        </is>
      </c>
      <c r="E194" s="12" t="inlineStr">
        <is>
          <t>PTS Row Unresolved Against Ledger (Cross-Party Integrity Signal)</t>
        </is>
      </c>
      <c r="F194" s="13" t="inlineStr">
        <is>
          <t>High</t>
        </is>
      </c>
      <c r="G194" s="12" t="inlineStr">
        <is>
          <t>PTS contains a valid row for which no ledger/BT transaction exists</t>
        </is>
      </c>
      <c r="H194" s="12" t="inlineStr">
        <is>
          <t>1. Run member resolution.
2. Review reconciliation result.</t>
        </is>
      </c>
      <c r="I194" s="12" t="inlineStr">
        <is>
          <t>PTS row cannot be resolved to ledger via the composite key. Mismatch recorded with evidence; other rows continue; no amount-based matching attempted. Per EMI-5920 Section G, this is a cross-party integrity signal (BT layer vs PTS) rather than one of the defined match-level exception codes (E13/E15/E16/E18/E19) – the corresponding stale-entry classification is owned by EMI-5991, not this story.</t>
        </is>
      </c>
      <c r="J194" s="13" t="inlineStr">
        <is>
          <t>NA</t>
        </is>
      </c>
      <c r="K194" s="13" t="inlineStr">
        <is>
          <t>Functional</t>
        </is>
      </c>
    </row>
    <row r="195" ht="36" customHeight="1">
      <c r="A195" s="12" t="inlineStr">
        <is>
          <t>PoS Transactions V6.6.0 (EMI-5914)</t>
        </is>
      </c>
      <c r="B195" s="12" t="inlineStr">
        <is>
          <t>Recon &amp; Three-Way Match</t>
        </is>
      </c>
      <c r="C195" s="12" t="inlineStr">
        <is>
          <t>Exception</t>
        </is>
      </c>
      <c r="D195" s="13" t="inlineStr">
        <is>
          <t>TC-Recon-07</t>
        </is>
      </c>
      <c r="E195" s="12" t="inlineStr">
        <is>
          <t>Transaction Amount Mismatch Inside Slip – E15</t>
        </is>
      </c>
      <c r="F195" s="13" t="inlineStr">
        <is>
          <t>Critical</t>
        </is>
      </c>
      <c r="G195" s="12" t="inlineStr">
        <is>
          <t>TR_SLIP matches, but one PTS transaction amount differs from ledger</t>
        </is>
      </c>
      <c r="H195" s="12" t="inlineStr">
        <is>
          <t>1. Resolve transaction by composite key.
2. Compare transaction amounts.
3. Run settlement generation.</t>
        </is>
      </c>
      <c r="I195" s="12" t="inlineStr">
        <is>
          <t>E15 created for the affected row. Affected row becomes DISPUTED/excluded. Other valid rows in the same slip continue. TR_SLIP match remains valid.</t>
        </is>
      </c>
      <c r="J195" s="13" t="inlineStr">
        <is>
          <t>NA</t>
        </is>
      </c>
      <c r="K195" s="13" t="inlineStr">
        <is>
          <t>Functional</t>
        </is>
      </c>
    </row>
    <row r="196" ht="36" customHeight="1">
      <c r="A196" s="12" t="inlineStr">
        <is>
          <t>PoS Transactions V6.6.0 (EMI-5914)</t>
        </is>
      </c>
      <c r="B196" s="12" t="inlineStr">
        <is>
          <t>Recon &amp; Three-Way Match</t>
        </is>
      </c>
      <c r="C196" s="12" t="inlineStr">
        <is>
          <t>Exception</t>
        </is>
      </c>
      <c r="D196" s="13" t="inlineStr">
        <is>
          <t>TC-Recon-08</t>
        </is>
      </c>
      <c r="E196" s="12" t="inlineStr">
        <is>
          <t>Individual Credit Amount Mismatch – E16</t>
        </is>
      </c>
      <c r="F196" s="13" t="inlineStr">
        <is>
          <t>Critical</t>
        </is>
      </c>
      <c r="G196" s="12" t="inlineStr">
        <is>
          <t>Credit reference exactly matches TR_SLIP, but credit differs from expected configured total</t>
        </is>
      </c>
      <c r="H196" s="12" t="inlineStr">
        <is>
          <t>1. Run reconciliation for multiple slips (one with mismatch).
2. Compare credit with expected total.
3. Review settlement candidates.</t>
        </is>
      </c>
      <c r="I196" s="12" t="inlineStr">
        <is>
          <t>E16 created. Affected slip is Held. No settlement instruction generated. Other matched/funded slips remain eligible. No amount-based rematching.</t>
        </is>
      </c>
      <c r="J196" s="13" t="inlineStr">
        <is>
          <t>NA</t>
        </is>
      </c>
      <c r="K196" s="13" t="inlineStr">
        <is>
          <t>Functional</t>
        </is>
      </c>
    </row>
    <row r="197" ht="36" customHeight="1">
      <c r="A197" s="12" t="inlineStr">
        <is>
          <t>PoS Transactions V6.6.0 (EMI-5914)</t>
        </is>
      </c>
      <c r="B197" s="12" t="inlineStr">
        <is>
          <t>Recon &amp; Three-Way Match</t>
        </is>
      </c>
      <c r="C197" s="12" t="inlineStr">
        <is>
          <t>Exception</t>
        </is>
      </c>
      <c r="D197" s="13" t="inlineStr">
        <is>
          <t>TC-Recon-09</t>
        </is>
      </c>
      <c r="E197" s="12" t="inlineStr">
        <is>
          <t>Systemic Gross-vs-Net Mismatch – O23 Signature</t>
        </is>
      </c>
      <c r="F197" s="13" t="inlineStr">
        <is>
          <t>Critical</t>
        </is>
      </c>
      <c r="G197" s="12" t="inlineStr">
        <is>
          <t>Configured basis = Net; credit = sum of AMOUNT instead of TOTAL_AMOUNT, across multiple slips</t>
        </is>
      </c>
      <c r="H197" s="12" t="inlineStr">
        <is>
          <t>1. Process multiple slips where credit equals gross total.
2. Run reconciliation.
3. Review exception reporting.</t>
        </is>
      </c>
      <c r="I197" s="12" t="inlineStr">
        <is>
          <t>System identifies common O23 basis-mismatch signature (every failing slip off by exactly the ANB deduction amount). Reported as one systemic finding rather than individual E16 noise, per Section G's explicit instruction to recognize this on day one.</t>
        </is>
      </c>
      <c r="J197" s="13" t="inlineStr">
        <is>
          <t>NA</t>
        </is>
      </c>
      <c r="K197" s="13" t="inlineStr">
        <is>
          <t>Edge / Boundary</t>
        </is>
      </c>
    </row>
    <row r="198" ht="36" customHeight="1">
      <c r="A198" s="12" t="inlineStr">
        <is>
          <t>PoS Transactions V6.6.0 (EMI-5914)</t>
        </is>
      </c>
      <c r="B198" s="12" t="inlineStr">
        <is>
          <t>Recon &amp; Three-Way Match</t>
        </is>
      </c>
      <c r="C198" s="12" t="inlineStr">
        <is>
          <t>Exception</t>
        </is>
      </c>
      <c r="D198" s="13" t="inlineStr">
        <is>
          <t>TC-Recon-10</t>
        </is>
      </c>
      <c r="E198" s="12" t="inlineStr">
        <is>
          <t>Unmatched Credit &amp; Reference Ambiguity – E18</t>
        </is>
      </c>
      <c r="F198" s="13" t="inlineStr">
        <is>
          <t>Critical</t>
        </is>
      </c>
      <c r="G198" s="12" t="inlineStr">
        <is>
          <t>Credit reference does not exist in any eligible TR_SLIP (test truncated, prefixed/suffixed, case difference, whitespace)</t>
        </is>
      </c>
      <c r="H198" s="12" t="inlineStr">
        <is>
          <t>1. Process credits with various reference mismatches.
2. Run reconciliation.</t>
        </is>
      </c>
      <c r="I198" s="12" t="inlineStr">
        <is>
          <t>E18 created for all variations. Credit is parked. No partial, fuzzy, case-insensitive, or amount-based matching attempted. O19 raised as a live defect/integration risk (per Testing Scenario T13).</t>
        </is>
      </c>
      <c r="J198" s="13" t="inlineStr">
        <is>
          <t>NA</t>
        </is>
      </c>
      <c r="K198" s="13" t="inlineStr">
        <is>
          <t>Functional</t>
        </is>
      </c>
    </row>
    <row r="199" ht="36" customHeight="1">
      <c r="A199" s="12" t="inlineStr">
        <is>
          <t>PoS Transactions V6.6.0 (EMI-5914)</t>
        </is>
      </c>
      <c r="B199" s="12" t="inlineStr">
        <is>
          <t>Recon &amp; Three-Way Match</t>
        </is>
      </c>
      <c r="C199" s="12" t="inlineStr">
        <is>
          <t>Exception</t>
        </is>
      </c>
      <c r="D199" s="13" t="inlineStr">
        <is>
          <t>TC-Recon-11</t>
        </is>
      </c>
      <c r="E199" s="12" t="inlineStr">
        <is>
          <t>Missing Funding – E19</t>
        </is>
      </c>
      <c r="F199" s="13" t="inlineStr">
        <is>
          <t>Critical</t>
        </is>
      </c>
      <c r="G199" s="12" t="inlineStr">
        <is>
          <t>Valid closed TR_SLIP exists but no corresponding credit arrives by EOD</t>
        </is>
      </c>
      <c r="H199" s="12" t="inlineStr">
        <is>
          <t>1. Run reconciliation.
2. Reach EOD cut-off.
3. Review slip status.</t>
        </is>
      </c>
      <c r="I199" s="12" t="inlineStr">
        <is>
          <t>E19 created. Slip marked Unfunded. Alarm/report generated. No EMI-5922 instruction created. A sustained rise in E19 is escalated to Finance (funding/aggregator problem), not to the merchant.</t>
        </is>
      </c>
      <c r="J199" s="13" t="inlineStr">
        <is>
          <t>NA</t>
        </is>
      </c>
      <c r="K199" s="13" t="inlineStr">
        <is>
          <t>Negative</t>
        </is>
      </c>
    </row>
    <row r="200" ht="36" customHeight="1">
      <c r="A200" s="12" t="inlineStr">
        <is>
          <t>PoS Transactions V6.6.0 (EMI-5914)</t>
        </is>
      </c>
      <c r="B200" s="12" t="inlineStr">
        <is>
          <t>Recon &amp; Three-Way Match</t>
        </is>
      </c>
      <c r="C200" s="12" t="inlineStr">
        <is>
          <t>Idempotency</t>
        </is>
      </c>
      <c r="D200" s="13" t="inlineStr">
        <is>
          <t>TC-Recon-12</t>
        </is>
      </c>
      <c r="E200" s="12" t="inlineStr">
        <is>
          <t>Duplicate Credit / Reconciliation Re-run</t>
        </is>
      </c>
      <c r="F200" s="13" t="inlineStr">
        <is>
          <t>Critical</t>
        </is>
      </c>
      <c r="G200" s="12" t="inlineStr">
        <is>
          <t>Valid slip and matching credit exist; reconciliation previously successful</t>
        </is>
      </c>
      <c r="H200" s="12" t="inlineStr">
        <is>
          <t>1. Process first credit successfully.
2. Reprocess same credit.
3. Re-run reconciliation multiple times, including after a partial day.</t>
        </is>
      </c>
      <c r="I200" s="12" t="inlineStr">
        <is>
          <t>First credit matched normally. Repeated credit flagged as Duplicate. No duplicate match, exception, financial amount, or EMI-5922 handoff created. Idempotency composes correctly with EMI-5991 ingestion idempotency and EMI-5922 instruction idempotency.</t>
        </is>
      </c>
      <c r="J200" s="13" t="inlineStr">
        <is>
          <t>NA</t>
        </is>
      </c>
      <c r="K200" s="13" t="inlineStr">
        <is>
          <t>Integration</t>
        </is>
      </c>
    </row>
    <row r="201" ht="36" customHeight="1">
      <c r="A201" s="12" t="inlineStr">
        <is>
          <t>PoS Transactions V6.6.0 (EMI-5914)</t>
        </is>
      </c>
      <c r="B201" s="12" t="inlineStr">
        <is>
          <t>Recon &amp; Three-Way Match</t>
        </is>
      </c>
      <c r="C201" s="12" t="inlineStr">
        <is>
          <t>Compliance</t>
        </is>
      </c>
      <c r="D201" s="13" t="inlineStr">
        <is>
          <t>TC-Recon-13</t>
        </is>
      </c>
      <c r="E201" s="12" t="inlineStr">
        <is>
          <t>Matched-but-Held Transaction</t>
        </is>
      </c>
      <c r="F201" s="13" t="inlineStr">
        <is>
          <t>Critical</t>
        </is>
      </c>
      <c r="G201" s="12" t="inlineStr">
        <is>
          <t>Transaction matched/funded, but EMI-5923 marks it as compliance-held</t>
        </is>
      </c>
      <c r="H201" s="12" t="inlineStr">
        <is>
          <t>1. Run reconciliation.
2. Verify classification.
3. Review settlement set.</t>
        </is>
      </c>
      <c r="I201" s="12" t="inlineStr">
        <is>
          <t>Classified Matched-but-Held (not an exception). Excluded from releasable settlement. Held value included in safeguarding.</t>
        </is>
      </c>
      <c r="J201" s="13" t="inlineStr">
        <is>
          <t>NA</t>
        </is>
      </c>
      <c r="K201" s="13" t="inlineStr">
        <is>
          <t>Compliance</t>
        </is>
      </c>
    </row>
    <row r="202" ht="36" customHeight="1">
      <c r="A202" s="12" t="inlineStr">
        <is>
          <t>PoS Transactions V6.6.0 (EMI-5914)</t>
        </is>
      </c>
      <c r="B202" s="12" t="inlineStr">
        <is>
          <t>Recon &amp; Three-Way Match</t>
        </is>
      </c>
      <c r="C202" s="12" t="inlineStr">
        <is>
          <t>Routing</t>
        </is>
      </c>
      <c r="D202" s="13" t="inlineStr">
        <is>
          <t>TC-Recon-14</t>
        </is>
      </c>
      <c r="E202" s="12" t="inlineStr">
        <is>
          <t>Per-TID Reconciliation &amp; BASE Exclusion</t>
        </is>
      </c>
      <c r="F202" s="13" t="inlineStr">
        <is>
          <t>Critical</t>
        </is>
      </c>
      <c r="G202" s="12" t="inlineStr">
        <is>
          <t>PTS contains transactions for multiple TIDs; two share same first 8 digits (BASE); TID-A/TID-B have offsetting +10/-10 differences</t>
        </is>
      </c>
      <c r="H202" s="12" t="inlineStr">
        <is>
          <t>1. Aggregate PTS by full TERMINAL_ID.
2. Compare with device sub-ledger.
3. Review merchant vs TID results.</t>
        </is>
      </c>
      <c r="I202" s="12" t="inlineStr">
        <is>
          <t>Reconciliation occurs at TID level, directly off the PTS grain (no merchant-level decomposition step). TID-A and TID-B individually flagged despite merchant total netting to zero. BASE is not used as a match key.</t>
        </is>
      </c>
      <c r="J202" s="13" t="inlineStr">
        <is>
          <t>NA</t>
        </is>
      </c>
      <c r="K202" s="13" t="inlineStr">
        <is>
          <t>Edge / Boundary</t>
        </is>
      </c>
    </row>
    <row r="203" ht="36" customHeight="1">
      <c r="A203" s="12" t="inlineStr">
        <is>
          <t>PoS Transactions V6.6.0 (EMI-5914)</t>
        </is>
      </c>
      <c r="B203" s="12" t="inlineStr">
        <is>
          <t>Recon &amp; Three-Way Match</t>
        </is>
      </c>
      <c r="C203" s="12" t="inlineStr">
        <is>
          <t>Lifecycle</t>
        </is>
      </c>
      <c r="D203" s="13" t="inlineStr">
        <is>
          <t>TC-Recon-15</t>
        </is>
      </c>
      <c r="E203" s="12" t="inlineStr">
        <is>
          <t>Provisional Match Before Date Close-Out</t>
        </is>
      </c>
      <c r="F203" s="13" t="inlineStr">
        <is>
          <t>Critical</t>
        </is>
      </c>
      <c r="G203" s="12" t="inlineStr">
        <is>
          <t>PTS slip exists but EMI-5991 has not closed the relevant date</t>
        </is>
      </c>
      <c r="H203" s="12" t="inlineStr">
        <is>
          <t>1. Run intraday reconciliation.
2. Review status.
3. Receive date close-out.
4. Re-run reconciliation.</t>
        </is>
      </c>
      <c r="I203" s="12" t="inlineStr">
        <is>
          <t>Before close-out: match is Provisional, no settlement instruction generated. After close-out: re-evaluated and becomes final if valid.</t>
        </is>
      </c>
      <c r="J203" s="13" t="inlineStr">
        <is>
          <t>NA</t>
        </is>
      </c>
      <c r="K203" s="13" t="inlineStr">
        <is>
          <t>Functional</t>
        </is>
      </c>
    </row>
    <row r="204" ht="36" customHeight="1">
      <c r="A204" s="12" t="inlineStr">
        <is>
          <t>PoS Transactions V6.6.0 (EMI-5914)</t>
        </is>
      </c>
      <c r="B204" s="12" t="inlineStr">
        <is>
          <t>Recon &amp; Three-Way Match</t>
        </is>
      </c>
      <c r="C204" s="12" t="inlineStr">
        <is>
          <t>Lifecycle</t>
        </is>
      </c>
      <c r="D204" s="13" t="inlineStr">
        <is>
          <t>TC-Recon-16</t>
        </is>
      </c>
      <c r="E204" s="12" t="inlineStr">
        <is>
          <t>T+1 Posting Date / Close-Out Control</t>
        </is>
      </c>
      <c r="F204" s="13" t="inlineStr">
        <is>
          <t>High</t>
        </is>
      </c>
      <c r="G204" s="12" t="inlineStr">
        <is>
          <t>PTS POSTING_DATE is T+1, calendar date changes, but EMI-5991 has not closed date</t>
        </is>
      </c>
      <c r="H204" s="12" t="inlineStr">
        <is>
          <t>1. Run reconciliation after calendar date changes.
2. Wait for EMI-5991 close-out.
3. Run again.</t>
        </is>
      </c>
      <c r="I204" s="12" t="inlineStr">
        <is>
          <t>Calendar date does not control finality. Close-out state controls eligibility. T+1 posting does not incorrectly generate E13/E19.</t>
        </is>
      </c>
      <c r="J204" s="13" t="inlineStr">
        <is>
          <t>NA</t>
        </is>
      </c>
      <c r="K204" s="13" t="inlineStr">
        <is>
          <t>Functional</t>
        </is>
      </c>
    </row>
    <row r="205" ht="36" customHeight="1">
      <c r="A205" s="12" t="inlineStr">
        <is>
          <t>PoS Transactions V6.6.0 (EMI-5914)</t>
        </is>
      </c>
      <c r="B205" s="12" t="inlineStr">
        <is>
          <t>Recon &amp; Three-Way Match</t>
        </is>
      </c>
      <c r="C205" s="12" t="inlineStr">
        <is>
          <t>Routing</t>
        </is>
      </c>
      <c r="D205" s="13" t="inlineStr">
        <is>
          <t>TC-Recon-17</t>
        </is>
      </c>
      <c r="E205" s="12" t="inlineStr">
        <is>
          <t>Blocked PTS Input – E22/E23</t>
        </is>
      </c>
      <c r="F205" s="13" t="inlineStr">
        <is>
          <t>Critical</t>
        </is>
      </c>
      <c r="G205" s="12" t="inlineStr">
        <is>
          <t>EMI-5991 reports a file as rejected (E22) or a slip as frozen (E23)</t>
        </is>
      </c>
      <c r="H205" s="12" t="inlineStr">
        <is>
          <t>1. Run reconciliation.
2. Review daily report.</t>
        </is>
      </c>
      <c r="I205" s="12" t="inlineStr">
        <is>
          <t>Affected data reported as Blocked/Awaiting Re-pull. Excluded from matching. Not incorrectly classified as E13/E16/E19. Note: E22/E23 are feed-level codes owned by EMI-5991; this story only consumes and reports their blocked state.</t>
        </is>
      </c>
      <c r="J205" s="13" t="inlineStr">
        <is>
          <t>NA</t>
        </is>
      </c>
      <c r="K205" s="13" t="inlineStr">
        <is>
          <t>Functional</t>
        </is>
      </c>
    </row>
    <row r="206" ht="36" customHeight="1">
      <c r="A206" s="12" t="inlineStr">
        <is>
          <t>PoS Transactions V6.6.0 (EMI-5914)</t>
        </is>
      </c>
      <c r="B206" s="12" t="inlineStr">
        <is>
          <t>Recon &amp; Three-Way Match</t>
        </is>
      </c>
      <c r="C206" s="12" t="inlineStr">
        <is>
          <t>Configuration</t>
        </is>
      </c>
      <c r="D206" s="13" t="inlineStr">
        <is>
          <t>TC-Recon-18</t>
        </is>
      </c>
      <c r="E206" s="12" t="inlineStr">
        <is>
          <t>Basis Configuration Switch (Net/Gross)</t>
        </is>
      </c>
      <c r="F206" s="13" t="inlineStr">
        <is>
          <t>Critical</t>
        </is>
      </c>
      <c r="G206" s="12" t="inlineStr">
        <is>
          <t>Existing match data stored; current configuration = Net</t>
        </is>
      </c>
      <c r="H206" s="12" t="inlineStr">
        <is>
          <t>1. Match using Net.
2. Change configuration to Gross.
3. Re-run without re-ingesting PTS.
4. Switch back to Net.</t>
        </is>
      </c>
      <c r="I206" s="12" t="inlineStr">
        <is>
          <t>System recalculates expected amount using stored Gross/Net totals. No PTS re-ingestion required. Stored source values remain unchanged.</t>
        </is>
      </c>
      <c r="J206" s="13" t="inlineStr">
        <is>
          <t>NA</t>
        </is>
      </c>
      <c r="K206" s="13" t="inlineStr">
        <is>
          <t>Configuration</t>
        </is>
      </c>
    </row>
    <row r="207" ht="36" customHeight="1">
      <c r="A207" s="12" t="inlineStr">
        <is>
          <t>PoS Transactions V6.6.0 (EMI-5914)</t>
        </is>
      </c>
      <c r="B207" s="12" t="inlineStr">
        <is>
          <t>Recon &amp; Three-Way Match</t>
        </is>
      </c>
      <c r="C207" s="12" t="inlineStr">
        <is>
          <t>Settlement</t>
        </is>
      </c>
      <c r="D207" s="13" t="inlineStr">
        <is>
          <t>TC-Recon-19</t>
        </is>
      </c>
      <c r="E207" s="12" t="inlineStr">
        <is>
          <t>EOD Settlement Freeze &amp; Handoff</t>
        </is>
      </c>
      <c r="F207" s="13" t="inlineStr">
        <is>
          <t>Critical</t>
        </is>
      </c>
      <c r="G207" s="12" t="inlineStr">
        <is>
          <t>Multiple slips exist as Matched/Funded, Unfunded, Held, Provisional</t>
        </is>
      </c>
      <c r="H207" s="12" t="inlineStr">
        <is>
          <t>1. Process matches before cut-off.
2. Execute EOD cut-off.
3. Introduce new credit after cut-off.</t>
        </is>
      </c>
      <c r="I207" s="12" t="inlineStr">
        <is>
          <t>Only final + matched + funded + releasable slips handed to EMI-5922. Provisional, E19, held, and blocked slips excluded. Handoff cannot change after freeze. Settlement remains a single daily cycle – nothing settles off an intraday window.</t>
        </is>
      </c>
      <c r="J207" s="13" t="inlineStr">
        <is>
          <t>NA</t>
        </is>
      </c>
      <c r="K207" s="13" t="inlineStr">
        <is>
          <t>Functional</t>
        </is>
      </c>
    </row>
    <row r="208" ht="36" customHeight="1">
      <c r="A208" s="12" t="inlineStr">
        <is>
          <t>PoS Transactions V6.6.0 (EMI-5914)</t>
        </is>
      </c>
      <c r="B208" s="12" t="inlineStr">
        <is>
          <t>Recon &amp; Three-Way Match</t>
        </is>
      </c>
      <c r="C208" s="12" t="inlineStr">
        <is>
          <t>Reconciliation</t>
        </is>
      </c>
      <c r="D208" s="13" t="inlineStr">
        <is>
          <t>TC-Recon-20</t>
        </is>
      </c>
      <c r="E208" s="12" t="inlineStr">
        <is>
          <t>Safeguarding and Gross-to-Net Reconciliation</t>
        </is>
      </c>
      <c r="F208" s="13" t="inlineStr">
        <is>
          <t>Critical</t>
        </is>
      </c>
      <c r="G208" s="12" t="inlineStr">
        <is>
          <t>Credited, held, and in-transit amounts available</t>
        </is>
      </c>
      <c r="H208" s="12" t="inlineStr">
        <is>
          <t>1. Generate safeguarding report.
2. Compare received amount with credited + held + in-transit.
3. Review ANB deduction bridge.</t>
        </is>
      </c>
      <c r="I208" s="12" t="inlineStr">
        <is>
          <t>Safeguarding line reconciles to the halalah using net TOTAL_AMOUNT. ANB deductions shown separately as a reconciling column.</t>
        </is>
      </c>
      <c r="J208" s="13" t="inlineStr">
        <is>
          <t>NA</t>
        </is>
      </c>
      <c r="K208" s="13" t="inlineStr">
        <is>
          <t>Functional</t>
        </is>
      </c>
    </row>
    <row r="209" ht="36" customHeight="1">
      <c r="A209" s="12" t="inlineStr">
        <is>
          <t>PoS Transactions V6.6.0 (EMI-5914)</t>
        </is>
      </c>
      <c r="B209" s="12" t="inlineStr">
        <is>
          <t>Recon &amp; Three-Way Match</t>
        </is>
      </c>
      <c r="C209" s="12" t="inlineStr">
        <is>
          <t>Validation</t>
        </is>
      </c>
      <c r="D209" s="13" t="inlineStr">
        <is>
          <t>TC-Recon-21</t>
        </is>
      </c>
      <c r="E209" s="12" t="inlineStr">
        <is>
          <t>Exact Reference and Amount Ambiguity Control</t>
        </is>
      </c>
      <c r="F209" s="13" t="inlineStr">
        <is>
          <t>Critical</t>
        </is>
      </c>
      <c r="G209" s="12" t="inlineStr">
        <is>
          <t>Two slips have identical amounts but different TR_SLIP values; multiple slips for same TID/merchant</t>
        </is>
      </c>
      <c r="H209" s="12" t="inlineStr">
        <is>
          <t>1. Create slips with same amounts.
2. Process credit for one reference.
3. Run reconciliation.</t>
        </is>
      </c>
      <c r="I209" s="12" t="inlineStr">
        <is>
          <t>Credit matches only the exact TR_SLIP reference. Identical amounts never cause cross-matching. TID/Merchant alone is not used as match key.</t>
        </is>
      </c>
      <c r="J209" s="13" t="inlineStr">
        <is>
          <t>NA</t>
        </is>
      </c>
      <c r="K209" s="13" t="inlineStr">
        <is>
          <t>Negative</t>
        </is>
      </c>
    </row>
    <row r="210" ht="36" customHeight="1">
      <c r="A210" s="12" t="inlineStr">
        <is>
          <t>PoS Transactions V6.6.0 (EMI-5914)</t>
        </is>
      </c>
      <c r="B210" s="12" t="inlineStr">
        <is>
          <t>Recon &amp; Three-Way Match</t>
        </is>
      </c>
      <c r="C210" s="12" t="inlineStr">
        <is>
          <t>Ops/Reporting</t>
        </is>
      </c>
      <c r="D210" s="13" t="inlineStr">
        <is>
          <t>TC-Recon-22</t>
        </is>
      </c>
      <c r="E210" s="12" t="inlineStr">
        <is>
          <t>Exception Aging, Audit Trail &amp; Trend Reporting</t>
        </is>
      </c>
      <c r="F210" s="13" t="inlineStr">
        <is>
          <t>High</t>
        </is>
      </c>
      <c r="G210" s="12" t="inlineStr">
        <is>
          <t>E13/E15/E16/E18/E19 exceptions exist over time</t>
        </is>
      </c>
      <c r="H210" s="12" t="inlineStr">
        <is>
          <t>1. Generate daily/periodic Ops report.
2. Review exception history, trends, and age.
3. Resolve one exception.</t>
        </is>
      </c>
      <c r="I210" s="12" t="inlineStr">
        <is>
          <t>Exceptions show class, value, age (3-working-day SLA), status, and evidence. E19/E13 trends escalated to Finance/Integrity monitoring. Resolution actions audit logged.</t>
        </is>
      </c>
      <c r="J210" s="13" t="inlineStr">
        <is>
          <t>NA</t>
        </is>
      </c>
      <c r="K210" s="13" t="inlineStr">
        <is>
          <t>Reporting</t>
        </is>
      </c>
    </row>
    <row r="211" ht="36" customHeight="1">
      <c r="A211" s="12" t="inlineStr">
        <is>
          <t>PoS Transactions V6.6.0 (EMI-5914)</t>
        </is>
      </c>
      <c r="B211" s="12" t="inlineStr">
        <is>
          <t>Recon &amp; Three-Way Match</t>
        </is>
      </c>
      <c r="C211" s="12" t="inlineStr">
        <is>
          <t>Validation</t>
        </is>
      </c>
      <c r="D211" s="13" t="inlineStr">
        <is>
          <t>TC-Recon-23</t>
        </is>
      </c>
      <c r="E211" s="12" t="inlineStr">
        <is>
          <t>Decimal Precision – Halalah</t>
        </is>
      </c>
      <c r="F211" s="13" t="inlineStr">
        <is>
          <t>Critical</t>
        </is>
      </c>
      <c r="G211" s="12" t="inlineStr">
        <is>
          <t>Expected = 100.00; credit = 99.99; deductions result in exact halalah values</t>
        </is>
      </c>
      <c r="H211" s="12" t="inlineStr">
        <is>
          <t>1. Calculate gross, deductions, and net.
2. Compare expected and credited amounts.</t>
        </is>
      </c>
      <c r="I211" s="12" t="inlineStr">
        <is>
          <t>Exact decimal arithmetic used. 0.01 difference detected correctly. No floating-point rounding causes false matches or hides mismatches.</t>
        </is>
      </c>
      <c r="J211" s="13" t="inlineStr">
        <is>
          <t>NA</t>
        </is>
      </c>
      <c r="K211" s="13" t="inlineStr">
        <is>
          <t>Negative</t>
        </is>
      </c>
    </row>
    <row r="212" ht="36" customHeight="1">
      <c r="A212" s="12" t="inlineStr">
        <is>
          <t>PoS Transactions V6.6.0 (EMI-5914)</t>
        </is>
      </c>
      <c r="B212" s="12" t="inlineStr">
        <is>
          <t>Recon &amp; Three-Way Match</t>
        </is>
      </c>
      <c r="C212" s="12" t="inlineStr">
        <is>
          <t>Integration</t>
        </is>
      </c>
      <c r="D212" s="13" t="inlineStr">
        <is>
          <t>TC-Recon-24</t>
        </is>
      </c>
      <c r="E212" s="12" t="inlineStr">
        <is>
          <t>Commission Separation (ANB vs MJD Pay)</t>
        </is>
      </c>
      <c r="F212" s="13" t="inlineStr">
        <is>
          <t>High</t>
        </is>
      </c>
      <c r="G212" s="12" t="inlineStr">
        <is>
          <t>Valid ANB PTS slip and downstream EMI-5922 commission configuration</t>
        </is>
      </c>
      <c r="H212" s="12" t="inlineStr">
        <is>
          <t>1. Match and fund the slip.
2. Inspect reconciliation amount.
3. Inspect EMI-5922 calculation.</t>
        </is>
      </c>
      <c r="I212" s="12" t="inlineStr">
        <is>
          <t>ANB TR_COM, TR_VAT, TR_FEE remain part of PTS net calculation (recorded, not recalculated). MJD Pay commission is not deducted during reconciliation and is applied only downstream by EMI-5922 at the aggregated wire.</t>
        </is>
      </c>
      <c r="J212" s="13" t="inlineStr">
        <is>
          <t>NA</t>
        </is>
      </c>
      <c r="K212" s="13" t="inlineStr">
        <is>
          <t>Integration</t>
        </is>
      </c>
    </row>
    <row r="213" ht="36" customHeight="1">
      <c r="A213" s="12" t="inlineStr">
        <is>
          <t>PoS Transactions V6.6.0 (EMI-5914)</t>
        </is>
      </c>
      <c r="B213" s="12" t="inlineStr">
        <is>
          <t>Recon &amp; Three-Way Match</t>
        </is>
      </c>
      <c r="C213" s="12" t="inlineStr">
        <is>
          <t>Audit</t>
        </is>
      </c>
      <c r="D213" s="13" t="inlineStr">
        <is>
          <t>TC-Recon-25</t>
        </is>
      </c>
      <c r="E213" s="12" t="inlineStr">
        <is>
          <t>Audit Lineage Through TR_SLIP</t>
        </is>
      </c>
      <c r="F213" s="13" t="inlineStr">
        <is>
          <t>Critical</t>
        </is>
      </c>
      <c r="G213" s="12" t="inlineStr">
        <is>
          <t>Valid slip proceeds through reconciliation and handoff</t>
        </is>
      </c>
      <c r="H213" s="12" t="inlineStr">
        <is>
          <t>1. Trace PTS → ledger → credit → match → EMI-5922 handoff.</t>
        </is>
      </c>
      <c r="I213" s="12" t="inlineStr">
        <is>
          <t>TR_SLIP is retained as the settlement lineage/reference throughout the complete process, end to end. Every match decision can be traced back to source evidence via the audit log.</t>
        </is>
      </c>
      <c r="J213" s="13" t="inlineStr">
        <is>
          <t>NA</t>
        </is>
      </c>
      <c r="K213" s="13" t="inlineStr">
        <is>
          <t>Integration</t>
        </is>
      </c>
    </row>
    <row r="214" ht="36" customHeight="1">
      <c r="A214" s="12" t="inlineStr">
        <is>
          <t>PoS Transactions V6.6.0 (EMI-5914)</t>
        </is>
      </c>
      <c r="B214" s="12" t="inlineStr">
        <is>
          <t>Recon &amp; Three-Way Match</t>
        </is>
      </c>
      <c r="C214" s="12" t="inlineStr">
        <is>
          <t>Integration</t>
        </is>
      </c>
      <c r="D214" s="13" t="inlineStr">
        <is>
          <t>TC-Recon-26</t>
        </is>
      </c>
      <c r="E214" s="12" t="inlineStr">
        <is>
          <t>No Reconciliation Callback Dependency</t>
        </is>
      </c>
      <c r="F214" s="13" t="inlineStr">
        <is>
          <t>High</t>
        </is>
      </c>
      <c r="G214" s="12" t="inlineStr">
        <is>
          <t>InterSoft reconciliation callback is unavailable/removed</t>
        </is>
      </c>
      <c r="H214" s="12" t="inlineStr">
        <is>
          <t>1. Process valid PTS, ledger, and credit data.
2. Run reconciliation.</t>
        </is>
      </c>
      <c r="I214" s="12" t="inlineStr">
        <is>
          <t>Reconciliation operates without relying on an InterSoft reconciliation callback (withdrawn per v1.4). Matching remains based on PTS, ledger, and settlement-credit data only.</t>
        </is>
      </c>
      <c r="J214" s="13" t="inlineStr">
        <is>
          <t>NA</t>
        </is>
      </c>
      <c r="K214" s="13" t="inlineStr">
        <is>
          <t>Integration</t>
        </is>
      </c>
    </row>
    <row r="215" ht="36" customHeight="1">
      <c r="A215" s="12" t="inlineStr">
        <is>
          <t>PoS Transactions V6.6.0 (EMI-5914)</t>
        </is>
      </c>
      <c r="B215" s="12" t="inlineStr">
        <is>
          <t>Recon &amp; Three-Way Match</t>
        </is>
      </c>
      <c r="C215" s="12" t="inlineStr">
        <is>
          <t>Risk</t>
        </is>
      </c>
      <c r="D215" s="13" t="inlineStr">
        <is>
          <t>TC-Recon-27</t>
        </is>
      </c>
      <c r="E215" s="12" t="inlineStr">
        <is>
          <t>Two-Way Match Fallback When Credit Leg Is Unavailable/Unconfirmed (O19/O22)</t>
        </is>
      </c>
      <c r="F215" s="13" t="inlineStr">
        <is>
          <t>Critical</t>
        </is>
      </c>
      <c r="G215" s="12" t="inlineStr">
        <is>
          <t>Ledger and PTS data available and reconcilable; credit-statement leg (leg 3) is absent, delayed, or its reference field cannot be confirmed to carry TR_SLIP unaltered – the ticket's stated Primary Risk</t>
        </is>
      </c>
      <c r="H215" s="12" t="inlineStr">
        <is>
          <t>1. Run reconciliation with only ledger and PTS legs available.
2. Verify the system does not force a three-way match when leg 3 is unavailable.
3. Confirm slips are held in a distinct “awaiting funding confirmation” state rather than misclassified as E18/E19.
4. Restore leg 3 data and re-run.</t>
        </is>
      </c>
      <c r="I215" s="12" t="inlineStr">
        <is>
          <t>System degrades gracefully to the two-way leg (ledger vs PTS) without generating false E18/E19 exceptions. Slips pending the credit leg are clearly distinguished from genuinely unfunded (E19) or unmatched-reference (E18) slips. Once leg 3 becomes available, matching resumes and reclassifies correctly.</t>
        </is>
      </c>
      <c r="J215" s="13" t="inlineStr">
        <is>
          <t>NA</t>
        </is>
      </c>
      <c r="K215" s="13" t="inlineStr">
        <is>
          <t>Integration</t>
        </is>
      </c>
    </row>
    <row r="216" ht="36" customHeight="1">
      <c r="A216" s="12" t="inlineStr">
        <is>
          <t>PoS Transactions V6.6.0 (EMI-5914)</t>
        </is>
      </c>
      <c r="B216" s="12" t="inlineStr">
        <is>
          <t>Recon &amp; Three-Way Match</t>
        </is>
      </c>
      <c r="C216" s="12" t="inlineStr">
        <is>
          <t>Risk</t>
        </is>
      </c>
      <c r="D216" s="13" t="inlineStr">
        <is>
          <t>TC-Recon-28</t>
        </is>
      </c>
      <c r="E216" s="12" t="inlineStr">
        <is>
          <t>Aggregated Multi-Slip Credit Handling (O33)</t>
        </is>
      </c>
      <c r="F216" s="13" t="inlineStr">
        <is>
          <t>High</t>
        </is>
      </c>
      <c r="G216" s="12" t="inlineStr">
        <is>
          <t>Two or more TR_SLIP groups are due to settle on the same day; a single credit arrives covering the combined total with no per-slip breakdown</t>
        </is>
      </c>
      <c r="H216" s="12" t="inlineStr">
        <is>
          <t>1. Ingest multiple slips due to settle the same day.
2. Post one aggregated credit equal to the sum of their expected totals, carrying only one (or no) TR_SLIP reference.
3. Run reconciliation.</t>
        </is>
      </c>
      <c r="I216" s="12" t="inlineStr">
        <is>
          <t>System does not silently split/match the aggregated credit across slips by amount. Slips without an individually-matching reference are reported as unresolved/ambiguous (E18 or a dedicated aggregation exception), never auto-allocated by amount. Behavior is documented as contingent on O33 (separate vs aggregated credits) being answered by ANB.</t>
        </is>
      </c>
      <c r="J216" s="13" t="inlineStr">
        <is>
          <t>NA</t>
        </is>
      </c>
      <c r="K216" s="13" t="inlineStr">
        <is>
          <t>Functional</t>
        </is>
      </c>
    </row>
    <row r="217" ht="36" customHeight="1">
      <c r="A217" s="12" t="inlineStr">
        <is>
          <t>PoS Transactions V6.6.0 (EMI-5914)</t>
        </is>
      </c>
      <c r="B217" s="12" t="inlineStr">
        <is>
          <t>Recon &amp; Three-Way Match</t>
        </is>
      </c>
      <c r="C217" s="12" t="inlineStr">
        <is>
          <t>Integration</t>
        </is>
      </c>
      <c r="D217" s="13" t="inlineStr">
        <is>
          <t>TC-Recon-29</t>
        </is>
      </c>
      <c r="E217" s="12" t="inlineStr">
        <is>
          <t>Credit Statement Ingestion, Format Handling &amp; Duplicate Detection (O34)</t>
        </is>
      </c>
      <c r="F217" s="13" t="inlineStr">
        <is>
          <t>High</t>
        </is>
      </c>
      <c r="G217" s="12" t="inlineStr">
        <is>
          <t>A settlement-account credit statement file/feed is available in the configured format (MT940 / camt.053 / API, per the current integration decision)</t>
        </is>
      </c>
      <c r="H217" s="12" t="inlineStr">
        <is>
          <t>1. Ingest a valid statement file/feed.
2. Verify parsed fields (reference, amount, date/time) are stored correctly and not truncated.
3. Re-ingest the same statement or an overlapping window.
4. If an intraday view is configured, verify its availability ahead of EOD.</t>
        </is>
      </c>
      <c r="I217" s="12" t="inlineStr">
        <is>
          <t>Statement ingests without data loss or truncation of the reference field. Re-ingestion does not create duplicate credit records. Intraday visibility, where available, does not trigger premature settlement instructions. Ingestion behavior is documented as contingent on O34 (format/channel) being finalized by ANB.</t>
        </is>
      </c>
      <c r="J217" s="13" t="inlineStr">
        <is>
          <t>NA</t>
        </is>
      </c>
      <c r="K217" s="13" t="inlineStr">
        <is>
          <t>Integration</t>
        </is>
      </c>
    </row>
    <row r="218" ht="36" customHeight="1">
      <c r="A218" s="12" t="inlineStr">
        <is>
          <t>PoS Transactions V6.6.0 (EMI-5914)</t>
        </is>
      </c>
      <c r="B218" s="12" t="inlineStr">
        <is>
          <t>Recon &amp; Three-Way Match</t>
        </is>
      </c>
      <c r="C218" s="12" t="inlineStr">
        <is>
          <t>Functional</t>
        </is>
      </c>
      <c r="D218" s="13" t="inlineStr">
        <is>
          <t>TC-Recon-30</t>
        </is>
      </c>
      <c r="E218" s="12" t="inlineStr">
        <is>
          <t>Intraday Matching Cadence After Each EMI-5991 Pull Window</t>
        </is>
      </c>
      <c r="F218" s="13" t="inlineStr">
        <is>
          <t>High</t>
        </is>
      </c>
      <c r="G218" s="12" t="inlineStr">
        <is>
          <t>EMI-5991 pull windows are scheduled through the day; new PTS/ledger data lands after a pull</t>
        </is>
      </c>
      <c r="H218" s="12" t="inlineStr">
        <is>
          <t>1. Trigger completion of an EMI-5991 pull window.
2. Measure time until the reconciliation match job runs and exceptions surface.
3. Repeat across multiple pull windows in one day.</t>
        </is>
      </c>
      <c r="I218" s="12" t="inlineStr">
        <is>
          <t>Matching runs after each pull window and exceptions surface within approximately 2 hours of the pull, not only at EOD. Settlement instructions are still only generated at the single daily EOD cut-off (ties to TC-19) – intraday runs never trigger a handoff.</t>
        </is>
      </c>
      <c r="J218" s="13" t="inlineStr">
        <is>
          <t>NA</t>
        </is>
      </c>
      <c r="K218" s="13" t="inlineStr">
        <is>
          <t>Functional</t>
        </is>
      </c>
    </row>
    <row r="219" ht="36" customHeight="1">
      <c r="A219" s="12" t="inlineStr">
        <is>
          <t>PoS Transactions V6.6.0 (EMI-5914)</t>
        </is>
      </c>
      <c r="B219" s="12" t="inlineStr">
        <is>
          <t>Recon &amp; Three-Way Match</t>
        </is>
      </c>
      <c r="C219" s="12" t="inlineStr">
        <is>
          <t>Ops/Reporting</t>
        </is>
      </c>
      <c r="D219" s="13" t="inlineStr">
        <is>
          <t>TC-Recon-31</t>
        </is>
      </c>
      <c r="E219" s="12" t="inlineStr">
        <is>
          <t>Recon Dashboard Metrics Completeness</t>
        </is>
      </c>
      <c r="F219" s="13" t="inlineStr">
        <is>
          <t>High</t>
        </is>
      </c>
      <c r="G219" s="12" t="inlineStr">
        <is>
          <t>Reconciliation has run with a mix of matched, held, exception, and unfunded slips</t>
        </is>
      </c>
      <c r="H219" s="12" t="inlineStr">
        <is>
          <t>1. Open the recon dashboard.
2. Verify each required metric is present and correctly computed.</t>
        </is>
      </c>
      <c r="I219" s="12" t="inlineStr">
        <is>
          <t>Dashboard shows: match rate (including the ≥99.5% auto-match target), exceptions by class (E13/E15/E16/E18/E19) with aging, funded vs unfunded value, the safeguarding line, the gross-to-net bridge, and the E13/E19 trend view.</t>
        </is>
      </c>
      <c r="J219" s="13" t="inlineStr">
        <is>
          <t>NA</t>
        </is>
      </c>
      <c r="K219" s="13" t="inlineStr">
        <is>
          <t>Reporting</t>
        </is>
      </c>
    </row>
    <row r="220" ht="36" customHeight="1">
      <c r="A220" s="12" t="inlineStr">
        <is>
          <t>PoS Transactions V6.6.0 (EMI-5914)</t>
        </is>
      </c>
      <c r="B220" s="12" t="inlineStr">
        <is>
          <t>PoS Commission Config</t>
        </is>
      </c>
      <c r="C220" s="12" t="inlineStr">
        <is>
          <t>Configuration</t>
        </is>
      </c>
      <c r="D220" s="13" t="inlineStr">
        <is>
          <t>TC-Commission-01</t>
        </is>
      </c>
      <c r="E220" s="12" t="inlineStr">
        <is>
          <t>PoS Is Registered as a Platform Value</t>
        </is>
      </c>
      <c r="F220" s="13" t="inlineStr">
        <is>
          <t>High</t>
        </is>
      </c>
      <c r="G220" s="12" t="inlineStr">
        <is>
          <t>Access to the commission engine reference data</t>
        </is>
      </c>
      <c r="H220" s="12" t="inlineStr">
        <is>
          <t>1. Open the Platform reference values in the commission engine
2. Confirm PoS is present alongside Web and Mobile</t>
        </is>
      </c>
      <c r="I220" s="12" t="inlineStr">
        <is>
          <t>PoS exists as a Platform value alongside the existing Web and Mobile values</t>
        </is>
      </c>
      <c r="J220" s="13" t="inlineStr">
        <is>
          <t>Not Tested</t>
        </is>
      </c>
      <c r="K220" s="13" t="inlineStr">
        <is>
          <t>Configuration</t>
        </is>
      </c>
    </row>
    <row r="221" ht="36" customHeight="1">
      <c r="A221" s="12" t="inlineStr">
        <is>
          <t>PoS Transactions V6.6.0 (EMI-5914)</t>
        </is>
      </c>
      <c r="B221" s="12" t="inlineStr">
        <is>
          <t>PoS Commission Config</t>
        </is>
      </c>
      <c r="C221" s="12" t="inlineStr">
        <is>
          <t>Functional</t>
        </is>
      </c>
      <c r="D221" s="13" t="inlineStr">
        <is>
          <t>TC-Commission-02</t>
        </is>
      </c>
      <c r="E221" s="12" t="inlineStr">
        <is>
          <t>Engine Resolves PoS Pricing on TXN Type + Platform</t>
        </is>
      </c>
      <c r="F221" s="13" t="inlineStr">
        <is>
          <t>High</t>
        </is>
      </c>
      <c r="G221" s="12" t="inlineStr">
        <is>
          <t>PoS scheme configured; an aggregated cash-in with Platform = PoS</t>
        </is>
      </c>
      <c r="H221" s="12" t="inlineStr">
        <is>
          <t>1. Trigger pricing for the aggregated cash-in
2. Trace the resolution the engine performs</t>
        </is>
      </c>
      <c r="I221" s="12" t="inlineStr">
        <is>
          <t>Pricing resolves on TXN type + Platform exactly as for every other platform; no new resolution logic is introduced</t>
        </is>
      </c>
      <c r="J221" s="13" t="inlineStr">
        <is>
          <t>Not Tested</t>
        </is>
      </c>
      <c r="K221" s="13" t="inlineStr">
        <is>
          <t>Integration</t>
        </is>
      </c>
    </row>
    <row r="222" ht="36" customHeight="1">
      <c r="A222" s="12" t="inlineStr">
        <is>
          <t>PoS Transactions V6.6.0 (EMI-5914)</t>
        </is>
      </c>
      <c r="B222" s="12" t="inlineStr">
        <is>
          <t>PoS Commission Config</t>
        </is>
      </c>
      <c r="C222" s="12" t="inlineStr">
        <is>
          <t>Functional</t>
        </is>
      </c>
      <c r="D222" s="13" t="inlineStr">
        <is>
          <t>TC-Commission-03</t>
        </is>
      </c>
      <c r="E222" s="12" t="inlineStr">
        <is>
          <t>PoS Settlement Cash-In Is Distinguished From a Wallet Top-Up</t>
        </is>
      </c>
      <c r="F222" s="13" t="inlineStr">
        <is>
          <t>High</t>
        </is>
      </c>
      <c r="G222" s="12" t="inlineStr">
        <is>
          <t>A PoS settlement cash-in and an ordinary wallet top-up, both standard CASH IN</t>
        </is>
      </c>
      <c r="H222" s="12" t="inlineStr">
        <is>
          <t>1. Price both
2. Compare the schemes resolved and the fees charged</t>
        </is>
      </c>
      <c r="I222" s="12" t="inlineStr">
        <is>
          <t>The PoS settlement cash-in is priced by the PoS scheme and the top-up by its own; the Platform value is what separates them; a PoS settlement is never priced as a generic top-up</t>
        </is>
      </c>
      <c r="J222" s="13" t="inlineStr">
        <is>
          <t>Not Tested</t>
        </is>
      </c>
      <c r="K222" s="13" t="inlineStr">
        <is>
          <t>Functional</t>
        </is>
      </c>
    </row>
    <row r="223" ht="36" customHeight="1">
      <c r="A223" s="12" t="inlineStr">
        <is>
          <t>PoS Transactions V6.6.0 (EMI-5914)</t>
        </is>
      </c>
      <c r="B223" s="12" t="inlineStr">
        <is>
          <t>PoS Commission Config</t>
        </is>
      </c>
      <c r="C223" s="12" t="inlineStr">
        <is>
          <t>Functional</t>
        </is>
      </c>
      <c r="D223" s="13" t="inlineStr">
        <is>
          <t>TC-Commission-04</t>
        </is>
      </c>
      <c r="E223" s="12" t="inlineStr">
        <is>
          <t>The Priced Object Is the Aggregated Cash-In per Settlement Batch</t>
        </is>
      </c>
      <c r="F223" s="13" t="inlineStr">
        <is>
          <t>High</t>
        </is>
      </c>
      <c r="G223" s="12" t="inlineStr">
        <is>
          <t>A settlement batch created in EMI-5989 with Platform = PoS</t>
        </is>
      </c>
      <c r="H223" s="12" t="inlineStr">
        <is>
          <t>1. Inspect the object passed to the commission engine at pricing time</t>
        </is>
      </c>
      <c r="I223" s="12" t="inlineStr">
        <is>
          <t>The priced object is the aggregated cash-in for the batch, carrying Platform = PoS; no individual card transaction is passed to the engine</t>
        </is>
      </c>
      <c r="J223" s="13" t="inlineStr">
        <is>
          <t>Not Tested</t>
        </is>
      </c>
      <c r="K223" s="13" t="inlineStr">
        <is>
          <t>Functional</t>
        </is>
      </c>
    </row>
    <row r="224" ht="36" customHeight="1">
      <c r="A224" s="12" t="inlineStr">
        <is>
          <t>PoS Transactions V6.6.0 (EMI-5914)</t>
        </is>
      </c>
      <c r="B224" s="12" t="inlineStr">
        <is>
          <t>PoS Commission Config</t>
        </is>
      </c>
      <c r="C224" s="12" t="inlineStr">
        <is>
          <t>Functional</t>
        </is>
      </c>
      <c r="D224" s="13" t="inlineStr">
        <is>
          <t>TC-Commission-05</t>
        </is>
      </c>
      <c r="E224" s="12" t="inlineStr">
        <is>
          <t>Commission Is Charged Once on the Batch Total</t>
        </is>
      </c>
      <c r="F224" s="13" t="inlineStr">
        <is>
          <t>High</t>
        </is>
      </c>
      <c r="G224" s="12" t="inlineStr">
        <is>
          <t>A settlement batch containing 40 member sales</t>
        </is>
      </c>
      <c r="H224" s="12" t="inlineStr">
        <is>
          <t>1. Run the batch through ACH preparation
2. Count the commission and VAT entries produced and check the base amount</t>
        </is>
      </c>
      <c r="I224" s="12" t="inlineStr">
        <is>
          <t>Commission is charged exactly once, on the batch aggregate net; it is never charged 40 times or per member sale</t>
        </is>
      </c>
      <c r="J224" s="13" t="inlineStr">
        <is>
          <t>Not Tested</t>
        </is>
      </c>
      <c r="K224" s="13" t="inlineStr">
        <is>
          <t>Edge / Boundary</t>
        </is>
      </c>
    </row>
    <row r="225" ht="36" customHeight="1">
      <c r="A225" s="12" t="inlineStr">
        <is>
          <t>PoS Transactions V6.6.0 (EMI-5914)</t>
        </is>
      </c>
      <c r="B225" s="12" t="inlineStr">
        <is>
          <t>PoS Commission Config</t>
        </is>
      </c>
      <c r="C225" s="12" t="inlineStr">
        <is>
          <t>Functional</t>
        </is>
      </c>
      <c r="D225" s="13" t="inlineStr">
        <is>
          <t>TC-Commission-06</t>
        </is>
      </c>
      <c r="E225" s="12" t="inlineStr">
        <is>
          <t>Commission Base Is the Net That Arrived, Not Gross</t>
        </is>
      </c>
      <c r="F225" s="13" t="inlineStr">
        <is>
          <t>High</t>
        </is>
      </c>
      <c r="G225" s="12" t="inlineStr">
        <is>
          <t>A settlement batch whose Net Settlement Amount is already net of ANB interchange, scheme fee and ANB VAT</t>
        </is>
      </c>
      <c r="H225" s="12" t="inlineStr">
        <is>
          <t>1. Price the batch
2. Compare the commission base with the Net Settlement Amount and with the gross</t>
        </is>
      </c>
      <c r="I225" s="12" t="inlineStr">
        <is>
          <t>The base is the net amount that arrived; ANB's interchange, scheme fee, VAT and other charges are never recalculated, never added back and never priced on gross</t>
        </is>
      </c>
      <c r="J225" s="13" t="inlineStr">
        <is>
          <t>Not Tested</t>
        </is>
      </c>
      <c r="K225" s="13" t="inlineStr">
        <is>
          <t>Functional</t>
        </is>
      </c>
    </row>
    <row r="226" ht="36" customHeight="1">
      <c r="A226" s="12" t="inlineStr">
        <is>
          <t>PoS Transactions V6.6.0 (EMI-5914)</t>
        </is>
      </c>
      <c r="B226" s="12" t="inlineStr">
        <is>
          <t>PoS Commission Config</t>
        </is>
      </c>
      <c r="C226" s="12" t="inlineStr">
        <is>
          <t>Functional</t>
        </is>
      </c>
      <c r="D226" s="13" t="inlineStr">
        <is>
          <t>TC-Commission-07</t>
        </is>
      </c>
      <c r="E226" s="12" t="inlineStr">
        <is>
          <t>VAT Applied by the Existing Dual-Commission Machinery</t>
        </is>
      </c>
      <c r="F226" s="13" t="inlineStr">
        <is>
          <t>Medium</t>
        </is>
      </c>
      <c r="G226" s="12" t="inlineStr">
        <is>
          <t>PoS scheme configured with VAT treatment</t>
        </is>
      </c>
      <c r="H226" s="12" t="inlineStr">
        <is>
          <t>1. Price a batch and inspect the VAT entry</t>
        </is>
      </c>
      <c r="I226" s="12" t="inlineStr">
        <is>
          <t>VAT is applied at the prevailing rate by the engine's existing dual-commission and VAT machinery; no VAT logic is introduced by this story</t>
        </is>
      </c>
      <c r="J226" s="13" t="inlineStr">
        <is>
          <t>Not Tested</t>
        </is>
      </c>
      <c r="K226" s="13" t="inlineStr">
        <is>
          <t>Functional</t>
        </is>
      </c>
    </row>
    <row r="227" ht="36" customHeight="1">
      <c r="A227" s="12" t="inlineStr">
        <is>
          <t>PoS Transactions V6.6.0 (EMI-5914)</t>
        </is>
      </c>
      <c r="B227" s="12" t="inlineStr">
        <is>
          <t>PoS Commission Config</t>
        </is>
      </c>
      <c r="C227" s="12" t="inlineStr">
        <is>
          <t>Functional</t>
        </is>
      </c>
      <c r="D227" s="13" t="inlineStr">
        <is>
          <t>TC-Commission-08</t>
        </is>
      </c>
      <c r="E227" s="12" t="inlineStr">
        <is>
          <t>Merchant-Specific Scheme Wins Over the Default</t>
        </is>
      </c>
      <c r="F227" s="13" t="inlineStr">
        <is>
          <t>High</t>
        </is>
      </c>
      <c r="G227" s="12" t="inlineStr">
        <is>
          <t>A default PoS scheme and a merchant-specific PoS scheme for the same TXN type</t>
        </is>
      </c>
      <c r="H227" s="12" t="inlineStr">
        <is>
          <t>1. Price a batch for that merchant</t>
        </is>
      </c>
      <c r="I227" s="12" t="inlineStr">
        <is>
          <t>The merchant-specific scheme is applied; most specific wins under the engine's existing precedence</t>
        </is>
      </c>
      <c r="J227" s="13" t="inlineStr">
        <is>
          <t>Not Tested</t>
        </is>
      </c>
      <c r="K227" s="13" t="inlineStr">
        <is>
          <t>Functional</t>
        </is>
      </c>
    </row>
    <row r="228" ht="36" customHeight="1">
      <c r="A228" s="12" t="inlineStr">
        <is>
          <t>PoS Transactions V6.6.0 (EMI-5914)</t>
        </is>
      </c>
      <c r="B228" s="12" t="inlineStr">
        <is>
          <t>PoS Commission Config</t>
        </is>
      </c>
      <c r="C228" s="12" t="inlineStr">
        <is>
          <t>Functional</t>
        </is>
      </c>
      <c r="D228" s="13" t="inlineStr">
        <is>
          <t>TC-Commission-09</t>
        </is>
      </c>
      <c r="E228" s="12" t="inlineStr">
        <is>
          <t>Group Scheme Wins Over the Default When No Merchant Scheme Exists</t>
        </is>
      </c>
      <c r="F228" s="13" t="inlineStr">
        <is>
          <t>Medium</t>
        </is>
      </c>
      <c r="G228" s="12" t="inlineStr">
        <is>
          <t>A default and a group PoS scheme; merchant belongs to the group and has no merchant-level scheme</t>
        </is>
      </c>
      <c r="H228" s="12" t="inlineStr">
        <is>
          <t>1. Price a batch for that merchant</t>
        </is>
      </c>
      <c r="I228" s="12" t="inlineStr">
        <is>
          <t>The group scheme is applied, ahead of the default and behind any merchant-level scheme</t>
        </is>
      </c>
      <c r="J228" s="13" t="inlineStr">
        <is>
          <t>Not Tested</t>
        </is>
      </c>
      <c r="K228" s="13" t="inlineStr">
        <is>
          <t>Functional</t>
        </is>
      </c>
    </row>
    <row r="229" ht="36" customHeight="1">
      <c r="A229" s="12" t="inlineStr">
        <is>
          <t>PoS Transactions V6.6.0 (EMI-5914)</t>
        </is>
      </c>
      <c r="B229" s="12" t="inlineStr">
        <is>
          <t>PoS Commission Config</t>
        </is>
      </c>
      <c r="C229" s="12" t="inlineStr">
        <is>
          <t>Functional</t>
        </is>
      </c>
      <c r="D229" s="13" t="inlineStr">
        <is>
          <t>TC-Commission-10</t>
        </is>
      </c>
      <c r="E229" s="12" t="inlineStr">
        <is>
          <t>Scheme Key Follows Merchant | Group | Default x Platform x TXN Type</t>
        </is>
      </c>
      <c r="F229" s="13" t="inlineStr">
        <is>
          <t>Medium</t>
        </is>
      </c>
      <c r="G229" s="12" t="inlineStr">
        <is>
          <t>Schemes configured at all three levels</t>
        </is>
      </c>
      <c r="H229" s="12" t="inlineStr">
        <is>
          <t>1. Price batches for a merchant with each combination present and absent in turn</t>
        </is>
      </c>
      <c r="I229" s="12" t="inlineStr">
        <is>
          <t>Resolution follows the documented precedence in every combination; the most specific configured scheme always wins</t>
        </is>
      </c>
      <c r="J229" s="13" t="inlineStr">
        <is>
          <t>Not Tested</t>
        </is>
      </c>
      <c r="K229" s="13" t="inlineStr">
        <is>
          <t>Functional</t>
        </is>
      </c>
    </row>
    <row r="230" ht="36" customHeight="1">
      <c r="A230" s="12" t="inlineStr">
        <is>
          <t>PoS Transactions V6.6.0 (EMI-5914)</t>
        </is>
      </c>
      <c r="B230" s="12" t="inlineStr">
        <is>
          <t>PoS Commission Config</t>
        </is>
      </c>
      <c r="C230" s="12" t="inlineStr">
        <is>
          <t>Functional</t>
        </is>
      </c>
      <c r="D230" s="13" t="inlineStr">
        <is>
          <t>TC-Commission-11</t>
        </is>
      </c>
      <c r="E230" s="12" t="inlineStr">
        <is>
          <t>Merchant With No PoS Scheme Is Credited the Full Batch Net</t>
        </is>
      </c>
      <c r="F230" s="13" t="inlineStr">
        <is>
          <t>High</t>
        </is>
      </c>
      <c r="G230" s="12" t="inlineStr">
        <is>
          <t>Merchant with no PoS scheme at merchant, group or default level</t>
        </is>
      </c>
      <c r="H230" s="12" t="inlineStr">
        <is>
          <t>1. Run a settlement batch for that merchant through ACH preparation
2. Inspect the credit and the fee entries</t>
        </is>
      </c>
      <c r="I230" s="12" t="inlineStr">
        <is>
          <t>The merchant is credited the full batch net with no fee entries; this is a normal outcome and not an error, and nothing is alarmed</t>
        </is>
      </c>
      <c r="J230" s="13" t="inlineStr">
        <is>
          <t>Not Tested</t>
        </is>
      </c>
      <c r="K230" s="13" t="inlineStr">
        <is>
          <t>Functional</t>
        </is>
      </c>
    </row>
    <row r="231" ht="36" customHeight="1">
      <c r="A231" s="12" t="inlineStr">
        <is>
          <t>PoS Transactions V6.6.0 (EMI-5914)</t>
        </is>
      </c>
      <c r="B231" s="12" t="inlineStr">
        <is>
          <t>PoS Commission Config</t>
        </is>
      </c>
      <c r="C231" s="12" t="inlineStr">
        <is>
          <t>Guard</t>
        </is>
      </c>
      <c r="D231" s="13" t="inlineStr">
        <is>
          <t>TC-Commission-12</t>
        </is>
      </c>
      <c r="E231" s="12" t="inlineStr">
        <is>
          <t>PoS Settlement Credit Is Excluded From the Generic VIBAN Cash-In Fee</t>
        </is>
      </c>
      <c r="F231" s="13" t="inlineStr">
        <is>
          <t>High</t>
        </is>
      </c>
      <c r="G231" s="12" t="inlineStr">
        <is>
          <t>Generic VIBAN cash-in fee scheme active; PoS scheme configured; a settlement credit arriving as a VIBAN transfer</t>
        </is>
      </c>
      <c r="H231" s="12" t="inlineStr">
        <is>
          <t>1. Run the settlement credit end to end
2. List every fee entry raised against it</t>
        </is>
      </c>
      <c r="I231" s="12" t="inlineStr">
        <is>
          <t>Only the PoS commission is charged; the generic VIBAN cash-in fee is not applied; the batch is priced once and only once</t>
        </is>
      </c>
      <c r="J231" s="13" t="inlineStr">
        <is>
          <t>Not Tested</t>
        </is>
      </c>
      <c r="K231" s="13" t="inlineStr">
        <is>
          <t>Negative</t>
        </is>
      </c>
    </row>
    <row r="232" ht="36" customHeight="1">
      <c r="A232" s="12" t="inlineStr">
        <is>
          <t>PoS Transactions V6.6.0 (EMI-5914)</t>
        </is>
      </c>
      <c r="B232" s="12" t="inlineStr">
        <is>
          <t>PoS Commission Config</t>
        </is>
      </c>
      <c r="C232" s="12" t="inlineStr">
        <is>
          <t>Guard</t>
        </is>
      </c>
      <c r="D232" s="13" t="inlineStr">
        <is>
          <t>TC-Commission-13</t>
        </is>
      </c>
      <c r="E232" s="12" t="inlineStr">
        <is>
          <t>Double-Charge Regression - Batch Priced Exactly Once End to End</t>
        </is>
      </c>
      <c r="F232" s="13" t="inlineStr">
        <is>
          <t>High</t>
        </is>
      </c>
      <c r="G232" s="12" t="inlineStr">
        <is>
          <t>A full settlement cycle available</t>
        </is>
      </c>
      <c r="H232" s="12" t="inlineStr">
        <is>
          <t>1. Run a batch from grouping through ACH preparation to merchant credit
2. Count every commission and VAT entry raised against it anywhere in the chain</t>
        </is>
      </c>
      <c r="I232" s="12" t="inlineStr">
        <is>
          <t>Exactly one commission and one VAT entry exist for the batch across the whole chain; no second charge appears at any stage</t>
        </is>
      </c>
      <c r="J232" s="13" t="inlineStr">
        <is>
          <t>Not Tested</t>
        </is>
      </c>
      <c r="K232" s="13" t="inlineStr">
        <is>
          <t>Edge / Boundary</t>
        </is>
      </c>
    </row>
    <row r="233" ht="36" customHeight="1">
      <c r="A233" s="12" t="inlineStr">
        <is>
          <t>PoS Transactions V6.6.0 (EMI-5914)</t>
        </is>
      </c>
      <c r="B233" s="12" t="inlineStr">
        <is>
          <t>PoS Commission Config</t>
        </is>
      </c>
      <c r="C233" s="12" t="inlineStr">
        <is>
          <t>Guard</t>
        </is>
      </c>
      <c r="D233" s="13" t="inlineStr">
        <is>
          <t>TC-Commission-14</t>
        </is>
      </c>
      <c r="E233" s="12" t="inlineStr">
        <is>
          <t>Configuration That Could Drive a Batch Net to Zero Is Rejected at Save</t>
        </is>
      </c>
      <c r="F233" s="13" t="inlineStr">
        <is>
          <t>High</t>
        </is>
      </c>
      <c r="G233" s="12" t="inlineStr">
        <is>
          <t>Admin access to PoS scheme configuration</t>
        </is>
      </c>
      <c r="H233" s="12" t="inlineStr">
        <is>
          <t>1. Configure a fixed fee large enough to exceed a plausible small batch net (for example a fee harmless on 5,000 SAR but exceeding a 12 SAR batch)
2. Attempt to save</t>
        </is>
      </c>
      <c r="I233" s="12" t="inlineStr">
        <is>
          <t>The save is rejected by the zero-net guard; the configuration is not persisted</t>
        </is>
      </c>
      <c r="J233" s="13" t="inlineStr">
        <is>
          <t>Not Tested</t>
        </is>
      </c>
      <c r="K233" s="13" t="inlineStr">
        <is>
          <t>Negative</t>
        </is>
      </c>
    </row>
    <row r="234" ht="36" customHeight="1">
      <c r="A234" s="12" t="inlineStr">
        <is>
          <t>PoS Transactions V6.6.0 (EMI-5914)</t>
        </is>
      </c>
      <c r="B234" s="12" t="inlineStr">
        <is>
          <t>PoS Commission Config</t>
        </is>
      </c>
      <c r="C234" s="12" t="inlineStr">
        <is>
          <t>Guard</t>
        </is>
      </c>
      <c r="D234" s="13" t="inlineStr">
        <is>
          <t>TC-Commission-15</t>
        </is>
      </c>
      <c r="E234" s="12" t="inlineStr">
        <is>
          <t>Zero-Net Guard Error Names the Batch Size That Would Break It</t>
        </is>
      </c>
      <c r="F234" s="13" t="inlineStr">
        <is>
          <t>Medium</t>
        </is>
      </c>
      <c r="G234" s="12" t="inlineStr">
        <is>
          <t>A configuration that trips the zero-net guard</t>
        </is>
      </c>
      <c r="H234" s="12" t="inlineStr">
        <is>
          <t>1. Attempt to save it and read the validation message</t>
        </is>
      </c>
      <c r="I234" s="12" t="inlineStr">
        <is>
          <t>The message names the batch size at which the net would reach zero or below, rather than showing a generic error</t>
        </is>
      </c>
      <c r="J234" s="13" t="inlineStr">
        <is>
          <t>Not Tested</t>
        </is>
      </c>
      <c r="K234" s="13" t="inlineStr">
        <is>
          <t>Edge / Boundary</t>
        </is>
      </c>
    </row>
    <row r="235" ht="36" customHeight="1">
      <c r="A235" s="12" t="inlineStr">
        <is>
          <t>PoS Transactions V6.6.0 (EMI-5914)</t>
        </is>
      </c>
      <c r="B235" s="12" t="inlineStr">
        <is>
          <t>PoS Commission Config</t>
        </is>
      </c>
      <c r="C235" s="12" t="inlineStr">
        <is>
          <t>Validation</t>
        </is>
      </c>
      <c r="D235" s="13" t="inlineStr">
        <is>
          <t>TC-Commission-16</t>
        </is>
      </c>
      <c r="E235" s="12" t="inlineStr">
        <is>
          <t>Unknown Scheme Key Is Rejected at Configuration Time</t>
        </is>
      </c>
      <c r="F235" s="13" t="inlineStr">
        <is>
          <t>Medium</t>
        </is>
      </c>
      <c r="G235" s="12" t="inlineStr">
        <is>
          <t>Admin access to PoS scheme configuration</t>
        </is>
      </c>
      <c r="H235" s="12" t="inlineStr">
        <is>
          <t>1. Submit a scheme with an unrecognised key or an unknown Platform or TXN type value</t>
        </is>
      </c>
      <c r="I235" s="12" t="inlineStr">
        <is>
          <t>The configuration is rejected at save time with a clear reason; it never reaches pricing</t>
        </is>
      </c>
      <c r="J235" s="13" t="inlineStr">
        <is>
          <t>Not Tested</t>
        </is>
      </c>
      <c r="K235" s="13" t="inlineStr">
        <is>
          <t>Negative</t>
        </is>
      </c>
    </row>
    <row r="236" ht="36" customHeight="1">
      <c r="A236" s="12" t="inlineStr">
        <is>
          <t>PoS Transactions V6.6.0 (EMI-5914)</t>
        </is>
      </c>
      <c r="B236" s="12" t="inlineStr">
        <is>
          <t>PoS Commission Config</t>
        </is>
      </c>
      <c r="C236" s="12" t="inlineStr">
        <is>
          <t>Configuration</t>
        </is>
      </c>
      <c r="D236" s="13" t="inlineStr">
        <is>
          <t>TC-Commission-17</t>
        </is>
      </c>
      <c r="E236" s="12" t="inlineStr">
        <is>
          <t>Rates and VAT Treatment Change Without a Release</t>
        </is>
      </c>
      <c r="F236" s="13" t="inlineStr">
        <is>
          <t>High</t>
        </is>
      </c>
      <c r="G236" s="12" t="inlineStr">
        <is>
          <t>An active PoS scheme and a batch ready to price</t>
        </is>
      </c>
      <c r="H236" s="12" t="inlineStr">
        <is>
          <t>1. Change the rate, the fixed component and the VAT treatment through configuration
2. Price a new batch without deploying anything</t>
        </is>
      </c>
      <c r="I236" s="12" t="inlineStr">
        <is>
          <t>The new values take effect immediately with no release; pricing reflects them on the next batch</t>
        </is>
      </c>
      <c r="J236" s="13" t="inlineStr">
        <is>
          <t>Not Tested</t>
        </is>
      </c>
      <c r="K236" s="13" t="inlineStr">
        <is>
          <t>Configuration</t>
        </is>
      </c>
    </row>
    <row r="237" ht="36" customHeight="1">
      <c r="A237" s="12" t="inlineStr">
        <is>
          <t>PoS Transactions V6.6.0 (EMI-5914)</t>
        </is>
      </c>
      <c r="B237" s="12" t="inlineStr">
        <is>
          <t>PoS Commission Config</t>
        </is>
      </c>
      <c r="C237" s="12" t="inlineStr">
        <is>
          <t>Audit</t>
        </is>
      </c>
      <c r="D237" s="13" t="inlineStr">
        <is>
          <t>TC-Commission-18</t>
        </is>
      </c>
      <c r="E237" s="12" t="inlineStr">
        <is>
          <t>Configuration Changes Are Audit-Logged With Previous and New Values</t>
        </is>
      </c>
      <c r="F237" s="13" t="inlineStr">
        <is>
          <t>High</t>
        </is>
      </c>
      <c r="G237" s="12" t="inlineStr">
        <is>
          <t>Audit log accessible</t>
        </is>
      </c>
      <c r="H237" s="12" t="inlineStr">
        <is>
          <t>1. Change a PoS scheme
2. Inspect the audit entry</t>
        </is>
      </c>
      <c r="I237" s="12" t="inlineStr">
        <is>
          <t>The entry records actor, timestamp, previous values and new values</t>
        </is>
      </c>
      <c r="J237" s="13" t="inlineStr">
        <is>
          <t>Not Tested</t>
        </is>
      </c>
      <c r="K237" s="13" t="inlineStr">
        <is>
          <t>Security</t>
        </is>
      </c>
    </row>
    <row r="238" ht="36" customHeight="1">
      <c r="A238" s="12" t="inlineStr">
        <is>
          <t>PoS Transactions V6.6.0 (EMI-5914)</t>
        </is>
      </c>
      <c r="B238" s="12" t="inlineStr">
        <is>
          <t>PoS Commission Config</t>
        </is>
      </c>
      <c r="C238" s="12" t="inlineStr">
        <is>
          <t>Audit</t>
        </is>
      </c>
      <c r="D238" s="13" t="inlineStr">
        <is>
          <t>TC-Commission-19</t>
        </is>
      </c>
      <c r="E238" s="12" t="inlineStr">
        <is>
          <t>Configuration Changes Require Finance Approval</t>
        </is>
      </c>
      <c r="F238" s="13" t="inlineStr">
        <is>
          <t>Medium</t>
        </is>
      </c>
      <c r="G238" s="12" t="inlineStr">
        <is>
          <t>Existing platform approval controls active</t>
        </is>
      </c>
      <c r="H238" s="12" t="inlineStr">
        <is>
          <t>1. Submit a PoS scheme change as a platform admin
2. Attempt to have it take effect before Finance approves</t>
        </is>
      </c>
      <c r="I238" s="12" t="inlineStr">
        <is>
          <t>The change is routed through the existing approval control and does not take effect until Finance approves; previous and new values are shown side by side to the approver</t>
        </is>
      </c>
      <c r="J238" s="13" t="inlineStr">
        <is>
          <t>Not Tested</t>
        </is>
      </c>
      <c r="K238" s="13" t="inlineStr">
        <is>
          <t>Security</t>
        </is>
      </c>
    </row>
    <row r="239" ht="36" customHeight="1">
      <c r="A239" s="12" t="inlineStr">
        <is>
          <t>PoS Transactions V6.6.0 (EMI-5914)</t>
        </is>
      </c>
      <c r="B239" s="12" t="inlineStr">
        <is>
          <t>PoS Commission Config</t>
        </is>
      </c>
      <c r="C239" s="12" t="inlineStr">
        <is>
          <t>Audit</t>
        </is>
      </c>
      <c r="D239" s="13" t="inlineStr">
        <is>
          <t>TC-Commission-20</t>
        </is>
      </c>
      <c r="E239" s="12" t="inlineStr">
        <is>
          <t>Change History Is Visible per Merchant</t>
        </is>
      </c>
      <c r="F239" s="13" t="inlineStr">
        <is>
          <t>Medium</t>
        </is>
      </c>
      <c r="G239" s="12" t="inlineStr">
        <is>
          <t>A merchant whose PoS scheme has been changed more than once</t>
        </is>
      </c>
      <c r="H239" s="12" t="inlineStr">
        <is>
          <t>1. Open the change history for that merchant</t>
        </is>
      </c>
      <c r="I239" s="12" t="inlineStr">
        <is>
          <t>The full change history is listed with actor, timestamp and the values before and after each change</t>
        </is>
      </c>
      <c r="J239" s="13" t="inlineStr">
        <is>
          <t>Not Tested</t>
        </is>
      </c>
      <c r="K239" s="13" t="inlineStr">
        <is>
          <t>Security</t>
        </is>
      </c>
    </row>
    <row r="240" ht="36" customHeight="1">
      <c r="A240" s="12" t="inlineStr">
        <is>
          <t>PoS Transactions V6.6.0 (EMI-5914)</t>
        </is>
      </c>
      <c r="B240" s="12" t="inlineStr">
        <is>
          <t>PoS Commission Config</t>
        </is>
      </c>
      <c r="C240" s="12" t="inlineStr">
        <is>
          <t>UI</t>
        </is>
      </c>
      <c r="D240" s="13" t="inlineStr">
        <is>
          <t>TC-Commission-21</t>
        </is>
      </c>
      <c r="E240" s="12" t="inlineStr">
        <is>
          <t>Admin Screen Shows the Resolution Precedence in Force</t>
        </is>
      </c>
      <c r="F240" s="13" t="inlineStr">
        <is>
          <t>Medium</t>
        </is>
      </c>
      <c r="G240" s="12" t="inlineStr">
        <is>
          <t>Schemes configured at merchant, group and default level</t>
        </is>
      </c>
      <c r="H240" s="12" t="inlineStr">
        <is>
          <t>1. Open the PoS commission configuration screen for a merchant</t>
        </is>
      </c>
      <c r="I240" s="12" t="inlineStr">
        <is>
          <t>The screen shows which precedence level is in force for that merchant, so an admin can see which scheme the merchant will actually get without inferring it</t>
        </is>
      </c>
      <c r="J240" s="13" t="inlineStr">
        <is>
          <t>Not Tested</t>
        </is>
      </c>
      <c r="K240" s="13" t="inlineStr">
        <is>
          <t>Usability</t>
        </is>
      </c>
    </row>
    <row r="241" ht="36" customHeight="1">
      <c r="A241" s="12" t="inlineStr">
        <is>
          <t>PoS Transactions V6.6.0 (EMI-5914)</t>
        </is>
      </c>
      <c r="B241" s="12" t="inlineStr">
        <is>
          <t>PoS Commission Config</t>
        </is>
      </c>
      <c r="C241" s="12" t="inlineStr">
        <is>
          <t>UI</t>
        </is>
      </c>
      <c r="D241" s="13" t="inlineStr">
        <is>
          <t>TC-Commission-22</t>
        </is>
      </c>
      <c r="E241" s="12" t="inlineStr">
        <is>
          <t>No New Fee-Configuration UI Is Introduced</t>
        </is>
      </c>
      <c r="F241" s="13" t="inlineStr">
        <is>
          <t>Medium</t>
        </is>
      </c>
      <c r="G241" s="12" t="inlineStr">
        <is>
          <t>Admin panel available</t>
        </is>
      </c>
      <c r="H241" s="12" t="inlineStr">
        <is>
          <t>1. Configure the PoS scheme end to end</t>
        </is>
      </c>
      <c r="I241" s="12" t="inlineStr">
        <is>
          <t>Configuration happens entirely in the existing commission engine admin screens; no new fee-configuration UI exists</t>
        </is>
      </c>
      <c r="J241" s="13" t="inlineStr">
        <is>
          <t>Not Tested</t>
        </is>
      </c>
      <c r="K241" s="13" t="inlineStr">
        <is>
          <t>Usability</t>
        </is>
      </c>
    </row>
    <row r="242" ht="36" customHeight="1">
      <c r="A242" s="12" t="inlineStr">
        <is>
          <t>PoS Transactions V6.6.0 (EMI-5914)</t>
        </is>
      </c>
      <c r="B242" s="12" t="inlineStr">
        <is>
          <t>PoS Commission Config</t>
        </is>
      </c>
      <c r="C242" s="12" t="inlineStr">
        <is>
          <t>Integration</t>
        </is>
      </c>
      <c r="D242" s="13" t="inlineStr">
        <is>
          <t>TC-Commission-23</t>
        </is>
      </c>
      <c r="E242" s="12" t="inlineStr">
        <is>
          <t>Engine Is Called at ACH Preparation With the Aggregated Cash-In</t>
        </is>
      </c>
      <c r="F242" s="13" t="inlineStr">
        <is>
          <t>High</t>
        </is>
      </c>
      <c r="G242" s="12" t="inlineStr">
        <is>
          <t>A settlement batch ready for ACH preparation (EMI-5922)</t>
        </is>
      </c>
      <c r="H242" s="12" t="inlineStr">
        <is>
          <t>1. Run ACH preparation
2. Trace the call into the commission engine and the entries posted</t>
        </is>
      </c>
      <c r="I242" s="12" t="inlineStr">
        <is>
          <t>EMI-5922 calls the engine with the aggregated cash-in; the returned commission and VAT are posted as pending entries alongside the pending cash-in</t>
        </is>
      </c>
      <c r="J242" s="13" t="inlineStr">
        <is>
          <t>Not Tested</t>
        </is>
      </c>
      <c r="K242" s="13" t="inlineStr">
        <is>
          <t>Integration</t>
        </is>
      </c>
    </row>
    <row r="243" ht="36" customHeight="1">
      <c r="A243" s="12" t="inlineStr">
        <is>
          <t>PoS Transactions V6.6.0 (EMI-5914)</t>
        </is>
      </c>
      <c r="B243" s="12" t="inlineStr">
        <is>
          <t>PoS Commission Config</t>
        </is>
      </c>
      <c r="C243" s="12" t="inlineStr">
        <is>
          <t>Non-Functional</t>
        </is>
      </c>
      <c r="D243" s="13" t="inlineStr">
        <is>
          <t>TC-Commission-24</t>
        </is>
      </c>
      <c r="E243" s="12" t="inlineStr">
        <is>
          <t>Scheme Resolution Is O(1) at Pricing Time</t>
        </is>
      </c>
      <c r="F243" s="13" t="inlineStr">
        <is>
          <t>Medium</t>
        </is>
      </c>
      <c r="G243" s="12" t="inlineStr">
        <is>
          <t>A large number of configured schemes across merchants and groups</t>
        </is>
      </c>
      <c r="H243" s="12" t="inlineStr">
        <is>
          <t>1. Price batches while scaling the number of configured schemes
2. Measure resolution time</t>
        </is>
      </c>
      <c r="I243" s="12" t="inlineStr">
        <is>
          <t>Resolution time stays flat as the scheme count grows; it does not degrade with configuration volume</t>
        </is>
      </c>
      <c r="J243" s="13" t="inlineStr">
        <is>
          <t>Not Tested</t>
        </is>
      </c>
      <c r="K243" s="13" t="inlineStr">
        <is>
          <t>Performance / NFR</t>
        </is>
      </c>
    </row>
    <row r="244" ht="36" customHeight="1">
      <c r="A244" s="12" t="inlineStr">
        <is>
          <t>PoS Transactions V6.6.0 (EMI-5914)</t>
        </is>
      </c>
      <c r="B244" s="12" t="inlineStr">
        <is>
          <t>PoS Commission Config</t>
        </is>
      </c>
      <c r="C244" s="12" t="inlineStr">
        <is>
          <t>Non-Functional</t>
        </is>
      </c>
      <c r="D244" s="13" t="inlineStr">
        <is>
          <t>TC-Commission-25</t>
        </is>
      </c>
      <c r="E244" s="12" t="inlineStr">
        <is>
          <t>No New Fee Engine, Rounding Rule or VAT Logic Is Introduced</t>
        </is>
      </c>
      <c r="F244" s="13" t="inlineStr">
        <is>
          <t>High</t>
        </is>
      </c>
      <c r="G244" s="12" t="inlineStr">
        <is>
          <t>Existing engine behaviour documented for comparison</t>
        </is>
      </c>
      <c r="H244" s="12" t="inlineStr">
        <is>
          <t>1. Price PoS batches and comparable non-PoS transactions
2. Compare rounding, VAT computation and fee composition against the existing engine's behaviour</t>
        </is>
      </c>
      <c r="I244" s="12" t="inlineStr">
        <is>
          <t>Behaviour matches the existing engine exactly; any divergence in rounding, VAT or fee logic is a defect in this story, not a feature</t>
        </is>
      </c>
      <c r="J244" s="13" t="inlineStr">
        <is>
          <t>Not Tested</t>
        </is>
      </c>
      <c r="K244" s="13" t="inlineStr">
        <is>
          <t>Edge / Boundary</t>
        </is>
      </c>
    </row>
    <row r="245" ht="36" customHeight="1">
      <c r="A245" s="12" t="inlineStr">
        <is>
          <t>PoS Transactions V6.6.0 (EMI-5914)</t>
        </is>
      </c>
      <c r="B245" s="12" t="inlineStr">
        <is>
          <t>PoS Commission Config</t>
        </is>
      </c>
      <c r="C245" s="12" t="inlineStr">
        <is>
          <t>Functional</t>
        </is>
      </c>
      <c r="D245" s="13" t="inlineStr">
        <is>
          <t>TC-Commission-26</t>
        </is>
      </c>
      <c r="E245" s="12" t="inlineStr">
        <is>
          <t>Merchant Sees Commission on the Cleared Cash-In, Rendered Elsewhere</t>
        </is>
      </c>
      <c r="F245" s="13" t="inlineStr">
        <is>
          <t>Medium</t>
        </is>
      </c>
      <c r="G245" s="12" t="inlineStr">
        <is>
          <t>A priced and cleared PoS settlement cash-in</t>
        </is>
      </c>
      <c r="H245" s="12" t="inlineStr">
        <is>
          <t>1. Open the merchant view of the cleared cash-in (EMI-5916)
2. Check for a tax invoice from EMI-6018</t>
        </is>
      </c>
      <c r="I245" s="12" t="inlineStr">
        <is>
          <t>The merchant sees the commission on the cleared cash-in rendered by EMI-5916 and receives the tax invoice from EMI-6018; this story builds no merchant-facing surface of its own</t>
        </is>
      </c>
      <c r="J245" s="13" t="inlineStr">
        <is>
          <t>Not Tested</t>
        </is>
      </c>
      <c r="K245" s="13" t="inlineStr">
        <is>
          <t>Functional</t>
        </is>
      </c>
    </row>
    <row r="246" ht="36" customHeight="1">
      <c r="A246" s="12" t="inlineStr">
        <is>
          <t>PoS Transactions V6.6.0 (EMI-5914)</t>
        </is>
      </c>
      <c r="B246" s="12" t="inlineStr">
        <is>
          <t>PoS Commission Config</t>
        </is>
      </c>
      <c r="C246" s="12" t="inlineStr">
        <is>
          <t>Boundary</t>
        </is>
      </c>
      <c r="D246" s="13" t="inlineStr">
        <is>
          <t>TC-Commission-27</t>
        </is>
      </c>
      <c r="E246" s="12" t="inlineStr">
        <is>
          <t>Rounding - Fee Legs Round Down and the Destination Absorbs the Remainder</t>
        </is>
      </c>
      <c r="F246" s="13" t="inlineStr">
        <is>
          <t>High</t>
        </is>
      </c>
      <c r="G246" s="12" t="inlineStr">
        <is>
          <t>A batch amount and rate combination that does not divide cleanly to 2 decimal places</t>
        </is>
      </c>
      <c r="H246" s="12" t="inlineStr">
        <is>
          <t>1. Price the batch
2. Inspect the commission leg, the VAT leg and the merchant credit to the halalah
3. Sum all legs against the batch net</t>
        </is>
      </c>
      <c r="I246" s="12" t="inlineStr">
        <is>
          <t>Fee legs are rounded down to 2 decimal places and the merchant credit absorbs the rounding remainder; total conservation is exact to the halalah with nothing created or lost</t>
        </is>
      </c>
      <c r="J246" s="13" t="inlineStr">
        <is>
          <t>Not Tested</t>
        </is>
      </c>
      <c r="K246" s="13" t="inlineStr">
        <is>
          <t>Edge / Boundary</t>
        </is>
      </c>
    </row>
    <row r="247" ht="36" customHeight="1">
      <c r="A247" s="12" t="inlineStr">
        <is>
          <t>PoS Transactions V6.6.0 (EMI-5914)</t>
        </is>
      </c>
      <c r="B247" s="12" t="inlineStr">
        <is>
          <t>PoS Commission Config</t>
        </is>
      </c>
      <c r="C247" s="12" t="inlineStr">
        <is>
          <t>Functional</t>
        </is>
      </c>
      <c r="D247" s="13" t="inlineStr">
        <is>
          <t>TC-Commission-28</t>
        </is>
      </c>
      <c r="E247" s="12" t="inlineStr">
        <is>
          <t>Scheme Resolution Precedence Across the Full Key Matrix</t>
        </is>
      </c>
      <c r="F247" s="13" t="inlineStr">
        <is>
          <t>Medium</t>
        </is>
      </c>
      <c r="G247" s="12" t="inlineStr">
        <is>
          <t>Schemes configured across merchant, group and default levels and across the optional dimensions the engine supports</t>
        </is>
      </c>
      <c r="H247" s="12" t="inlineStr">
        <is>
          <t>1. Price batches across every combination of the full scheme key, including any optional dimension such as MCC
2. Record which scheme resolves in each case</t>
        </is>
      </c>
      <c r="I247" s="12" t="inlineStr">
        <is>
          <t>Most-specific-wins holds across the whole key in every combination, not only the merchant-versus-default cases</t>
        </is>
      </c>
      <c r="J247" s="13" t="inlineStr">
        <is>
          <t>Not Tested</t>
        </is>
      </c>
      <c r="K247" s="13" t="inlineStr">
        <is>
          <t>Functional</t>
        </is>
      </c>
    </row>
    <row r="248" ht="36" customHeight="1">
      <c r="A248" s="12" t="inlineStr">
        <is>
          <t>PoS Transactions V6.6.0 (EMI-5914)</t>
        </is>
      </c>
      <c r="B248" s="12" t="inlineStr">
        <is>
          <t>PoS Commission Config</t>
        </is>
      </c>
      <c r="C248" s="12" t="inlineStr">
        <is>
          <t>Functional</t>
        </is>
      </c>
      <c r="D248" s="13" t="inlineStr">
        <is>
          <t>TC-Commission-29</t>
        </is>
      </c>
      <c r="E248" s="12" t="inlineStr">
        <is>
          <t>Wallet Instrument Resolves a Different Scheme From Card for the Same Merchant</t>
        </is>
      </c>
      <c r="F248" s="13" t="inlineStr">
        <is>
          <t>Medium</t>
        </is>
      </c>
      <c r="G248" s="12" t="inlineStr">
        <is>
          <t>One merchant with both a card PoS scheme and a wallet-payment scheme configured</t>
        </is>
      </c>
      <c r="H248" s="12" t="inlineStr">
        <is>
          <t>1. Price a card settlement batch for the merchant
2. Price a wallet payment at terminal for the same merchant
3. Compare the schemes resolved</t>
        </is>
      </c>
      <c r="I248" s="12" t="inlineStr">
        <is>
          <t>Each instrument resolves its own scheme; a wallet payment is never priced by the card settlement scheme or the reverse</t>
        </is>
      </c>
      <c r="J248" s="13" t="inlineStr">
        <is>
          <t>Not Tested</t>
        </is>
      </c>
      <c r="K248" s="13" t="inlineStr">
        <is>
          <t>Functional</t>
        </is>
      </c>
    </row>
    <row r="249" ht="36" customHeight="1">
      <c r="A249" s="12" t="inlineStr">
        <is>
          <t>PoS Transactions V6.6.0 (EMI-5914)</t>
        </is>
      </c>
      <c r="B249" s="12" t="inlineStr">
        <is>
          <t>PoS Commission Config</t>
        </is>
      </c>
      <c r="C249" s="12" t="inlineStr">
        <is>
          <t>Open Question</t>
        </is>
      </c>
      <c r="D249" s="13" t="inlineStr">
        <is>
          <t>TC-Commission-30</t>
        </is>
      </c>
      <c r="E249" s="12" t="inlineStr">
        <is>
          <t>Scheme Change Between Booking and Crediting - Snapshot vs Re-Price</t>
        </is>
      </c>
      <c r="F249" s="13" t="inlineStr">
        <is>
          <t>High</t>
        </is>
      </c>
      <c r="G249" s="12" t="inlineStr">
        <is>
          <t>A batch booked under scheme A, with scheme B configured before the credit clears</t>
        </is>
      </c>
      <c r="H249" s="12" t="inlineStr">
        <is>
          <t>1. Book the batch under scheme A
2. Change the merchant's scheme to B
3. Let the credit clear and inspect which rate was applied</t>
        </is>
      </c>
      <c r="I249" s="12" t="inlineStr">
        <is>
          <t>Confirm with Product whether the rate is frozen at booking or resolved at pricing time. Current EMI-5921 acceptance criteria say only that the engine is called at ACH preparation and are silent on snapshotting; an earlier suite asserted a frozen snapshot. Historical batches must not be silently re-priced either way</t>
        </is>
      </c>
      <c r="J249" s="13" t="inlineStr">
        <is>
          <t>Not Tested</t>
        </is>
      </c>
      <c r="K249" s="13" t="inlineStr">
        <is>
          <t>Open Question</t>
        </is>
      </c>
    </row>
    <row r="250" ht="36" customHeight="1">
      <c r="A250" s="12" t="inlineStr">
        <is>
          <t>PoS Transactions V6.6.0 (EMI-5914)</t>
        </is>
      </c>
      <c r="B250" s="12" t="inlineStr">
        <is>
          <t>PoS Commission Config</t>
        </is>
      </c>
      <c r="C250" s="12" t="inlineStr">
        <is>
          <t>Open Question</t>
        </is>
      </c>
      <c r="D250" s="13" t="inlineStr">
        <is>
          <t>TC-Commission-31</t>
        </is>
      </c>
      <c r="E250" s="12" t="inlineStr">
        <is>
          <t>Per-Scheme Refund Fee Policy - Blocked on O43</t>
        </is>
      </c>
      <c r="F250" s="13" t="inlineStr">
        <is>
          <t>Medium</t>
        </is>
      </c>
      <c r="G250" s="12" t="inlineStr">
        <is>
          <t>A scheme carrying any refund fee-policy setting</t>
        </is>
      </c>
      <c r="H250" s="12" t="inlineStr">
        <is>
          <t>1. Inspect whether a refund fee-policy flag exists on the PoS scheme
2. Capture a refund against a priced sale</t>
        </is>
      </c>
      <c r="I250" s="12" t="inlineStr">
        <is>
          <t>EMI-5921 places commission refund and claw-back out of scope pending O43. Assert that no refund-driven fee reversal occurs today. Re-scope once O43 is answered and EMI-5918's debit path is designed</t>
        </is>
      </c>
      <c r="J250" s="13" t="inlineStr">
        <is>
          <t>Not Tested</t>
        </is>
      </c>
      <c r="K250" s="13" t="inlineStr">
        <is>
          <t>Open Question</t>
        </is>
      </c>
    </row>
    <row r="251" ht="36" customHeight="1">
      <c r="A251" s="12" t="inlineStr">
        <is>
          <t>PoS Transactions V6.6.0 (EMI-5914)</t>
        </is>
      </c>
      <c r="B251" s="12" t="inlineStr">
        <is>
          <t>ACH &amp; VIBAN per TID</t>
        </is>
      </c>
      <c r="C251" s="12" t="inlineStr">
        <is>
          <t>Functional</t>
        </is>
      </c>
      <c r="D251" s="13" t="inlineStr">
        <is>
          <t>TC-ACH-01</t>
        </is>
      </c>
      <c r="E251" s="12" t="inlineStr">
        <is>
          <t>Matched Aggregate – ACH Item Generation</t>
        </is>
      </c>
      <c r="F251" s="13" t="inlineStr">
        <is>
          <t>Critical</t>
        </is>
      </c>
      <c r="G251" s="12" t="inlineStr">
        <is>
          <t>Aggregate is matched and funded by Reconciliation; merchant is eligible</t>
        </is>
      </c>
      <c r="H251" s="12" t="inlineStr">
        <is>
          <t>1. Handoff matched aggregate to settlement.
2. Build settlement batch.
3. Inspect generated ACH item.</t>
        </is>
      </c>
      <c r="I251" s="12" t="inlineStr">
        <is>
          <t>One settlement item is created per TID group. item_ref, batch_ref, TID, wallet, VIBAN and aggregate net amount are persisted. Item is AWAITING_APPROVAL.</t>
        </is>
      </c>
      <c r="J251" s="13" t="inlineStr">
        <is>
          <t>NA</t>
        </is>
      </c>
      <c r="K251" s="13" t="inlineStr">
        <is>
          <t>Functional</t>
        </is>
      </c>
    </row>
    <row r="252" ht="36" customHeight="1">
      <c r="A252" s="12" t="inlineStr">
        <is>
          <t>PoS Transactions V6.6.0 (EMI-5914)</t>
        </is>
      </c>
      <c r="B252" s="12" t="inlineStr">
        <is>
          <t>ACH &amp; VIBAN per TID</t>
        </is>
      </c>
      <c r="C252" s="12" t="inlineStr">
        <is>
          <t>Functional</t>
        </is>
      </c>
      <c r="D252" s="13" t="inlineStr">
        <is>
          <t>TC-ACH-02</t>
        </is>
      </c>
      <c r="E252" s="12" t="inlineStr">
        <is>
          <t>One Merchant With Multiple TIDs</t>
        </is>
      </c>
      <c r="F252" s="13" t="inlineStr">
        <is>
          <t>Critical</t>
        </is>
      </c>
      <c r="G252" s="12" t="inlineStr">
        <is>
          <t>One merchant has 3 TIDs with separate matched aggregates</t>
        </is>
      </c>
      <c r="H252" s="12" t="inlineStr">
        <is>
          <t>1. Process the three aggregates.
2. Build settlement batch.</t>
        </is>
      </c>
      <c r="I252" s="12" t="inlineStr">
        <is>
          <t>Exactly 3 ACH items / 3 transfers are created. Each item has its own batch_ref and amount. Items are not aggregated across TIDs.</t>
        </is>
      </c>
      <c r="J252" s="13" t="inlineStr">
        <is>
          <t>NA</t>
        </is>
      </c>
      <c r="K252" s="13" t="inlineStr">
        <is>
          <t>Edge / Boundary</t>
        </is>
      </c>
    </row>
    <row r="253" ht="36" customHeight="1">
      <c r="A253" s="12" t="inlineStr">
        <is>
          <t>PoS Transactions V6.6.0 (EMI-5914)</t>
        </is>
      </c>
      <c r="B253" s="12" t="inlineStr">
        <is>
          <t>ACH &amp; VIBAN per TID</t>
        </is>
      </c>
      <c r="C253" s="12" t="inlineStr">
        <is>
          <t>Functional</t>
        </is>
      </c>
      <c r="D253" s="13" t="inlineStr">
        <is>
          <t>TC-ACH-03</t>
        </is>
      </c>
      <c r="E253" s="12" t="inlineStr">
        <is>
          <t>Idempotent ACH Generation</t>
        </is>
      </c>
      <c r="F253" s="13" t="inlineStr">
        <is>
          <t>Critical</t>
        </is>
      </c>
      <c r="G253" s="12" t="inlineStr">
        <is>
          <t>Valid matched aggregate already generated an ACH item</t>
        </is>
      </c>
      <c r="H253" s="12" t="inlineStr">
        <is>
          <t>1. Run generation.
2. Re-run reconciliation/batch build.
3. Re-run catch-up/rebuild.</t>
        </is>
      </c>
      <c r="I253" s="12" t="inlineStr">
        <is>
          <t>Only one ACH item/transfer exists for the batch_ref. No duplicate payment or settlement item is created.</t>
        </is>
      </c>
      <c r="J253" s="13" t="inlineStr">
        <is>
          <t>NA</t>
        </is>
      </c>
      <c r="K253" s="13" t="inlineStr">
        <is>
          <t>Integration</t>
        </is>
      </c>
    </row>
    <row r="254" ht="36" customHeight="1">
      <c r="A254" s="12" t="inlineStr">
        <is>
          <t>PoS Transactions V6.6.0 (EMI-5914)</t>
        </is>
      </c>
      <c r="B254" s="12" t="inlineStr">
        <is>
          <t>ACH &amp; VIBAN per TID</t>
        </is>
      </c>
      <c r="C254" s="12" t="inlineStr">
        <is>
          <t>Functional</t>
        </is>
      </c>
      <c r="D254" s="13" t="inlineStr">
        <is>
          <t>TC-ACH-04</t>
        </is>
      </c>
      <c r="E254" s="12" t="inlineStr">
        <is>
          <t>Gate 2 – Merchant Eligibility and Sanctions Check</t>
        </is>
      </c>
      <c r="F254" s="13" t="inlineStr">
        <is>
          <t>Critical</t>
        </is>
      </c>
      <c r="G254" s="12" t="inlineStr">
        <is>
          <t>Aggregate matched; merchant status changes after initial screening</t>
        </is>
      </c>
      <c r="H254" s="12" t="inlineStr">
        <is>
          <t>1. Change merchant eligibility before batch release.
2. Run Gate 2.
3. Repeat with a newly matched sanctions hit.</t>
        </is>
      </c>
      <c r="I254" s="12" t="inlineStr">
        <is>
          <t>Failed eligibility or sanctions screening excludes the item from release. Funds remain in the omnibus. No ACH instruction is released.</t>
        </is>
      </c>
      <c r="J254" s="13" t="inlineStr">
        <is>
          <t>NA</t>
        </is>
      </c>
      <c r="K254" s="13" t="inlineStr">
        <is>
          <t>Functional</t>
        </is>
      </c>
    </row>
    <row r="255" ht="36" customHeight="1">
      <c r="A255" s="12" t="inlineStr">
        <is>
          <t>PoS Transactions V6.6.0 (EMI-5914)</t>
        </is>
      </c>
      <c r="B255" s="12" t="inlineStr">
        <is>
          <t>ACH &amp; VIBAN per TID</t>
        </is>
      </c>
      <c r="C255" s="12" t="inlineStr">
        <is>
          <t>Functional</t>
        </is>
      </c>
      <c r="D255" s="13" t="inlineStr">
        <is>
          <t>TC-ACH-05</t>
        </is>
      </c>
      <c r="E255" s="12" t="inlineStr">
        <is>
          <t>ACH Reference Propagation</t>
        </is>
      </c>
      <c r="F255" s="13" t="inlineStr">
        <is>
          <t>Critical</t>
        </is>
      </c>
      <c r="G255" s="12" t="inlineStr">
        <is>
          <t>Valid settlement item with known batch_ref</t>
        </is>
      </c>
      <c r="H255" s="12" t="inlineStr">
        <is>
          <t>1. Generate ACH instruction.
2. Inspect ACH request.</t>
        </is>
      </c>
      <c r="I255" s="12" t="inlineStr">
        <is>
          <t>batch_ref is written to the ACH notes/remittance field unchanged. The same reference is available for subsequent clearing.</t>
        </is>
      </c>
      <c r="J255" s="13" t="inlineStr">
        <is>
          <t>NA</t>
        </is>
      </c>
      <c r="K255" s="13" t="inlineStr">
        <is>
          <t>Functional</t>
        </is>
      </c>
    </row>
    <row r="256" ht="36" customHeight="1">
      <c r="A256" s="12" t="inlineStr">
        <is>
          <t>PoS Transactions V6.6.0 (EMI-5914)</t>
        </is>
      </c>
      <c r="B256" s="12" t="inlineStr">
        <is>
          <t>ACH &amp; VIBAN per TID</t>
        </is>
      </c>
      <c r="C256" s="12" t="inlineStr">
        <is>
          <t>Functional</t>
        </is>
      </c>
      <c r="D256" s="13" t="inlineStr">
        <is>
          <t>TC-ACH-06</t>
        </is>
      </c>
      <c r="E256" s="12" t="inlineStr">
        <is>
          <t>Maker-Checker Approval</t>
        </is>
      </c>
      <c r="F256" s="13" t="inlineStr">
        <is>
          <t>Critical</t>
        </is>
      </c>
      <c r="G256" s="12" t="inlineStr">
        <is>
          <t>Default automatic mode is disabled</t>
        </is>
      </c>
      <c r="H256" s="12" t="inlineStr">
        <is>
          <t>1. Generate valid ACH items.
2. Review approval status.
3. Finance approves.
4. Release transfer.</t>
        </is>
      </c>
      <c r="I256" s="12" t="inlineStr">
        <is>
          <t>ACH item cannot be released before Finance approval. Approval and release are audit logged with actor and batch_ref.</t>
        </is>
      </c>
      <c r="J256" s="13" t="inlineStr">
        <is>
          <t>NA</t>
        </is>
      </c>
      <c r="K256" s="13" t="inlineStr">
        <is>
          <t>Functional</t>
        </is>
      </c>
    </row>
    <row r="257" ht="36" customHeight="1">
      <c r="A257" s="12" t="inlineStr">
        <is>
          <t>PoS Transactions V6.6.0 (EMI-5914)</t>
        </is>
      </c>
      <c r="B257" s="12" t="inlineStr">
        <is>
          <t>ACH &amp; VIBAN per TID</t>
        </is>
      </c>
      <c r="C257" s="12" t="inlineStr">
        <is>
          <t>Functional</t>
        </is>
      </c>
      <c r="D257" s="13" t="inlineStr">
        <is>
          <t>TC-ACH-07</t>
        </is>
      </c>
      <c r="E257" s="12" t="inlineStr">
        <is>
          <t>Automatic Release Mode</t>
        </is>
      </c>
      <c r="F257" s="13" t="inlineStr">
        <is>
          <t>High</t>
        </is>
      </c>
      <c r="G257" s="12" t="inlineStr">
        <is>
          <t>Automatic mode explicitly enabled and item meets configured threshold</t>
        </is>
      </c>
      <c r="H257" s="12" t="inlineStr">
        <is>
          <t>1. Enable auto-release configuration.
2. Generate eligible item.
3. Process release.</t>
        </is>
      </c>
      <c r="I257" s="12" t="inlineStr">
        <is>
          <t>Item is released automatically without manual approval. Auto-release decision is audit logged. Items outside threshold remain subject to control.</t>
        </is>
      </c>
      <c r="J257" s="13" t="inlineStr">
        <is>
          <t>NA</t>
        </is>
      </c>
      <c r="K257" s="13" t="inlineStr">
        <is>
          <t>Functional</t>
        </is>
      </c>
    </row>
    <row r="258" ht="36" customHeight="1">
      <c r="A258" s="12" t="inlineStr">
        <is>
          <t>PoS Transactions V6.6.0 (EMI-5914)</t>
        </is>
      </c>
      <c r="B258" s="12" t="inlineStr">
        <is>
          <t>ACH &amp; VIBAN per TID</t>
        </is>
      </c>
      <c r="C258" s="12" t="inlineStr">
        <is>
          <t>Functional</t>
        </is>
      </c>
      <c r="D258" s="13" t="inlineStr">
        <is>
          <t>TC-ACH-08</t>
        </is>
      </c>
      <c r="E258" s="12" t="inlineStr">
        <is>
          <t>Intraday Credit Clears Pending Cash-In</t>
        </is>
      </c>
      <c r="F258" s="13" t="inlineStr">
        <is>
          <t>Critical</t>
        </is>
      </c>
      <c r="G258" s="12" t="inlineStr">
        <is>
          <t>ACH executed; intraday statement contains credit with matching batch_ref; credit amount equals pending amount</t>
        </is>
      </c>
      <c r="H258" s="12" t="inlineStr">
        <is>
          <t>1. Process intraday statement.
2. Find credit using batch_ref.
3. Check pending cash-in.</t>
        </is>
      </c>
      <c r="I258" s="12" t="inlineStr">
        <is>
          <t>Existing aggregated CASH IN changes from PENDING → SUCCESSFUL. Member per-TID entries settle accordingly. No new cash-in is created.</t>
        </is>
      </c>
      <c r="J258" s="13" t="inlineStr">
        <is>
          <t>NA</t>
        </is>
      </c>
      <c r="K258" s="13" t="inlineStr">
        <is>
          <t>Functional</t>
        </is>
      </c>
    </row>
    <row r="259" ht="36" customHeight="1">
      <c r="A259" s="12" t="inlineStr">
        <is>
          <t>PoS Transactions V6.6.0 (EMI-5914)</t>
        </is>
      </c>
      <c r="B259" s="12" t="inlineStr">
        <is>
          <t>ACH &amp; VIBAN per TID</t>
        </is>
      </c>
      <c r="C259" s="12" t="inlineStr">
        <is>
          <t>Functional</t>
        </is>
      </c>
      <c r="D259" s="13" t="inlineStr">
        <is>
          <t>TC-ACH-09</t>
        </is>
      </c>
      <c r="E259" s="12" t="inlineStr">
        <is>
          <t>Intraday Credit Amount Mismatch</t>
        </is>
      </c>
      <c r="F259" s="13" t="inlineStr">
        <is>
          <t>Critical</t>
        </is>
      </c>
      <c r="G259" s="12" t="inlineStr">
        <is>
          <t>Credit reference matches batch_ref, but credited amount differs from pending amount</t>
        </is>
      </c>
      <c r="H259" s="12" t="inlineStr">
        <is>
          <t>1. Process intraday statement.
2. Match reference.
3. Compare amounts.</t>
        </is>
      </c>
      <c r="I259" s="12" t="inlineStr">
        <is>
          <t>Pending cash-in remains unchanged/PENDING. Nothing is partially cleared. Item moves to discrepancy queue. No additional cash-in is booked.</t>
        </is>
      </c>
      <c r="J259" s="13" t="inlineStr">
        <is>
          <t>NA</t>
        </is>
      </c>
      <c r="K259" s="13" t="inlineStr">
        <is>
          <t>Functional</t>
        </is>
      </c>
    </row>
    <row r="260" ht="36" customHeight="1">
      <c r="A260" s="12" t="inlineStr">
        <is>
          <t>PoS Transactions V6.6.0 (EMI-5914)</t>
        </is>
      </c>
      <c r="B260" s="12" t="inlineStr">
        <is>
          <t>ACH &amp; VIBAN per TID</t>
        </is>
      </c>
      <c r="C260" s="12" t="inlineStr">
        <is>
          <t>Functional</t>
        </is>
      </c>
      <c r="D260" s="13" t="inlineStr">
        <is>
          <t>TC-ACH-10</t>
        </is>
      </c>
      <c r="E260" s="12" t="inlineStr">
        <is>
          <t>Credit Without Valid Reference</t>
        </is>
      </c>
      <c r="F260" s="13" t="inlineStr">
        <is>
          <t>Critical</t>
        </is>
      </c>
      <c r="G260" s="12" t="inlineStr">
        <is>
          <t>Intraday credit has no recognizable batch_ref or contains a malformed/truncated reference</t>
        </is>
      </c>
      <c r="H260" s="12" t="inlineStr">
        <is>
          <t>1. Process statement credit.
2. Run clearing job.</t>
        </is>
      </c>
      <c r="I260" s="12" t="inlineStr">
        <is>
          <t>Credit is parked for Ops. No matching by amount/date is attempted. No pending cash-in is cleared. Reference integrity issue is raised.</t>
        </is>
      </c>
      <c r="J260" s="13" t="inlineStr">
        <is>
          <t>NA</t>
        </is>
      </c>
      <c r="K260" s="13" t="inlineStr">
        <is>
          <t>Functional</t>
        </is>
      </c>
    </row>
    <row r="261" ht="36" customHeight="1">
      <c r="A261" s="12" t="inlineStr">
        <is>
          <t>PoS Transactions V6.6.0 (EMI-5914)</t>
        </is>
      </c>
      <c r="B261" s="12" t="inlineStr">
        <is>
          <t>ACH &amp; VIBAN per TID</t>
        </is>
      </c>
      <c r="C261" s="12" t="inlineStr">
        <is>
          <t>Functional</t>
        </is>
      </c>
      <c r="D261" s="13" t="inlineStr">
        <is>
          <t>TC-ACH-11</t>
        </is>
      </c>
      <c r="E261" s="12" t="inlineStr">
        <is>
          <t>Unknown batch_ref</t>
        </is>
      </c>
      <c r="F261" s="13" t="inlineStr">
        <is>
          <t>High</t>
        </is>
      </c>
      <c r="G261" s="12" t="inlineStr">
        <is>
          <t>Credit contains a validly formatted but unknown batch_ref</t>
        </is>
      </c>
      <c r="H261" s="12" t="inlineStr">
        <is>
          <t>1. Process credit.
2. Run clearing job.</t>
        </is>
      </c>
      <c r="I261" s="12" t="inlineStr">
        <is>
          <t>Credit is parked as an exception. No cash-in is booked. No pending transaction is cleared. No amount-based fallback occurs.</t>
        </is>
      </c>
      <c r="J261" s="13" t="inlineStr">
        <is>
          <t>NA</t>
        </is>
      </c>
      <c r="K261" s="13" t="inlineStr">
        <is>
          <t>Negative</t>
        </is>
      </c>
    </row>
    <row r="262" ht="36" customHeight="1">
      <c r="A262" s="12" t="inlineStr">
        <is>
          <t>PoS Transactions V6.6.0 (EMI-5914)</t>
        </is>
      </c>
      <c r="B262" s="12" t="inlineStr">
        <is>
          <t>ACH &amp; VIBAN per TID</t>
        </is>
      </c>
      <c r="C262" s="12" t="inlineStr">
        <is>
          <t>Functional</t>
        </is>
      </c>
      <c r="D262" s="13" t="inlineStr">
        <is>
          <t>TC-ACH-12</t>
        </is>
      </c>
      <c r="E262" s="12" t="inlineStr">
        <is>
          <t>ACH Rejection</t>
        </is>
      </c>
      <c r="F262" s="13" t="inlineStr">
        <is>
          <t>Critical</t>
        </is>
      </c>
      <c r="G262" s="12" t="inlineStr">
        <is>
          <t>ACH item is released but bank rejects it because of closed VIBAN/bank error</t>
        </is>
      </c>
      <c r="H262" s="12" t="inlineStr">
        <is>
          <t>1. Receive bank rejection.
2. Check aggregate and settlement item.
3. Review discrepancy queue.</t>
        </is>
      </c>
      <c r="I262" s="12" t="inlineStr">
        <is>
          <t>Pending aggregated CASH IN remains PENDING. Item enters discrepancy queue for repair/re-issue. No unsafe automatic retry creates a duplicate payment.</t>
        </is>
      </c>
      <c r="J262" s="13" t="inlineStr">
        <is>
          <t>NA</t>
        </is>
      </c>
      <c r="K262" s="13" t="inlineStr">
        <is>
          <t>Integration</t>
        </is>
      </c>
    </row>
    <row r="263" ht="36" customHeight="1">
      <c r="A263" s="12" t="inlineStr">
        <is>
          <t>PoS Transactions V6.6.0 (EMI-5914)</t>
        </is>
      </c>
      <c r="B263" s="12" t="inlineStr">
        <is>
          <t>ACH &amp; VIBAN per TID</t>
        </is>
      </c>
      <c r="C263" s="12" t="inlineStr">
        <is>
          <t>Functional</t>
        </is>
      </c>
      <c r="D263" s="13" t="inlineStr">
        <is>
          <t>TC-ACH-13</t>
        </is>
      </c>
      <c r="E263" s="12" t="inlineStr">
        <is>
          <t>Transfer Returned After Successful Clearing</t>
        </is>
      </c>
      <c r="F263" s="13" t="inlineStr">
        <is>
          <t>Critical</t>
        </is>
      </c>
      <c r="G263" s="12" t="inlineStr">
        <is>
          <t>Pending cash-in was cleared successfully; bank subsequently returns the transfer</t>
        </is>
      </c>
      <c r="H263" s="12" t="inlineStr">
        <is>
          <t>1. Process return notification.
2. Reverse the cleared cash-in.</t>
        </is>
      </c>
      <c r="I263" s="12" t="inlineStr">
        <is>
          <t>An explicit compensating reversal entry is created. Original entry is not deleted or amended. Reversal carries the same batch_ref.</t>
        </is>
      </c>
      <c r="J263" s="13" t="inlineStr">
        <is>
          <t>NA</t>
        </is>
      </c>
      <c r="K263" s="13" t="inlineStr">
        <is>
          <t>Functional</t>
        </is>
      </c>
    </row>
    <row r="264" ht="36" customHeight="1">
      <c r="A264" s="12" t="inlineStr">
        <is>
          <t>PoS Transactions V6.6.0 (EMI-5914)</t>
        </is>
      </c>
      <c r="B264" s="12" t="inlineStr">
        <is>
          <t>ACH &amp; VIBAN per TID</t>
        </is>
      </c>
      <c r="C264" s="12" t="inlineStr">
        <is>
          <t>Functional</t>
        </is>
      </c>
      <c r="D264" s="13" t="inlineStr">
        <is>
          <t>TC-ACH-14</t>
        </is>
      </c>
      <c r="E264" s="12" t="inlineStr">
        <is>
          <t>Partial Batch Execution</t>
        </is>
      </c>
      <c r="F264" s="13" t="inlineStr">
        <is>
          <t>Critical</t>
        </is>
      </c>
      <c r="G264" s="12" t="inlineStr">
        <is>
          <t>Batch contains multiple independent TID settlement items; one transfer fails</t>
        </is>
      </c>
      <c r="H264" s="12" t="inlineStr">
        <is>
          <t>1. Release all eligible items.
2. Make one bank transfer fail.
3. Process remaining transfers.</t>
        </is>
      </c>
      <c r="I264" s="12" t="inlineStr">
        <is>
          <t>Failed item remains pending/exceptional. Successful items continue independently and can be cleared normally. One failure does not block remaining transfers.</t>
        </is>
      </c>
      <c r="J264" s="13" t="inlineStr">
        <is>
          <t>NA</t>
        </is>
      </c>
      <c r="K264" s="13" t="inlineStr">
        <is>
          <t>Negative</t>
        </is>
      </c>
    </row>
    <row r="265" ht="36" customHeight="1">
      <c r="A265" s="12" t="inlineStr">
        <is>
          <t>PoS Transactions V6.6.0 (EMI-5914)</t>
        </is>
      </c>
      <c r="B265" s="12" t="inlineStr">
        <is>
          <t>ACH &amp; VIBAN per TID</t>
        </is>
      </c>
      <c r="C265" s="12" t="inlineStr">
        <is>
          <t>Functional</t>
        </is>
      </c>
      <c r="D265" s="13" t="inlineStr">
        <is>
          <t>TC-ACH-15</t>
        </is>
      </c>
      <c r="E265" s="12" t="inlineStr">
        <is>
          <t>Standard CASH IN Ledger Type</t>
        </is>
      </c>
      <c r="F265" s="13" t="inlineStr">
        <is>
          <t>High</t>
        </is>
      </c>
      <c r="G265" s="12" t="inlineStr">
        <is>
          <t>Valid settlement reaches successful clearing</t>
        </is>
      </c>
      <c r="H265" s="12" t="inlineStr">
        <is>
          <t>1. Inspect the pending transaction created during BTS processing.
2. Complete intraday clearing.
3. Inspect final ledger transaction.</t>
        </is>
      </c>
      <c r="I265" s="12" t="inlineStr">
        <is>
          <t>Ledger transaction type is standard CASH IN. No custom PoS transaction type is created. PoS context is maintained through metadata (batch_ref, TID).</t>
        </is>
      </c>
      <c r="J265" s="13" t="inlineStr">
        <is>
          <t>NA</t>
        </is>
      </c>
      <c r="K265" s="13" t="inlineStr">
        <is>
          <t>Functional</t>
        </is>
      </c>
    </row>
    <row r="266" ht="36" customHeight="1">
      <c r="A266" s="12" t="inlineStr">
        <is>
          <t>PoS Transactions V6.6.0 (EMI-5914)</t>
        </is>
      </c>
      <c r="B266" s="12" t="inlineStr">
        <is>
          <t>ACH &amp; VIBAN per TID</t>
        </is>
      </c>
      <c r="C266" s="12" t="inlineStr">
        <is>
          <t>Functional</t>
        </is>
      </c>
      <c r="D266" s="13" t="inlineStr">
        <is>
          <t>TC-ACH-16</t>
        </is>
      </c>
      <c r="E266" s="12" t="inlineStr">
        <is>
          <t>End-to-End Audit Reference Chain</t>
        </is>
      </c>
      <c r="F266" s="13" t="inlineStr">
        <is>
          <t>Critical</t>
        </is>
      </c>
      <c r="G266" s="12" t="inlineStr">
        <is>
          <t>Complete settlement flow available</t>
        </is>
      </c>
      <c r="H266" s="12" t="inlineStr">
        <is>
          <t>1. Trace settlement group.
2. Trace ACH item.
3. Trace intraday credit.
4. Trace cleared CASH IN and member transactions.</t>
        </is>
      </c>
      <c r="I266" s="12" t="inlineStr">
        <is>
          <t>The same batch_ref is traceable through: Settlement Group → ACH Item → Intraday VIBAN Credit → Pending CASH IN → Member/TID Entries. All events are audit logged.</t>
        </is>
      </c>
      <c r="J266" s="13" t="inlineStr">
        <is>
          <t>NA</t>
        </is>
      </c>
      <c r="K266" s="13" t="inlineStr">
        <is>
          <t>Integration</t>
        </is>
      </c>
    </row>
    <row r="267" ht="36" customHeight="1">
      <c r="A267" s="12" t="inlineStr">
        <is>
          <t>PoS Transactions V6.6.0 (EMI-5914)</t>
        </is>
      </c>
      <c r="B267" s="12" t="inlineStr">
        <is>
          <t>ACH &amp; VIBAN per TID</t>
        </is>
      </c>
      <c r="C267" s="12" t="inlineStr">
        <is>
          <t>Functional</t>
        </is>
      </c>
      <c r="D267" s="13" t="inlineStr">
        <is>
          <t>TC-ACH-17</t>
        </is>
      </c>
      <c r="E267" s="12" t="inlineStr">
        <is>
          <t>Unmatched or Held Aggregate Excluded</t>
        </is>
      </c>
      <c r="F267" s="13" t="inlineStr">
        <is>
          <t>Critical</t>
        </is>
      </c>
      <c r="G267" s="12" t="inlineStr">
        <is>
          <t>Aggregate exists but is unmatched, unfunded, or in COMPLIANCE_HOLD (Gate 1)</t>
        </is>
      </c>
      <c r="H267" s="12" t="inlineStr">
        <is>
          <t>1. Attempt to build settlement batch.
2. Inspect generated ACH items.</t>
        </is>
      </c>
      <c r="I267" s="12" t="inlineStr">
        <is>
          <t>No ACH instruction is generated at all for the unmatched/held aggregate. Funds are not moved.</t>
        </is>
      </c>
      <c r="J267" s="13" t="inlineStr">
        <is>
          <t>NA</t>
        </is>
      </c>
      <c r="K267" s="13" t="inlineStr">
        <is>
          <t>Functional</t>
        </is>
      </c>
    </row>
    <row r="268" ht="36" customHeight="1">
      <c r="A268" s="12" t="inlineStr">
        <is>
          <t>PoS Transactions V6.6.0 (EMI-5914)</t>
        </is>
      </c>
      <c r="B268" s="12" t="inlineStr">
        <is>
          <t>ACH &amp; VIBAN per TID</t>
        </is>
      </c>
      <c r="C268" s="12" t="inlineStr">
        <is>
          <t>Functional</t>
        </is>
      </c>
      <c r="D268" s="13" t="inlineStr">
        <is>
          <t>TC-ACH-18</t>
        </is>
      </c>
      <c r="E268" s="12" t="inlineStr">
        <is>
          <t>Duplicate Intraday Credit (Idempotent Clearing)</t>
        </is>
      </c>
      <c r="F268" s="13" t="inlineStr">
        <is>
          <t>Critical</t>
        </is>
      </c>
      <c r="G268" s="12" t="inlineStr">
        <is>
          <t>Cash-in already cleared successfully by a previous intraday credit</t>
        </is>
      </c>
      <c r="H268" s="12" t="inlineStr">
        <is>
          <t>1. Process a second intraday statement containing the exact same batch_ref and amount.
2. Run clearing job.</t>
        </is>
      </c>
      <c r="I268" s="12" t="inlineStr">
        <is>
          <t>Second credit is flagged as duplicate/ignored. No second cash-in is booked. No double-settlement occurs for member TIDs.</t>
        </is>
      </c>
      <c r="J268" s="13" t="inlineStr">
        <is>
          <t>NA</t>
        </is>
      </c>
      <c r="K268" s="13" t="inlineStr">
        <is>
          <t>Integration</t>
        </is>
      </c>
    </row>
    <row r="269" ht="36" customHeight="1">
      <c r="A269" s="12" t="inlineStr">
        <is>
          <t>PoS Transactions V6.6.0 (EMI-5914)</t>
        </is>
      </c>
      <c r="B269" s="12" t="inlineStr">
        <is>
          <t>ACH &amp; VIBAN per TID</t>
        </is>
      </c>
      <c r="C269" s="12" t="inlineStr">
        <is>
          <t>Functional</t>
        </is>
      </c>
      <c r="D269" s="13" t="inlineStr">
        <is>
          <t>TC-ACH-19</t>
        </is>
      </c>
      <c r="E269" s="12" t="inlineStr">
        <is>
          <t>Maker-Checker Rejection</t>
        </is>
      </c>
      <c r="F269" s="13" t="inlineStr">
        <is>
          <t>High</t>
        </is>
      </c>
      <c r="G269" s="12" t="inlineStr">
        <is>
          <t>Default automatic mode is disabled; ACH item is AWAITING_APPROVAL</t>
        </is>
      </c>
      <c r="H269" s="12" t="inlineStr">
        <is>
          <t>1. Generate valid ACH item.
2. Finance explicitly rejects the item.
3. Check batch and ledger.</t>
        </is>
      </c>
      <c r="I269" s="12" t="inlineStr">
        <is>
          <t>ACH item status becomes REJECTED. No bank transfer is executed. Pending cash-in remains PENDING or is explicitly marked for Ops review. Rejection is audit logged.</t>
        </is>
      </c>
      <c r="J269" s="13" t="inlineStr">
        <is>
          <t>NA</t>
        </is>
      </c>
      <c r="K269" s="13" t="inlineStr">
        <is>
          <t>Negative</t>
        </is>
      </c>
    </row>
    <row r="270" ht="36" customHeight="1">
      <c r="A270" s="12" t="inlineStr">
        <is>
          <t>PoS Transactions V6.6.0 (EMI-5914)</t>
        </is>
      </c>
      <c r="B270" s="12" t="inlineStr">
        <is>
          <t>ACH &amp; VIBAN per TID</t>
        </is>
      </c>
      <c r="C270" s="12" t="inlineStr">
        <is>
          <t>Functional</t>
        </is>
      </c>
      <c r="D270" s="13" t="inlineStr">
        <is>
          <t>TC-ACH-20</t>
        </is>
      </c>
      <c r="E270" s="12" t="inlineStr">
        <is>
          <t>Multiple Partial Credits for Single ACH</t>
        </is>
      </c>
      <c r="F270" s="13" t="inlineStr">
        <is>
          <t>High</t>
        </is>
      </c>
      <c r="G270" s="12" t="inlineStr">
        <is>
          <t>ACH amount is 100.00; bank sends two credits of 60.00 and 40.00 with the same batch_ref</t>
        </is>
      </c>
      <c r="H270" s="12" t="inlineStr">
        <is>
          <t>1. Process first credit (60.00).
2. Process second credit (40.00).
3. Run clearing job after each.</t>
        </is>
      </c>
      <c r="I270" s="12" t="inlineStr">
        <is>
          <t>System does not partially clear the 100.00 pending cash-in. If configured to wait for full amount, it holds until sum matches; if strict 1:1 match is required, both go to discrepancy queue. (Validates no partial booking).</t>
        </is>
      </c>
      <c r="J270" s="13" t="inlineStr">
        <is>
          <t>NA</t>
        </is>
      </c>
      <c r="K270" s="13" t="inlineStr">
        <is>
          <t>Functional</t>
        </is>
      </c>
    </row>
    <row r="271" ht="36" customHeight="1">
      <c r="A271" s="12" t="inlineStr">
        <is>
          <t>PoS Transactions V6.6.0 (EMI-5914)</t>
        </is>
      </c>
      <c r="B271" s="12" t="inlineStr">
        <is>
          <t>ACH &amp; VIBAN per TID</t>
        </is>
      </c>
      <c r="C271" s="12" t="inlineStr">
        <is>
          <t>Functional</t>
        </is>
      </c>
      <c r="D271" s="13" t="inlineStr">
        <is>
          <t>TC-ACH-21</t>
        </is>
      </c>
      <c r="E271" s="12" t="inlineStr">
        <is>
          <t>Late Arriving Credit (Post-EOD)</t>
        </is>
      </c>
      <c r="F271" s="13" t="inlineStr">
        <is>
          <t>Medium</t>
        </is>
      </c>
      <c r="G271" s="12" t="inlineStr">
        <is>
          <t>Valid ACH released on Day 1; credit arrives on Day 3</t>
        </is>
      </c>
      <c r="H271" s="12" t="inlineStr">
        <is>
          <t>1. Run Day 1 and Day 2 EOD processes (item remains pending).
2. Process Day 3 intraday statement containing the credit.</t>
        </is>
      </c>
      <c r="I271" s="12" t="inlineStr">
        <is>
          <t>Credit is successfully matched on Day 3. Pending cash-in moves to SUCCESSFUL. Member entries settle in the Day 3 settlement context.</t>
        </is>
      </c>
      <c r="J271" s="13" t="inlineStr">
        <is>
          <t>NA</t>
        </is>
      </c>
      <c r="K271" s="13" t="inlineStr">
        <is>
          <t>Functional</t>
        </is>
      </c>
    </row>
    <row r="272" ht="36" customHeight="1">
      <c r="A272" s="12" t="inlineStr">
        <is>
          <t>PoS Transactions V6.6.0 (EMI-5914)</t>
        </is>
      </c>
      <c r="B272" s="12" t="inlineStr">
        <is>
          <t>ACH &amp; VIBAN per TID</t>
        </is>
      </c>
      <c r="C272" s="12" t="inlineStr">
        <is>
          <t>Functional</t>
        </is>
      </c>
      <c r="D272" s="13" t="inlineStr">
        <is>
          <t>TC-ACH-22</t>
        </is>
      </c>
      <c r="E272" s="12" t="inlineStr">
        <is>
          <t>Concurrent Batch Release (Race Condition)</t>
        </is>
      </c>
      <c r="F272" s="13" t="inlineStr">
        <is>
          <t>Critical</t>
        </is>
      </c>
      <c r="G272" s="12" t="inlineStr">
        <is>
          <t>Two ACH items for different TIDs in the same batch; auto-release enabled</t>
        </is>
      </c>
      <c r="H272" s="12" t="inlineStr">
        <is>
          <t>1. Fire concurrent release requests for the batch.
2. Inspect bank transfer instructions and ledger.</t>
        </is>
      </c>
      <c r="I272" s="12" t="inlineStr">
        <is>
          <t>Concurrency guard ensures each item is released exactly once. No duplicate bank transfers are generated for the same batch_ref.</t>
        </is>
      </c>
      <c r="J272" s="13" t="inlineStr">
        <is>
          <t>NA</t>
        </is>
      </c>
      <c r="K272" s="13" t="inlineStr">
        <is>
          <t>Integration</t>
        </is>
      </c>
    </row>
    <row r="273" ht="36" customHeight="1">
      <c r="A273" s="12" t="inlineStr">
        <is>
          <t>PoS Transactions V6.6.0 (EMI-5914)</t>
        </is>
      </c>
      <c r="B273" s="12" t="inlineStr">
        <is>
          <t>ACH &amp; VIBAN per TID</t>
        </is>
      </c>
      <c r="C273" s="12" t="inlineStr">
        <is>
          <t>Negative</t>
        </is>
      </c>
      <c r="D273" s="13" t="inlineStr">
        <is>
          <t>TC-ACH-23</t>
        </is>
      </c>
      <c r="E273" s="12" t="inlineStr">
        <is>
          <t>Non-existent terminalId</t>
        </is>
      </c>
      <c r="F273" s="13" t="inlineStr">
        <is>
          <t>High</t>
        </is>
      </c>
      <c r="G273" s="12" t="inlineStr">
        <is>
          <t>Valid JWT for a merchant profile that owns terminal {{terminalId}} and has the GET_POS_TRANSACTIONS privilege.
Valid device-finger-print and platform headers.
At least 1 POS transaction exists for this profile.</t>
        </is>
      </c>
      <c r="H273" s="12" t="inlineStr">
        <is>
          <t>1. Put a terminal ID that exists nowhere in the path.
2. Send the request.</t>
        </is>
      </c>
      <c r="I273" s="12" t="inlineStr">
        <is>
          <t>PosDeviceNotFoundException / not-found outcome.
The response must not distinguish 'does not exist' from 'belongs to someone else' - both should look identical, so an attacker cannot enumerate terminal IDs.</t>
        </is>
      </c>
      <c r="J273" s="13" t="inlineStr">
        <is>
          <t>Not Tested</t>
        </is>
      </c>
      <c r="K273" s="13" t="inlineStr">
        <is>
          <t>Negative</t>
        </is>
      </c>
    </row>
    <row r="274" ht="36" customHeight="1">
      <c r="A274" s="12" t="inlineStr">
        <is>
          <t>PoS Transactions V6.6.0 (EMI-5914)</t>
        </is>
      </c>
      <c r="B274" s="12" t="inlineStr">
        <is>
          <t>ACH &amp; VIBAN per TID</t>
        </is>
      </c>
      <c r="C274" s="12" t="inlineStr">
        <is>
          <t>Positive</t>
        </is>
      </c>
      <c r="D274" s="13" t="inlineStr">
        <is>
          <t>TC-ACH-24</t>
        </is>
      </c>
      <c r="E274" s="12" t="inlineStr">
        <is>
          <t>Filters combine with the terminal path scope</t>
        </is>
      </c>
      <c r="F274" s="13" t="inlineStr">
        <is>
          <t>Medium</t>
        </is>
      </c>
      <c r="G274" s="12" t="inlineStr">
        <is>
          <t>Valid JWT for a merchant profile that owns terminal {{terminalId}} and has the GET_POS_TRANSACTIONS privilege.
Valid device-finger-print and platform headers.
At least 1 POS transaction exists for this profile.</t>
        </is>
      </c>
      <c r="H274" s="12" t="inlineStr">
        <is>
          <t>1. Send with terminalId in the path AND processingStatus=SETTLED.
2. Check both conditions on every row.</t>
        </is>
      </c>
      <c r="I274" s="12" t="inlineStr">
        <is>
          <t>200 OK and every row satisfies both the terminal and the status condition.</t>
        </is>
      </c>
      <c r="J274" s="13" t="inlineStr">
        <is>
          <t>Not Tested</t>
        </is>
      </c>
      <c r="K274" s="13" t="inlineStr">
        <is>
          <t>Functional</t>
        </is>
      </c>
    </row>
    <row r="275" ht="36" customHeight="1">
      <c r="A275" s="12" t="inlineStr">
        <is>
          <t>PoS Transactions V6.6.0 (EMI-5914)</t>
        </is>
      </c>
      <c r="B275" s="12" t="inlineStr">
        <is>
          <t>ACH &amp; VIBAN per TID</t>
        </is>
      </c>
      <c r="C275" s="12" t="inlineStr">
        <is>
          <t>Security</t>
        </is>
      </c>
      <c r="D275" s="13" t="inlineStr">
        <is>
          <t>TC-ACH-25</t>
        </is>
      </c>
      <c r="E275" s="12" t="inlineStr">
        <is>
          <t>SQL injection attempt in the terminalId path variable</t>
        </is>
      </c>
      <c r="F275" s="13" t="inlineStr">
        <is>
          <t>High</t>
        </is>
      </c>
      <c r="G275" s="12" t="inlineStr">
        <is>
          <t>Valid JWT for a merchant profile that owns terminal {{terminalId}} and has the GET_POS_TRANSACTIONS privilege.
Valid device-finger-print and platform headers.
At least 1 POS transaction exists for this profile.</t>
        </is>
      </c>
      <c r="H275" s="12" t="inlineStr">
        <is>
          <t>1. URL-encode a payload such as T001' OR '1'='1 into the path.
2. Send the request.</t>
        </is>
      </c>
      <c r="I275" s="12" t="inlineStr">
        <is>
          <t>No data is returned for other terminals.
No database error text is echoed back.
Not-found or 400 is acceptable; a 500 with a SQL message is a defect.</t>
        </is>
      </c>
      <c r="J275" s="13" t="inlineStr">
        <is>
          <t>Not Tested</t>
        </is>
      </c>
      <c r="K275" s="13" t="inlineStr">
        <is>
          <t>Security</t>
        </is>
      </c>
    </row>
    <row r="276" ht="36" customHeight="1">
      <c r="A276" s="12" t="inlineStr">
        <is>
          <t>PoS Transactions V6.6.0 (EMI-5914)</t>
        </is>
      </c>
      <c r="B276" s="12" t="inlineStr">
        <is>
          <t>ACH &amp; VIBAN per TID</t>
        </is>
      </c>
      <c r="C276" s="12" t="inlineStr">
        <is>
          <t>Positive</t>
        </is>
      </c>
      <c r="D276" s="13" t="inlineStr">
        <is>
          <t>TC-ACH-26</t>
        </is>
      </c>
      <c r="E276" s="12" t="inlineStr">
        <is>
          <t>Get ledger entries for an owned terminal</t>
        </is>
      </c>
      <c r="F276" s="13" t="inlineStr">
        <is>
          <t>High</t>
        </is>
      </c>
      <c r="G276" s="12" t="inlineStr">
        <is>
          <t>Valid JWT with GET_POS_LEDGER for a profile that owns terminal {{terminalId}}.
At least 1 ledger entry exists for that terminal.</t>
        </is>
      </c>
      <c r="H276" s="12" t="inlineStr">
        <is>
          <t>1. Send GET /api/v1/pos/ledger/terminals/{{terminalId}}.
2. Inspect the DTO fields on the first row.</t>
        </is>
      </c>
      <c r="I276" s="12" t="inlineStr">
        <is>
          <t>200 OK, Page envelope.
Each row carries id, batchId, reconBatchRefNum, walletReference, terminalId, amount, currency, direction, posTransactionType, entryType, status, reason, postedBy, createdAt.</t>
        </is>
      </c>
      <c r="J276" s="13" t="inlineStr">
        <is>
          <t>Not Tested</t>
        </is>
      </c>
      <c r="K276" s="13" t="inlineStr">
        <is>
          <t>Functional</t>
        </is>
      </c>
    </row>
    <row r="277" ht="36" customHeight="1">
      <c r="A277" s="12" t="inlineStr">
        <is>
          <t>PoS Transactions V6.6.0 (EMI-5914)</t>
        </is>
      </c>
      <c r="B277" s="12" t="inlineStr">
        <is>
          <t>ACH &amp; VIBAN per TID</t>
        </is>
      </c>
      <c r="C277" s="12" t="inlineStr">
        <is>
          <t>Positive</t>
        </is>
      </c>
      <c r="D277" s="13" t="inlineStr">
        <is>
          <t>TC-ACH-27</t>
        </is>
      </c>
      <c r="E277" s="12" t="inlineStr">
        <is>
          <t>Filter ledger by status</t>
        </is>
      </c>
      <c r="F277" s="13" t="inlineStr">
        <is>
          <t>High</t>
        </is>
      </c>
      <c r="G277" s="12" t="inlineStr">
        <is>
          <t>Valid JWT with GET_POS_LEDGER for a profile that owns terminal {{terminalId}}.
At least 1 ledger entry exists for that terminal.
Entries exist in more than one status.</t>
        </is>
      </c>
      <c r="H277" s="12" t="inlineStr">
        <is>
          <t>1. Enable status=SUCCESS and send.
2. Repeat for PENDING, FAILED, REVERSED.</t>
        </is>
      </c>
      <c r="I277" s="12" t="inlineStr">
        <is>
          <t>200 OK each time, and every returned row matches the requested status.</t>
        </is>
      </c>
      <c r="J277" s="13" t="inlineStr">
        <is>
          <t>Not Tested</t>
        </is>
      </c>
      <c r="K277" s="13" t="inlineStr">
        <is>
          <t>Functional</t>
        </is>
      </c>
    </row>
    <row r="278" ht="36" customHeight="1">
      <c r="A278" s="12" t="inlineStr">
        <is>
          <t>PoS Transactions V6.6.0 (EMI-5914)</t>
        </is>
      </c>
      <c r="B278" s="12" t="inlineStr">
        <is>
          <t>ACH &amp; VIBAN per TID</t>
        </is>
      </c>
      <c r="C278" s="12" t="inlineStr">
        <is>
          <t>Positive</t>
        </is>
      </c>
      <c r="D278" s="13" t="inlineStr">
        <is>
          <t>TC-ACH-28</t>
        </is>
      </c>
      <c r="E278" s="12" t="inlineStr">
        <is>
          <t>Filter ledger by entryType</t>
        </is>
      </c>
      <c r="F278" s="13" t="inlineStr">
        <is>
          <t>High</t>
        </is>
      </c>
      <c r="G278" s="12" t="inlineStr">
        <is>
          <t>Valid JWT with GET_POS_LEDGER for a profile that owns terminal {{terminalId}}.
At least 1 ledger entry exists for that terminal.</t>
        </is>
      </c>
      <c r="H278" s="12" t="inlineStr">
        <is>
          <t>1. Enable entryType=POS_CASH_IN and send.
2. Repeat for REVERSAL and SUSPENSE.</t>
        </is>
      </c>
      <c r="I278" s="12" t="inlineStr">
        <is>
          <t>200 OK each time, and every returned row matches the requested entryType.</t>
        </is>
      </c>
      <c r="J278" s="13" t="inlineStr">
        <is>
          <t>Not Tested</t>
        </is>
      </c>
      <c r="K278" s="13" t="inlineStr">
        <is>
          <t>Functional</t>
        </is>
      </c>
    </row>
    <row r="279" ht="36" customHeight="1">
      <c r="A279" s="12" t="inlineStr">
        <is>
          <t>PoS Transactions V6.6.0 (EMI-5914)</t>
        </is>
      </c>
      <c r="B279" s="12" t="inlineStr">
        <is>
          <t>ACH &amp; VIBAN per TID</t>
        </is>
      </c>
      <c r="C279" s="12" t="inlineStr">
        <is>
          <t>Positive</t>
        </is>
      </c>
      <c r="D279" s="13" t="inlineStr">
        <is>
          <t>TC-ACH-29</t>
        </is>
      </c>
      <c r="E279" s="12" t="inlineStr">
        <is>
          <t>Combined status and entryType filter</t>
        </is>
      </c>
      <c r="F279" s="13" t="inlineStr">
        <is>
          <t>Medium</t>
        </is>
      </c>
      <c r="G279" s="12" t="inlineStr">
        <is>
          <t>Valid JWT with GET_POS_LEDGER for a profile that owns terminal {{terminalId}}.
At least 1 ledger entry exists for that terminal.</t>
        </is>
      </c>
      <c r="H279" s="12" t="inlineStr">
        <is>
          <t>1. Send status=SUCCESS and entryType=POS_CASH_IN together.</t>
        </is>
      </c>
      <c r="I279" s="12" t="inlineStr">
        <is>
          <t>200 OK. Rows satisfy BOTH conditions (AND, not OR).</t>
        </is>
      </c>
      <c r="J279" s="13" t="inlineStr">
        <is>
          <t>Not Tested</t>
        </is>
      </c>
      <c r="K279" s="13" t="inlineStr">
        <is>
          <t>Functional</t>
        </is>
      </c>
    </row>
    <row r="280" ht="36" customHeight="1">
      <c r="A280" s="12" t="inlineStr">
        <is>
          <t>PoS Transactions V6.6.0 (EMI-5914)</t>
        </is>
      </c>
      <c r="B280" s="12" t="inlineStr">
        <is>
          <t>ACH &amp; VIBAN per TID</t>
        </is>
      </c>
      <c r="C280" s="12" t="inlineStr">
        <is>
          <t>Negative</t>
        </is>
      </c>
      <c r="D280" s="13" t="inlineStr">
        <is>
          <t>TC-ACH-30</t>
        </is>
      </c>
      <c r="E280" s="12" t="inlineStr">
        <is>
          <t>Invalid enum value for status or entryType</t>
        </is>
      </c>
      <c r="F280" s="13" t="inlineStr">
        <is>
          <t>Medium</t>
        </is>
      </c>
      <c r="G280" s="12" t="inlineStr">
        <is>
          <t>Valid JWT with GET_POS_LEDGER for a profile that owns terminal {{terminalId}}.
At least 1 ledger entry exists for that terminal.</t>
        </is>
      </c>
      <c r="H280" s="12" t="inlineStr">
        <is>
          <t>1. Send status=DONE.
2. Send entryType=CASH_OUT.</t>
        </is>
      </c>
      <c r="I280" s="12" t="inlineStr">
        <is>
          <t>400 Bad Request for each, with the ErrorMessageDto shape. No 500.</t>
        </is>
      </c>
      <c r="J280" s="13" t="inlineStr">
        <is>
          <t>Not Tested</t>
        </is>
      </c>
      <c r="K280" s="13" t="inlineStr">
        <is>
          <t>Negative</t>
        </is>
      </c>
    </row>
    <row r="281" ht="36" customHeight="1">
      <c r="A281" s="12" t="inlineStr">
        <is>
          <t>PoS Transactions V6.6.0 (EMI-5914)</t>
        </is>
      </c>
      <c r="B281" s="12" t="inlineStr">
        <is>
          <t>ACH &amp; VIBAN per TID</t>
        </is>
      </c>
      <c r="C281" s="12" t="inlineStr">
        <is>
          <t>Positive</t>
        </is>
      </c>
      <c r="D281" s="13" t="inlineStr">
        <is>
          <t>TC-ACH-31</t>
        </is>
      </c>
      <c r="E281" s="12" t="inlineStr">
        <is>
          <t>Ledger date range filter on createdAt</t>
        </is>
      </c>
      <c r="F281" s="13" t="inlineStr">
        <is>
          <t>Medium</t>
        </is>
      </c>
      <c r="G281" s="12" t="inlineStr">
        <is>
          <t>Valid JWT with GET_POS_LEDGER for a profile that owns terminal {{terminalId}}.
At least 1 ledger entry exists for that terminal.</t>
        </is>
      </c>
      <c r="H281" s="12" t="inlineStr">
        <is>
          <t>1. Set dateFrom / dateTo around a known entry's createdAt.
2. Send and confirm the entry is inside the window.
3. Shift the window past the entry and confirm it drops out.</t>
        </is>
      </c>
      <c r="I281" s="12" t="inlineStr">
        <is>
          <t>The filter applies to createdAt.
Bounds are inclusive.
Out-of-window entries are excluded.</t>
        </is>
      </c>
      <c r="J281" s="13" t="inlineStr">
        <is>
          <t>Not Tested</t>
        </is>
      </c>
      <c r="K281" s="13" t="inlineStr">
        <is>
          <t>Functional</t>
        </is>
      </c>
    </row>
    <row r="282" ht="36" customHeight="1">
      <c r="A282" s="12" t="inlineStr">
        <is>
          <t>PoS Transactions V6.6.0 (EMI-5914)</t>
        </is>
      </c>
      <c r="B282" s="12" t="inlineStr">
        <is>
          <t>ACH &amp; VIBAN per TID</t>
        </is>
      </c>
      <c r="C282" s="12" t="inlineStr">
        <is>
          <t>Security</t>
        </is>
      </c>
      <c r="D282" s="13" t="inlineStr">
        <is>
          <t>TC-ACH-32</t>
        </is>
      </c>
      <c r="E282" s="12" t="inlineStr">
        <is>
          <t>Ledger of a terminal owned by another profile is not accessible</t>
        </is>
      </c>
      <c r="F282" s="13" t="inlineStr">
        <is>
          <t>High</t>
        </is>
      </c>
      <c r="G282" s="12" t="inlineStr">
        <is>
          <t>Terminal T_OTHER belongs to merchant B. Caller is merchant A with GET_POS_LEDGER.</t>
        </is>
      </c>
      <c r="H282" s="12" t="inlineStr">
        <is>
          <t>1. Send the request with merchant A's token and T_OTHER in the path.</t>
        </is>
      </c>
      <c r="I282" s="12" t="inlineStr">
        <is>
          <t>Access denied via PosDeviceNotFoundException (ownership is checked by deviceService.getByProfileCodeAndTerminalId).
No ledger rows from merchant B are returned.</t>
        </is>
      </c>
      <c r="J282" s="13" t="inlineStr">
        <is>
          <t>Not Tested</t>
        </is>
      </c>
      <c r="K282" s="13" t="inlineStr">
        <is>
          <t>Security</t>
        </is>
      </c>
    </row>
    <row r="283" ht="36" customHeight="1">
      <c r="A283" s="12" t="inlineStr">
        <is>
          <t>PoS Transactions V6.6.0 (EMI-5914)</t>
        </is>
      </c>
      <c r="B283" s="12" t="inlineStr">
        <is>
          <t>ACH &amp; VIBAN per TID</t>
        </is>
      </c>
      <c r="C283" s="12" t="inlineStr">
        <is>
          <t>Security</t>
        </is>
      </c>
      <c r="D283" s="13" t="inlineStr">
        <is>
          <t>TC-ACH-33</t>
        </is>
      </c>
      <c r="E283" s="12" t="inlineStr">
        <is>
          <t>Missing GET_POS_LEDGER privilege is rejected</t>
        </is>
      </c>
      <c r="F283" s="13" t="inlineStr">
        <is>
          <t>High</t>
        </is>
      </c>
      <c r="G283" s="12" t="inlineStr">
        <is>
          <t>Valid token that has GET_POS_TRANSACTIONS but NOT GET_POS_LEDGER.</t>
        </is>
      </c>
      <c r="H283" s="12" t="inlineStr">
        <is>
          <t>1. Send the ledger request with that token.</t>
        </is>
      </c>
      <c r="I283" s="12" t="inlineStr">
        <is>
          <t>403 Forbidden with messageCode UNAUTHORIZED_USER.
Confirms the two business privileges are independent.</t>
        </is>
      </c>
      <c r="J283" s="13" t="inlineStr">
        <is>
          <t>Not Tested</t>
        </is>
      </c>
      <c r="K283" s="13" t="inlineStr">
        <is>
          <t>Security</t>
        </is>
      </c>
    </row>
    <row r="284" ht="36" customHeight="1">
      <c r="A284" s="12" t="inlineStr">
        <is>
          <t>PoS Transactions V6.6.0 (EMI-5914)</t>
        </is>
      </c>
      <c r="B284" s="12" t="inlineStr">
        <is>
          <t>ACH &amp; VIBAN per TID</t>
        </is>
      </c>
      <c r="C284" s="12" t="inlineStr">
        <is>
          <t>Positive</t>
        </is>
      </c>
      <c r="D284" s="13" t="inlineStr">
        <is>
          <t>TC-ACH-34</t>
        </is>
      </c>
      <c r="E284" s="12" t="inlineStr">
        <is>
          <t>Get ledger entries by wallet reference</t>
        </is>
      </c>
      <c r="F284" s="13" t="inlineStr">
        <is>
          <t>High</t>
        </is>
      </c>
      <c r="G284" s="12" t="inlineStr">
        <is>
          <t>Valid JWT with GET_POS_LEDGER for a profile linked to wallet {{walletReference}}.</t>
        </is>
      </c>
      <c r="H284" s="12" t="inlineStr">
        <is>
          <t>1. Send GET /api/v1/pos/ledger/wallets/{{walletReference}}.
2. Check walletReference on every row.</t>
        </is>
      </c>
      <c r="I284" s="12" t="inlineStr">
        <is>
          <t>200 OK, Page envelope, and every row has the requested walletReference.</t>
        </is>
      </c>
      <c r="J284" s="13" t="inlineStr">
        <is>
          <t>Not Tested</t>
        </is>
      </c>
      <c r="K284" s="13" t="inlineStr">
        <is>
          <t>Functional</t>
        </is>
      </c>
    </row>
    <row r="285" ht="36" customHeight="1">
      <c r="A285" s="12" t="inlineStr">
        <is>
          <t>PoS Transactions V6.6.0 (EMI-5914)</t>
        </is>
      </c>
      <c r="B285" s="12" t="inlineStr">
        <is>
          <t>ACH &amp; VIBAN per TID</t>
        </is>
      </c>
      <c r="C285" s="12" t="inlineStr">
        <is>
          <t>Security</t>
        </is>
      </c>
      <c r="D285" s="13" t="inlineStr">
        <is>
          <t>TC-ACH-35</t>
        </is>
      </c>
      <c r="E285" s="12" t="inlineStr">
        <is>
          <t>Wallet not linked to the caller's profile is not accessible</t>
        </is>
      </c>
      <c r="F285" s="13" t="inlineStr">
        <is>
          <t>High</t>
        </is>
      </c>
      <c r="G285" s="12" t="inlineStr">
        <is>
          <t>Wallet WLT-OTHER belongs to merchant B. Caller is merchant A.</t>
        </is>
      </c>
      <c r="H285" s="12" t="inlineStr">
        <is>
          <t>1. Send the request with merchant A's token and WLT-OTHER in the path.</t>
        </is>
      </c>
      <c r="I285" s="12" t="inlineStr">
        <is>
          <t>Access denied via PosDeviceNotFoundException (checked by deviceService.existsByProfileCodeAndWalletCode).
No data from merchant B.</t>
        </is>
      </c>
      <c r="J285" s="13" t="inlineStr">
        <is>
          <t>Not Tested</t>
        </is>
      </c>
      <c r="K285" s="13" t="inlineStr">
        <is>
          <t>Security</t>
        </is>
      </c>
    </row>
    <row r="286" ht="36" customHeight="1">
      <c r="A286" s="12" t="inlineStr">
        <is>
          <t>PoS Transactions V6.6.0 (EMI-5914)</t>
        </is>
      </c>
      <c r="B286" s="12" t="inlineStr">
        <is>
          <t>ACH &amp; VIBAN per TID</t>
        </is>
      </c>
      <c r="C286" s="12" t="inlineStr">
        <is>
          <t>Negative</t>
        </is>
      </c>
      <c r="D286" s="13" t="inlineStr">
        <is>
          <t>TC-ACH-36</t>
        </is>
      </c>
      <c r="E286" s="12" t="inlineStr">
        <is>
          <t>Non-existent wallet reference</t>
        </is>
      </c>
      <c r="F286" s="13" t="inlineStr">
        <is>
          <t>Medium</t>
        </is>
      </c>
      <c r="G286" s="12" t="inlineStr">
        <is>
          <t>Valid token with GET_POS_LEDGER.</t>
        </is>
      </c>
      <c r="H286" s="12" t="inlineStr">
        <is>
          <t>1. Send a wallet reference that exists nowhere.</t>
        </is>
      </c>
      <c r="I286" s="12" t="inlineStr">
        <is>
          <t>Not-found outcome, identical in shape to the 'belongs to another profile' case so wallets cannot be enumerated.</t>
        </is>
      </c>
      <c r="J286" s="13" t="inlineStr">
        <is>
          <t>Not Tested</t>
        </is>
      </c>
      <c r="K286" s="13" t="inlineStr">
        <is>
          <t>Negative</t>
        </is>
      </c>
    </row>
    <row r="287" ht="36" customHeight="1">
      <c r="A287" s="12" t="inlineStr">
        <is>
          <t>PoS Transactions V6.6.0 (EMI-5914)</t>
        </is>
      </c>
      <c r="B287" s="12" t="inlineStr">
        <is>
          <t>ACH &amp; VIBAN per TID</t>
        </is>
      </c>
      <c r="C287" s="12" t="inlineStr">
        <is>
          <t>Positive</t>
        </is>
      </c>
      <c r="D287" s="13" t="inlineStr">
        <is>
          <t>TC-ACH-37</t>
        </is>
      </c>
      <c r="E287" s="12" t="inlineStr">
        <is>
          <t>Wallet ledger honours filters and pagination</t>
        </is>
      </c>
      <c r="F287" s="13" t="inlineStr">
        <is>
          <t>Medium</t>
        </is>
      </c>
      <c r="G287" s="12" t="inlineStr">
        <is>
          <t>Wallet with more than 20 ledger entries.</t>
        </is>
      </c>
      <c r="H287" s="12" t="inlineStr">
        <is>
          <t>1. Send with size=5 and status=SUCCESS.
2. Check the page size and the status of each row.</t>
        </is>
      </c>
      <c r="I287" s="12" t="inlineStr">
        <is>
          <t>200 OK, at most 5 rows, all SUCCESS, size=5 echoed in the envelope.</t>
        </is>
      </c>
      <c r="J287" s="13" t="inlineStr">
        <is>
          <t>Not Tested</t>
        </is>
      </c>
      <c r="K287" s="13" t="inlineStr">
        <is>
          <t>Functional</t>
        </is>
      </c>
    </row>
    <row r="288" ht="36" customHeight="1">
      <c r="A288" s="12" t="inlineStr">
        <is>
          <t>PoS Transactions V6.6.0 (EMI-5914)</t>
        </is>
      </c>
      <c r="B288" s="12" t="inlineStr">
        <is>
          <t>ACH &amp; VIBAN per TID</t>
        </is>
      </c>
      <c r="C288" s="12" t="inlineStr">
        <is>
          <t>Positive</t>
        </is>
      </c>
      <c r="D288" s="13" t="inlineStr">
        <is>
          <t>TC-ACH-38</t>
        </is>
      </c>
      <c r="E288" s="12" t="inlineStr">
        <is>
          <t>Ledger reconBatchRefNum links to a real ACH transfer</t>
        </is>
      </c>
      <c r="F288" s="13" t="inlineStr">
        <is>
          <t>Medium</t>
        </is>
      </c>
      <c r="G288" s="12" t="inlineStr">
        <is>
          <t>A ledger entry with a non-null reconBatchRefNum exists, and an admin token is available.</t>
        </is>
      </c>
      <c r="H288" s="12" t="inlineStr">
        <is>
          <t>1. Get a ledger entry and copy its reconBatchRefNum.
2. As admin, call GET /api/v1/admin/pos/ach-transfers?batchRef=&lt;that value&gt;.</t>
        </is>
      </c>
      <c r="I288" s="12" t="inlineStr">
        <is>
          <t>The admin call returns exactly one ACH transfer whose reconBatchRefNum matches.
The link between the ledger and the settlement batch holds.</t>
        </is>
      </c>
      <c r="J288" s="13" t="inlineStr">
        <is>
          <t>Not Tested</t>
        </is>
      </c>
      <c r="K288" s="13" t="inlineStr">
        <is>
          <t>Edge / Boundary</t>
        </is>
      </c>
    </row>
    <row r="289" ht="36" customHeight="1">
      <c r="A289" s="12" t="inlineStr">
        <is>
          <t>PoS Transactions V6.6.0 (EMI-5914)</t>
        </is>
      </c>
      <c r="B289" s="12" t="inlineStr">
        <is>
          <t>ACH &amp; VIBAN per TID</t>
        </is>
      </c>
      <c r="C289" s="12" t="inlineStr">
        <is>
          <t>Positive</t>
        </is>
      </c>
      <c r="D289" s="13" t="inlineStr">
        <is>
          <t>TC-ACH-39</t>
        </is>
      </c>
      <c r="E289" s="12" t="inlineStr">
        <is>
          <t>Admin sees transactions across all profiles</t>
        </is>
      </c>
      <c r="F289" s="13" t="inlineStr">
        <is>
          <t>High</t>
        </is>
      </c>
      <c r="G289" s="12" t="inlineStr">
        <is>
          <t>Valid JWT with the ADMIN_GET_POS_TRANSACTIONS privilege.
Transactions exist for at least 2 different profiles.</t>
        </is>
      </c>
      <c r="H289" s="12" t="inlineStr">
        <is>
          <t>1. Send GET /api/v1/admin/pos/transactions?page=0&amp;size=50.
2. Collect the distinct profileCode values.</t>
        </is>
      </c>
      <c r="I289" s="12" t="inlineStr">
        <is>
          <t>200 OK.
More than one distinct profileCode appears - the admin query is unscoped, unlike the business endpoint.</t>
        </is>
      </c>
      <c r="J289" s="13" t="inlineStr">
        <is>
          <t>Not Tested</t>
        </is>
      </c>
      <c r="K289" s="13" t="inlineStr">
        <is>
          <t>Functional</t>
        </is>
      </c>
    </row>
    <row r="290" ht="36" customHeight="1">
      <c r="A290" s="12" t="inlineStr">
        <is>
          <t>PoS Transactions V6.6.0 (EMI-5914)</t>
        </is>
      </c>
      <c r="B290" s="12" t="inlineStr">
        <is>
          <t>ACH &amp; VIBAN per TID</t>
        </is>
      </c>
      <c r="C290" s="12" t="inlineStr">
        <is>
          <t>Positive</t>
        </is>
      </c>
      <c r="D290" s="13" t="inlineStr">
        <is>
          <t>TC-ACH-40</t>
        </is>
      </c>
      <c r="E290" s="12" t="inlineStr">
        <is>
          <t>Filter admin transactions by profileCode</t>
        </is>
      </c>
      <c r="F290" s="13" t="inlineStr">
        <is>
          <t>High</t>
        </is>
      </c>
      <c r="G290" s="12" t="inlineStr">
        <is>
          <t>Valid JWT with the ADMIN_GET_POS_TRANSACTIONS privilege.
Transactions exist for at least 2 different profiles.</t>
        </is>
      </c>
      <c r="H290" s="12" t="inlineStr">
        <is>
          <t>1. Enable profileCode and set it to a known merchant.
2. Send and check every row.</t>
        </is>
      </c>
      <c r="I290" s="12" t="inlineStr">
        <is>
          <t>200 OK and every row belongs to that profile.
This is the documented way an admin scopes down to one merchant.</t>
        </is>
      </c>
      <c r="J290" s="13" t="inlineStr">
        <is>
          <t>Not Tested</t>
        </is>
      </c>
      <c r="K290" s="13" t="inlineStr">
        <is>
          <t>Functional</t>
        </is>
      </c>
    </row>
    <row r="291" ht="36" customHeight="1">
      <c r="A291" s="12" t="inlineStr">
        <is>
          <t>PoS Transactions V6.6.0 (EMI-5914)</t>
        </is>
      </c>
      <c r="B291" s="12" t="inlineStr">
        <is>
          <t>ACH &amp; VIBAN per TID</t>
        </is>
      </c>
      <c r="C291" s="12" t="inlineStr">
        <is>
          <t>Positive</t>
        </is>
      </c>
      <c r="D291" s="13" t="inlineStr">
        <is>
          <t>TC-ACH-41</t>
        </is>
      </c>
      <c r="E291" s="12" t="inlineStr">
        <is>
          <t>Filter admin transactions by deviceId</t>
        </is>
      </c>
      <c r="F291" s="13" t="inlineStr">
        <is>
          <t>Medium</t>
        </is>
      </c>
      <c r="G291" s="12" t="inlineStr">
        <is>
          <t>Valid JWT with the ADMIN_GET_POS_TRANSACTIONS privilege.
Transactions exist for at least 2 different profiles.
A known internal device ID is available.</t>
        </is>
      </c>
      <c r="H291" s="12" t="inlineStr">
        <is>
          <t>1. Enable deviceId with a valid internal ID.
2. Send and check posDeviceId on every row.</t>
        </is>
      </c>
      <c r="I291" s="12" t="inlineStr">
        <is>
          <t>200 OK and every row has posDeviceId equal to the requested value.
This filter does not exist on the business endpoint.</t>
        </is>
      </c>
      <c r="J291" s="13" t="inlineStr">
        <is>
          <t>Not Tested</t>
        </is>
      </c>
      <c r="K291" s="13" t="inlineStr">
        <is>
          <t>Functional</t>
        </is>
      </c>
    </row>
    <row r="292" ht="36" customHeight="1">
      <c r="A292" s="12" t="inlineStr">
        <is>
          <t>PoS Transactions V6.6.0 (EMI-5914)</t>
        </is>
      </c>
      <c r="B292" s="12" t="inlineStr">
        <is>
          <t>ACH &amp; VIBAN per TID</t>
        </is>
      </c>
      <c r="C292" s="12" t="inlineStr">
        <is>
          <t>Positive</t>
        </is>
      </c>
      <c r="D292" s="13" t="inlineStr">
        <is>
          <t>TC-ACH-42</t>
        </is>
      </c>
      <c r="E292" s="12" t="inlineStr">
        <is>
          <t>Filter admin transactions by terminalId and walletCode</t>
        </is>
      </c>
      <c r="F292" s="13" t="inlineStr">
        <is>
          <t>Medium</t>
        </is>
      </c>
      <c r="G292" s="12" t="inlineStr">
        <is>
          <t>Valid JWT with the ADMIN_GET_POS_TRANSACTIONS privilege.
Transactions exist for at least 2 different profiles.</t>
        </is>
      </c>
      <c r="H292" s="12" t="inlineStr">
        <is>
          <t>1. Send with terminalId only.
2. Send with walletCode only.
3. Send with both.</t>
        </is>
      </c>
      <c r="I292" s="12" t="inlineStr">
        <is>
          <t>200 OK each time and rows match the supplied filters.
When both are sent they combine with AND.</t>
        </is>
      </c>
      <c r="J292" s="13" t="inlineStr">
        <is>
          <t>Not Tested</t>
        </is>
      </c>
      <c r="K292" s="13" t="inlineStr">
        <is>
          <t>Functional</t>
        </is>
      </c>
    </row>
    <row r="293" ht="36" customHeight="1">
      <c r="A293" s="12" t="inlineStr">
        <is>
          <t>PoS Transactions V6.6.0 (EMI-5914)</t>
        </is>
      </c>
      <c r="B293" s="12" t="inlineStr">
        <is>
          <t>ACH &amp; VIBAN per TID</t>
        </is>
      </c>
      <c r="C293" s="12" t="inlineStr">
        <is>
          <t>Negative</t>
        </is>
      </c>
      <c r="D293" s="13" t="inlineStr">
        <is>
          <t>TC-ACH-43</t>
        </is>
      </c>
      <c r="E293" s="12" t="inlineStr">
        <is>
          <t>Non-numeric deviceId is rejected</t>
        </is>
      </c>
      <c r="F293" s="13" t="inlineStr">
        <is>
          <t>Medium</t>
        </is>
      </c>
      <c r="G293" s="12" t="inlineStr">
        <is>
          <t>Valid JWT with the ADMIN_GET_POS_TRANSACTIONS privilege.
Transactions exist for at least 2 different profiles.</t>
        </is>
      </c>
      <c r="H293" s="12" t="inlineStr">
        <is>
          <t>1. Send deviceId=abc.</t>
        </is>
      </c>
      <c r="I293" s="12" t="inlineStr">
        <is>
          <t>400 Bad Request - Long binding fails.
ErrorMessageDto shape, no 500.</t>
        </is>
      </c>
      <c r="J293" s="13" t="inlineStr">
        <is>
          <t>Not Tested</t>
        </is>
      </c>
      <c r="K293" s="13" t="inlineStr">
        <is>
          <t>Negative</t>
        </is>
      </c>
    </row>
    <row r="294" ht="36" customHeight="1">
      <c r="A294" s="12" t="inlineStr">
        <is>
          <t>PoS Transactions V6.6.0 (EMI-5914)</t>
        </is>
      </c>
      <c r="B294" s="12" t="inlineStr">
        <is>
          <t>ACH &amp; VIBAN per TID</t>
        </is>
      </c>
      <c r="C294" s="12" t="inlineStr">
        <is>
          <t>Positive</t>
        </is>
      </c>
      <c r="D294" s="13" t="inlineStr">
        <is>
          <t>TC-ACH-44</t>
        </is>
      </c>
      <c r="E294" s="12" t="inlineStr">
        <is>
          <t>All admin filters combined</t>
        </is>
      </c>
      <c r="F294" s="13" t="inlineStr">
        <is>
          <t>Low</t>
        </is>
      </c>
      <c r="G294" s="12" t="inlineStr">
        <is>
          <t>Valid JWT with the ADMIN_GET_POS_TRANSACTIONS privilege.
Transactions exist for at least 2 different profiles.</t>
        </is>
      </c>
      <c r="H294" s="12" t="inlineStr">
        <is>
          <t>1. Enable deviceId, terminalId, walletCode, profileCode, processingStatus, dateFrom, dateTo together with values known to match one row.
2. Send.</t>
        </is>
      </c>
      <c r="I294" s="12" t="inlineStr">
        <is>
          <t>200 OK and exactly the expected row(s) return.
Filters combine with AND; no filter is silently ignored.</t>
        </is>
      </c>
      <c r="J294" s="13" t="inlineStr">
        <is>
          <t>Not Tested</t>
        </is>
      </c>
      <c r="K294" s="13" t="inlineStr">
        <is>
          <t>Edge / Boundary</t>
        </is>
      </c>
    </row>
    <row r="295" ht="36" customHeight="1">
      <c r="A295" s="12" t="inlineStr">
        <is>
          <t>PoS Transactions V6.6.0 (EMI-5914)</t>
        </is>
      </c>
      <c r="B295" s="12" t="inlineStr">
        <is>
          <t>ACH &amp; VIBAN per TID</t>
        </is>
      </c>
      <c r="C295" s="12" t="inlineStr">
        <is>
          <t>Security</t>
        </is>
      </c>
      <c r="D295" s="13" t="inlineStr">
        <is>
          <t>TC-ACH-45</t>
        </is>
      </c>
      <c r="E295" s="12" t="inlineStr">
        <is>
          <t>Business token cannot reach the admin transactions endpoint</t>
        </is>
      </c>
      <c r="F295" s="13" t="inlineStr">
        <is>
          <t>High</t>
        </is>
      </c>
      <c r="G295" s="12" t="inlineStr">
        <is>
          <t>A merchant token holding GET_POS_TRANSACTIONS but NOT ADMIN_GET_POS_TRANSACTIONS.</t>
        </is>
      </c>
      <c r="H295" s="12" t="inlineStr">
        <is>
          <t>1. Send GET /api/v1/admin/pos/transactions with the merchant token.</t>
        </is>
      </c>
      <c r="I295" s="12" t="inlineStr">
        <is>
          <t>403 Forbidden, messageCode UNAUTHORIZED_USER.
This is the key privilege-separation check - a merchant must never read the global list.</t>
        </is>
      </c>
      <c r="J295" s="13" t="inlineStr">
        <is>
          <t>Not Tested</t>
        </is>
      </c>
      <c r="K295" s="13" t="inlineStr">
        <is>
          <t>Security</t>
        </is>
      </c>
    </row>
    <row r="296" ht="36" customHeight="1">
      <c r="A296" s="12" t="inlineStr">
        <is>
          <t>PoS Transactions V6.6.0 (EMI-5914)</t>
        </is>
      </c>
      <c r="B296" s="12" t="inlineStr">
        <is>
          <t>ACH &amp; VIBAN per TID</t>
        </is>
      </c>
      <c r="C296" s="12" t="inlineStr">
        <is>
          <t>Positive</t>
        </is>
      </c>
      <c r="D296" s="13" t="inlineStr">
        <is>
          <t>TC-ACH-46</t>
        </is>
      </c>
      <c r="E296" s="12" t="inlineStr">
        <is>
          <t>Admin sees ledger entries across all profiles</t>
        </is>
      </c>
      <c r="F296" s="13" t="inlineStr">
        <is>
          <t>High</t>
        </is>
      </c>
      <c r="G296" s="12" t="inlineStr">
        <is>
          <t>Valid JWT with ADMIN_GET_POS_LEDGER.
Ledger entries exist for more than one wallet/profile.</t>
        </is>
      </c>
      <c r="H296" s="12" t="inlineStr">
        <is>
          <t>1. Send GET /api/v1/admin/pos/ledger?page=0&amp;size=50.
2. Collect the distinct walletReference values.</t>
        </is>
      </c>
      <c r="I296" s="12" t="inlineStr">
        <is>
          <t>200 OK.
Entries from more than one wallet appear - the admin ledger query is unscoped.</t>
        </is>
      </c>
      <c r="J296" s="13" t="inlineStr">
        <is>
          <t>Not Tested</t>
        </is>
      </c>
      <c r="K296" s="13" t="inlineStr">
        <is>
          <t>Functional</t>
        </is>
      </c>
    </row>
    <row r="297" ht="36" customHeight="1">
      <c r="A297" s="12" t="inlineStr">
        <is>
          <t>PoS Transactions V6.6.0 (EMI-5914)</t>
        </is>
      </c>
      <c r="B297" s="12" t="inlineStr">
        <is>
          <t>ACH &amp; VIBAN per TID</t>
        </is>
      </c>
      <c r="C297" s="12" t="inlineStr">
        <is>
          <t>Positive</t>
        </is>
      </c>
      <c r="D297" s="13" t="inlineStr">
        <is>
          <t>TC-ACH-47</t>
        </is>
      </c>
      <c r="E297" s="12" t="inlineStr">
        <is>
          <t>Filter admin ledger by terminalId and by walletReference</t>
        </is>
      </c>
      <c r="F297" s="13" t="inlineStr">
        <is>
          <t>High</t>
        </is>
      </c>
      <c r="G297" s="12" t="inlineStr">
        <is>
          <t>Valid ADMIN_GET_POS_LEDGER token.</t>
        </is>
      </c>
      <c r="H297" s="12" t="inlineStr">
        <is>
          <t>1. Send with terminalId only and check every row.
2. Send with walletReference only and check every row.</t>
        </is>
      </c>
      <c r="I297" s="12" t="inlineStr">
        <is>
          <t>200 OK both times, rows match the filter.
Both filters exist only on the admin filter class - the business endpoint scopes by path instead.</t>
        </is>
      </c>
      <c r="J297" s="13" t="inlineStr">
        <is>
          <t>Not Tested</t>
        </is>
      </c>
      <c r="K297" s="13" t="inlineStr">
        <is>
          <t>Functional</t>
        </is>
      </c>
    </row>
    <row r="298" ht="36" customHeight="1">
      <c r="A298" s="12" t="inlineStr">
        <is>
          <t>PoS Transactions V6.6.0 (EMI-5914)</t>
        </is>
      </c>
      <c r="B298" s="12" t="inlineStr">
        <is>
          <t>ACH &amp; VIBAN per TID</t>
        </is>
      </c>
      <c r="C298" s="12" t="inlineStr">
        <is>
          <t>Positive</t>
        </is>
      </c>
      <c r="D298" s="13" t="inlineStr">
        <is>
          <t>TC-ACH-48</t>
        </is>
      </c>
      <c r="E298" s="12" t="inlineStr">
        <is>
          <t>Admin ledger status, entryType and date filters</t>
        </is>
      </c>
      <c r="F298" s="13" t="inlineStr">
        <is>
          <t>Medium</t>
        </is>
      </c>
      <c r="G298" s="12" t="inlineStr">
        <is>
          <t>Valid ADMIN_GET_POS_LEDGER token.</t>
        </is>
      </c>
      <c r="H298" s="12" t="inlineStr">
        <is>
          <t>1. Apply status, entryType, dateFrom and dateTo one at a time, then together.</t>
        </is>
      </c>
      <c r="I298" s="12" t="inlineStr">
        <is>
          <t>200 OK for each combination and rows honour every applied filter.</t>
        </is>
      </c>
      <c r="J298" s="13" t="inlineStr">
        <is>
          <t>Not Tested</t>
        </is>
      </c>
      <c r="K298" s="13" t="inlineStr">
        <is>
          <t>Functional</t>
        </is>
      </c>
    </row>
    <row r="299" ht="36" customHeight="1">
      <c r="A299" s="12" t="inlineStr">
        <is>
          <t>PoS Transactions V6.6.0 (EMI-5914)</t>
        </is>
      </c>
      <c r="B299" s="12" t="inlineStr">
        <is>
          <t>ACH &amp; VIBAN per TID</t>
        </is>
      </c>
      <c r="C299" s="12" t="inlineStr">
        <is>
          <t>Security</t>
        </is>
      </c>
      <c r="D299" s="13" t="inlineStr">
        <is>
          <t>TC-ACH-49</t>
        </is>
      </c>
      <c r="E299" s="12" t="inlineStr">
        <is>
          <t>Missing ADMIN_GET_POS_LEDGER privilege is rejected</t>
        </is>
      </c>
      <c r="F299" s="13" t="inlineStr">
        <is>
          <t>High</t>
        </is>
      </c>
      <c r="G299" s="12" t="inlineStr">
        <is>
          <t>Token holding ADMIN_GET_POS_TRANSACTIONS but NOT ADMIN_GET_POS_LEDGER.</t>
        </is>
      </c>
      <c r="H299" s="12" t="inlineStr">
        <is>
          <t>1. Send the admin ledger request.</t>
        </is>
      </c>
      <c r="I299" s="12" t="inlineStr">
        <is>
          <t>403 Forbidden, UNAUTHORIZED_USER.
Confirms admin privileges are checked individually, not as one admin role.</t>
        </is>
      </c>
      <c r="J299" s="13" t="inlineStr">
        <is>
          <t>Not Tested</t>
        </is>
      </c>
      <c r="K299" s="13" t="inlineStr">
        <is>
          <t>Security</t>
        </is>
      </c>
    </row>
    <row r="300" ht="36" customHeight="1">
      <c r="A300" s="12" t="inlineStr">
        <is>
          <t>PoS Transactions V6.6.0 (EMI-5914)</t>
        </is>
      </c>
      <c r="B300" s="12" t="inlineStr">
        <is>
          <t>ACH &amp; VIBAN per TID</t>
        </is>
      </c>
      <c r="C300" s="12" t="inlineStr">
        <is>
          <t>Positive</t>
        </is>
      </c>
      <c r="D300" s="13" t="inlineStr">
        <is>
          <t>TC-ACH-50</t>
        </is>
      </c>
      <c r="E300" s="12" t="inlineStr">
        <is>
          <t>Get all ACH transfers</t>
        </is>
      </c>
      <c r="F300" s="13" t="inlineStr">
        <is>
          <t>High</t>
        </is>
      </c>
      <c r="G300" s="12" t="inlineStr">
        <is>
          <t>Valid JWT with ADMIN_GET_POS_ACH_TRANSFERS.
At least one ACH transfer exists in AWAITING_APPROVAL.</t>
        </is>
      </c>
      <c r="H300" s="12" t="inlineStr">
        <is>
          <t>1. Send GET /api/v1/admin/pos/ach-transfers?page=0&amp;size=20.
2. Inspect the first row's fields.</t>
        </is>
      </c>
      <c r="I300" s="12" t="inlineStr">
        <is>
          <t>200 OK, Page envelope.
Rows carry id, reconBatchRefNum, walletCode, terminalId, sourceBtsFileId, memberCount, slipGrossTotal, slipNetTotal, anbCommissionTotal, anbVatTotal, anbFeeTotal, valueDate, transferAmount, beneficiary fields, status and allowedActions.</t>
        </is>
      </c>
      <c r="J300" s="13" t="inlineStr">
        <is>
          <t>Not Tested</t>
        </is>
      </c>
      <c r="K300" s="13" t="inlineStr">
        <is>
          <t>Functional</t>
        </is>
      </c>
    </row>
    <row r="301" ht="36" customHeight="1">
      <c r="A301" s="12" t="inlineStr">
        <is>
          <t>PoS Transactions V6.6.0 (EMI-5914)</t>
        </is>
      </c>
      <c r="B301" s="12" t="inlineStr">
        <is>
          <t>ACH &amp; VIBAN per TID</t>
        </is>
      </c>
      <c r="C301" s="12" t="inlineStr">
        <is>
          <t>Positive</t>
        </is>
      </c>
      <c r="D301" s="13" t="inlineStr">
        <is>
          <t>TC-ACH-51</t>
        </is>
      </c>
      <c r="E301" s="12" t="inlineStr">
        <is>
          <t>allowedActions is populated only for AWAITING_APPROVAL</t>
        </is>
      </c>
      <c r="F301" s="13" t="inlineStr">
        <is>
          <t>High</t>
        </is>
      </c>
      <c r="G301" s="12" t="inlineStr">
        <is>
          <t>Valid JWT with ADMIN_GET_POS_ACH_TRANSFERS.
At least one ACH transfer exists in AWAITING_APPROVAL.
Transfers exist in several different statuses.</t>
        </is>
      </c>
      <c r="H301" s="12" t="inlineStr">
        <is>
          <t>1. Send without a status filter and size=100.
2. For each row compare status against allowedActions.</t>
        </is>
      </c>
      <c r="I301" s="12" t="inlineStr">
        <is>
          <t>Rows with status AWAITING_APPROVAL have allowedActions = [RELEASE, REJECT].
Rows in APPROVED, PENDING, SUCCESSFUL, REVERSED or REJECTED have an empty allowedActions list.</t>
        </is>
      </c>
      <c r="J301" s="13" t="inlineStr">
        <is>
          <t>Not Tested</t>
        </is>
      </c>
      <c r="K301" s="13" t="inlineStr">
        <is>
          <t>Negative</t>
        </is>
      </c>
    </row>
    <row r="302" ht="36" customHeight="1">
      <c r="A302" s="12" t="inlineStr">
        <is>
          <t>PoS Transactions V6.6.0 (EMI-5914)</t>
        </is>
      </c>
      <c r="B302" s="12" t="inlineStr">
        <is>
          <t>ACH &amp; VIBAN per TID</t>
        </is>
      </c>
      <c r="C302" s="12" t="inlineStr">
        <is>
          <t>Positive</t>
        </is>
      </c>
      <c r="D302" s="13" t="inlineStr">
        <is>
          <t>TC-ACH-52</t>
        </is>
      </c>
      <c r="E302" s="12" t="inlineStr">
        <is>
          <t>Filter ACH transfers by each status value</t>
        </is>
      </c>
      <c r="F302" s="13" t="inlineStr">
        <is>
          <t>Medium</t>
        </is>
      </c>
      <c r="G302" s="12" t="inlineStr">
        <is>
          <t>Valid JWT with ADMIN_GET_POS_ACH_TRANSFERS.
At least one ACH transfer exists in AWAITING_APPROVAL.</t>
        </is>
      </c>
      <c r="H302" s="12" t="inlineStr">
        <is>
          <t>1. Send status=AWAITING_APPROVAL.
2. Repeat for APPROVED, PENDING, SUCCESSFUL, REVERSED, REJECTED.</t>
        </is>
      </c>
      <c r="I302" s="12" t="inlineStr">
        <is>
          <t>200 OK each time and every row carries the requested status.
No enum value is rejected.</t>
        </is>
      </c>
      <c r="J302" s="13" t="inlineStr">
        <is>
          <t>Not Tested</t>
        </is>
      </c>
      <c r="K302" s="13" t="inlineStr">
        <is>
          <t>Negative</t>
        </is>
      </c>
    </row>
    <row r="303" ht="36" customHeight="1">
      <c r="A303" s="12" t="inlineStr">
        <is>
          <t>PoS Transactions V6.6.0 (EMI-5914)</t>
        </is>
      </c>
      <c r="B303" s="12" t="inlineStr">
        <is>
          <t>ACH &amp; VIBAN per TID</t>
        </is>
      </c>
      <c r="C303" s="12" t="inlineStr">
        <is>
          <t>Positive</t>
        </is>
      </c>
      <c r="D303" s="13" t="inlineStr">
        <is>
          <t>TC-ACH-53</t>
        </is>
      </c>
      <c r="E303" s="12" t="inlineStr">
        <is>
          <t>Filter ACH transfers by batchRef, terminalId, walletCode and IBAN</t>
        </is>
      </c>
      <c r="F303" s="13" t="inlineStr">
        <is>
          <t>Medium</t>
        </is>
      </c>
      <c r="G303" s="12" t="inlineStr">
        <is>
          <t>Valid JWT with ADMIN_GET_POS_ACH_TRANSFERS.
At least one ACH transfer exists in AWAITING_APPROVAL.</t>
        </is>
      </c>
      <c r="H303" s="12" t="inlineStr">
        <is>
          <t>1. Apply batchRef alone, then terminalId, then walletCode, then beneficiaryAccountIban.</t>
        </is>
      </c>
      <c r="I303" s="12" t="inlineStr">
        <is>
          <t>200 OK for each.
batchRef filters on reconBatchRefNum and returns at most one row.
Each other filter narrows correctly.</t>
        </is>
      </c>
      <c r="J303" s="13" t="inlineStr">
        <is>
          <t>Not Tested</t>
        </is>
      </c>
      <c r="K303" s="13" t="inlineStr">
        <is>
          <t>Functional</t>
        </is>
      </c>
    </row>
    <row r="304" ht="36" customHeight="1">
      <c r="A304" s="12" t="inlineStr">
        <is>
          <t>PoS Transactions V6.6.0 (EMI-5914)</t>
        </is>
      </c>
      <c r="B304" s="12" t="inlineStr">
        <is>
          <t>ACH &amp; VIBAN per TID</t>
        </is>
      </c>
      <c r="C304" s="12" t="inlineStr">
        <is>
          <t>Boundary</t>
        </is>
      </c>
      <c r="D304" s="13" t="inlineStr">
        <is>
          <t>TC-ACH-54</t>
        </is>
      </c>
      <c r="E304" s="12" t="inlineStr">
        <is>
          <t>Page size is capped at 100 server-side</t>
        </is>
      </c>
      <c r="F304" s="13" t="inlineStr">
        <is>
          <t>High</t>
        </is>
      </c>
      <c r="G304" s="12" t="inlineStr">
        <is>
          <t>Valid JWT with ADMIN_GET_POS_ACH_TRANSFERS.
At least one ACH transfer exists in AWAITING_APPROVAL.
More than 100 ACH transfers exist.</t>
        </is>
      </c>
      <c r="H304" s="12" t="inlineStr">
        <is>
          <t>1. Send size=500.
2. Read size and numberOfElements in the response.
3. Repeat with size=100 and size=101.</t>
        </is>
      </c>
      <c r="I304" s="12" t="inlineStr">
        <is>
          <t>The effective page size never exceeds 100, regardless of what was requested (capped in AchTransferService.pageSize()).
No error is raised for an oversized request - it is silently capped.</t>
        </is>
      </c>
      <c r="J304" s="13" t="inlineStr">
        <is>
          <t>Not Tested</t>
        </is>
      </c>
      <c r="K304" s="13" t="inlineStr">
        <is>
          <t>Edge / Boundary</t>
        </is>
      </c>
    </row>
    <row r="305" ht="36" customHeight="1">
      <c r="A305" s="12" t="inlineStr">
        <is>
          <t>PoS Transactions V6.6.0 (EMI-5914)</t>
        </is>
      </c>
      <c r="B305" s="12" t="inlineStr">
        <is>
          <t>ACH &amp; VIBAN per TID</t>
        </is>
      </c>
      <c r="C305" s="12" t="inlineStr">
        <is>
          <t>Security</t>
        </is>
      </c>
      <c r="D305" s="13" t="inlineStr">
        <is>
          <t>TC-ACH-55</t>
        </is>
      </c>
      <c r="E305" s="12" t="inlineStr">
        <is>
          <t>Missing ADMIN_GET_POS_ACH_TRANSFERS privilege is rejected</t>
        </is>
      </c>
      <c r="F305" s="13" t="inlineStr">
        <is>
          <t>High</t>
        </is>
      </c>
      <c r="G305" s="12" t="inlineStr">
        <is>
          <t>Token without that privilege.</t>
        </is>
      </c>
      <c r="H305" s="12" t="inlineStr">
        <is>
          <t>1. Send the ACH list request.</t>
        </is>
      </c>
      <c r="I305" s="12" t="inlineStr">
        <is>
          <t>403 Forbidden, UNAUTHORIZED_USER.</t>
        </is>
      </c>
      <c r="J305" s="13" t="inlineStr">
        <is>
          <t>Not Tested</t>
        </is>
      </c>
      <c r="K305" s="13" t="inlineStr">
        <is>
          <t>Security</t>
        </is>
      </c>
    </row>
    <row r="306" ht="36" customHeight="1">
      <c r="A306" s="12" t="inlineStr">
        <is>
          <t>PoS Transactions V6.6.0 (EMI-5914)</t>
        </is>
      </c>
      <c r="B306" s="12" t="inlineStr">
        <is>
          <t>ACH &amp; VIBAN per TID</t>
        </is>
      </c>
      <c r="C306" s="12" t="inlineStr">
        <is>
          <t>Positive</t>
        </is>
      </c>
      <c r="D306" s="13" t="inlineStr">
        <is>
          <t>TC-ACH-56</t>
        </is>
      </c>
      <c r="E306" s="12" t="inlineStr">
        <is>
          <t>Release a transfer that is awaiting approval</t>
        </is>
      </c>
      <c r="F306" s="13" t="inlineStr">
        <is>
          <t>High</t>
        </is>
      </c>
      <c r="G306" s="12" t="inlineStr">
        <is>
          <t>Valid JWT with ADMIN_RELEASE_POS_ACH_TRANSFERS.
A transfer in AWAITING_APPROVAL is available - copy its reconBatchRefNum.
CAUTION: this endpoint sends a real payment instruction to the bank.</t>
        </is>
      </c>
      <c r="H306" s="12" t="inlineStr">
        <is>
          <t>1. Note the batch's current status via the GET list.
2. POST release with that single batchRef and a reason.
3. Re-read the batch via the GET list.</t>
        </is>
      </c>
      <c r="I306" s="12" t="inlineStr">
        <is>
          <t>200 OK.
items[0].result = RELEASED, total=1, succeeded=1, failed=0, skipped=0.
On re-read: status is SUCCESSFUL (or PENDING if the bank only acknowledged), releaseMode=MANUAL, approvedBy / approvedAt / sentAt populated, bankInstructionRef set, allowedActions now empty.</t>
        </is>
      </c>
      <c r="J306" s="13" t="inlineStr">
        <is>
          <t>Not Tested</t>
        </is>
      </c>
      <c r="K306" s="13" t="inlineStr">
        <is>
          <t>Functional</t>
        </is>
      </c>
    </row>
    <row r="307" ht="36" customHeight="1">
      <c r="A307" s="12" t="inlineStr">
        <is>
          <t>PoS Transactions V6.6.0 (EMI-5914)</t>
        </is>
      </c>
      <c r="B307" s="12" t="inlineStr">
        <is>
          <t>ACH &amp; VIBAN per TID</t>
        </is>
      </c>
      <c r="C307" s="12" t="inlineStr">
        <is>
          <t>Negative</t>
        </is>
      </c>
      <c r="D307" s="13" t="inlineStr">
        <is>
          <t>TC-ACH-57</t>
        </is>
      </c>
      <c r="E307" s="12" t="inlineStr">
        <is>
          <t>Releasing an already released transfer is skipped, not repeated</t>
        </is>
      </c>
      <c r="F307" s="13" t="inlineStr">
        <is>
          <t>High</t>
        </is>
      </c>
      <c r="G307" s="12" t="inlineStr">
        <is>
          <t>A transfer already in SUCCESSFUL status.</t>
        </is>
      </c>
      <c r="H307" s="12" t="inlineStr">
        <is>
          <t>1. POST release with that batchRef.
2. Re-read the transfer.</t>
        </is>
      </c>
      <c r="I307" s="12" t="inlineStr">
        <is>
          <t>200 OK.
items[0].result = ALREADY_RELEASED, skipped=1, succeeded=0.
No second payment is sent to the bank and no field on the transfer changes.
This is the double-payment guard - treat any state change as a critical defect.</t>
        </is>
      </c>
      <c r="J307" s="13" t="inlineStr">
        <is>
          <t>Not Tested</t>
        </is>
      </c>
      <c r="K307" s="13" t="inlineStr">
        <is>
          <t>Negative</t>
        </is>
      </c>
    </row>
    <row r="308" ht="36" customHeight="1">
      <c r="A308" s="12" t="inlineStr">
        <is>
          <t>PoS Transactions V6.6.0 (EMI-5914)</t>
        </is>
      </c>
      <c r="B308" s="12" t="inlineStr">
        <is>
          <t>ACH &amp; VIBAN per TID</t>
        </is>
      </c>
      <c r="C308" s="12" t="inlineStr">
        <is>
          <t>Negative</t>
        </is>
      </c>
      <c r="D308" s="13" t="inlineStr">
        <is>
          <t>TC-ACH-58</t>
        </is>
      </c>
      <c r="E308" s="12" t="inlineStr">
        <is>
          <t>Releasing an unknown batchRef reports NOT_FOUND</t>
        </is>
      </c>
      <c r="F308" s="13" t="inlineStr">
        <is>
          <t>High</t>
        </is>
      </c>
      <c r="G308" s="12" t="inlineStr">
        <is>
          <t>Valid release privilege.</t>
        </is>
      </c>
      <c r="H308" s="12" t="inlineStr">
        <is>
          <t>1. POST release with a batchRef that does not exist.</t>
        </is>
      </c>
      <c r="I308" s="12" t="inlineStr">
        <is>
          <t>200 OK (not 404).
items[0].result = NOT_FOUND, skipped=1.
Per-item failures are reported inside the 200 body, never as an HTTP error.</t>
        </is>
      </c>
      <c r="J308" s="13" t="inlineStr">
        <is>
          <t>Not Tested</t>
        </is>
      </c>
      <c r="K308" s="13" t="inlineStr">
        <is>
          <t>Negative</t>
        </is>
      </c>
    </row>
    <row r="309" ht="36" customHeight="1">
      <c r="A309" s="12" t="inlineStr">
        <is>
          <t>PoS Transactions V6.6.0 (EMI-5914)</t>
        </is>
      </c>
      <c r="B309" s="12" t="inlineStr">
        <is>
          <t>ACH &amp; VIBAN per TID</t>
        </is>
      </c>
      <c r="C309" s="12" t="inlineStr">
        <is>
          <t>Negative</t>
        </is>
      </c>
      <c r="D309" s="13" t="inlineStr">
        <is>
          <t>TC-ACH-59</t>
        </is>
      </c>
      <c r="E309" s="12" t="inlineStr">
        <is>
          <t>Releasing a transfer in a non-releasable status is rejected</t>
        </is>
      </c>
      <c r="F309" s="13" t="inlineStr">
        <is>
          <t>High</t>
        </is>
      </c>
      <c r="G309" s="12" t="inlineStr">
        <is>
          <t>Transfers exist in APPROVED, PENDING, REVERSED and REJECTED statuses.</t>
        </is>
      </c>
      <c r="H309" s="12" t="inlineStr">
        <is>
          <t>1. POST release for a batch in each of those statuses, one at a time.</t>
        </is>
      </c>
      <c r="I309" s="12" t="inlineStr">
        <is>
          <t>200 OK each time with items[0].result = INVALID_STATUS and skipped=1.
Only AWAITING_APPROVAL permits RELEASE - every other status must refuse.</t>
        </is>
      </c>
      <c r="J309" s="13" t="inlineStr">
        <is>
          <t>Not Tested</t>
        </is>
      </c>
      <c r="K309" s="13" t="inlineStr">
        <is>
          <t>Negative</t>
        </is>
      </c>
    </row>
    <row r="310" ht="36" customHeight="1">
      <c r="A310" s="12" t="inlineStr">
        <is>
          <t>PoS Transactions V6.6.0 (EMI-5914)</t>
        </is>
      </c>
      <c r="B310" s="12" t="inlineStr">
        <is>
          <t>ACH &amp; VIBAN per TID</t>
        </is>
      </c>
      <c r="C310" s="12" t="inlineStr">
        <is>
          <t>Positive</t>
        </is>
      </c>
      <c r="D310" s="13" t="inlineStr">
        <is>
          <t>TC-ACH-60</t>
        </is>
      </c>
      <c r="E310" s="12" t="inlineStr">
        <is>
          <t>Mixed batch returns correct per-item results and counters</t>
        </is>
      </c>
      <c r="F310" s="13" t="inlineStr">
        <is>
          <t>High</t>
        </is>
      </c>
      <c r="G310" s="12" t="inlineStr">
        <is>
          <t>Four batchRefs prepared: one AWAITING_APPROVAL, one SUCCESSFUL, one unknown, one REJECTED.</t>
        </is>
      </c>
      <c r="H310" s="12" t="inlineStr">
        <is>
          <t>1. POST release with all four refs in one request.
2. Check items[] and the four counters.</t>
        </is>
      </c>
      <c r="I310" s="12" t="inlineStr">
        <is>
          <t>200 OK, total=4, items.length=4.
Results are RELEASED, ALREADY_RELEASED, NOT_FOUND, INVALID_STATUS respectively.
succeeded=1, failed=0, skipped=3, and succeeded+failed+skipped = total.
One bad ref does not abort the others.</t>
        </is>
      </c>
      <c r="J310" s="13" t="inlineStr">
        <is>
          <t>Not Tested</t>
        </is>
      </c>
      <c r="K310" s="13" t="inlineStr">
        <is>
          <t>Negative</t>
        </is>
      </c>
    </row>
    <row r="311" ht="36" customHeight="1">
      <c r="A311" s="12" t="inlineStr">
        <is>
          <t>PoS Transactions V6.6.0 (EMI-5914)</t>
        </is>
      </c>
      <c r="B311" s="12" t="inlineStr">
        <is>
          <t>ACH &amp; VIBAN per TID</t>
        </is>
      </c>
      <c r="C311" s="12" t="inlineStr">
        <is>
          <t>Negative</t>
        </is>
      </c>
      <c r="D311" s="13" t="inlineStr">
        <is>
          <t>TC-ACH-61</t>
        </is>
      </c>
      <c r="E311" s="12" t="inlineStr">
        <is>
          <t>Bank rejects the payment instruction</t>
        </is>
      </c>
      <c r="F311" s="13" t="inlineStr">
        <is>
          <t>High</t>
        </is>
      </c>
      <c r="G311" s="12" t="inlineStr">
        <is>
          <t>A bank stub/mock configured to reject, or coordination with the integration team.</t>
        </is>
      </c>
      <c r="H311" s="12" t="inlineStr">
        <is>
          <t>1. Release a batch whose bank call will be rejected.
2. Read items[0] and re-read the transfer.</t>
        </is>
      </c>
      <c r="I311" s="12" t="inlineStr">
        <is>
          <t>200 OK, items[0].result = REJECTED_BY_BANK, failed=1.
Transfer status becomes REJECTED.</t>
        </is>
      </c>
      <c r="J311" s="13" t="inlineStr">
        <is>
          <t>Not Tested</t>
        </is>
      </c>
      <c r="K311" s="13" t="inlineStr">
        <is>
          <t>Negative</t>
        </is>
      </c>
    </row>
    <row r="312" ht="36" customHeight="1">
      <c r="A312" s="12" t="inlineStr">
        <is>
          <t>PoS Transactions V6.6.0 (EMI-5914)</t>
        </is>
      </c>
      <c r="B312" s="12" t="inlineStr">
        <is>
          <t>ACH &amp; VIBAN per TID</t>
        </is>
      </c>
      <c r="C312" s="12" t="inlineStr">
        <is>
          <t>Negative</t>
        </is>
      </c>
      <c r="D312" s="13" t="inlineStr">
        <is>
          <t>TC-ACH-62</t>
        </is>
      </c>
      <c r="E312" s="12" t="inlineStr">
        <is>
          <t>Bank call throws - transfer stays APPROVED with a reason</t>
        </is>
      </c>
      <c r="F312" s="13" t="inlineStr">
        <is>
          <t>High</t>
        </is>
      </c>
      <c r="G312" s="12" t="inlineStr">
        <is>
          <t>Bank integration made to fail (timeout / connection error).</t>
        </is>
      </c>
      <c r="H312" s="12" t="inlineStr">
        <is>
          <t>1. Release a batch while the bank call fails.
2. Read items[0] and re-read the transfer.</t>
        </is>
      </c>
      <c r="I312" s="12" t="inlineStr">
        <is>
          <t>200 OK, items[0].result = FAILED, failed=1.
Transfer status stays APPROVED (not rolled back to AWAITING_APPROVAL, not advanced to SUCCESSFUL).
statusReason carries the release-failed note.
Record whether a retry is then possible - a batch stuck in APPROVED cannot be re-released, which is worth raising.</t>
        </is>
      </c>
      <c r="J312" s="13" t="inlineStr">
        <is>
          <t>Not Tested</t>
        </is>
      </c>
      <c r="K312" s="13" t="inlineStr">
        <is>
          <t>Negative</t>
        </is>
      </c>
    </row>
    <row r="313" ht="36" customHeight="1">
      <c r="A313" s="12" t="inlineStr">
        <is>
          <t>PoS Transactions V6.6.0 (EMI-5914)</t>
        </is>
      </c>
      <c r="B313" s="12" t="inlineStr">
        <is>
          <t>ACH &amp; VIBAN per TID</t>
        </is>
      </c>
      <c r="C313" s="12" t="inlineStr">
        <is>
          <t>Negative</t>
        </is>
      </c>
      <c r="D313" s="13" t="inlineStr">
        <is>
          <t>TC-ACH-63</t>
        </is>
      </c>
      <c r="E313" s="12" t="inlineStr">
        <is>
          <t>Empty batchRefs array is rejected</t>
        </is>
      </c>
      <c r="F313" s="13" t="inlineStr">
        <is>
          <t>High</t>
        </is>
      </c>
      <c r="G313" s="12" t="inlineStr">
        <is>
          <t>Valid release privilege.</t>
        </is>
      </c>
      <c r="H313" s="12" t="inlineStr">
        <is>
          <t>1. POST release with batchRefs = [].</t>
        </is>
      </c>
      <c r="I313" s="12" t="inlineStr">
        <is>
          <t>400 Bad Request from AchTransferActionRequestValidator.
ErrorMessageDto shape, no batch response body.</t>
        </is>
      </c>
      <c r="J313" s="13" t="inlineStr">
        <is>
          <t>Not Tested</t>
        </is>
      </c>
      <c r="K313" s="13" t="inlineStr">
        <is>
          <t>Negative</t>
        </is>
      </c>
    </row>
    <row r="314" ht="36" customHeight="1">
      <c r="A314" s="12" t="inlineStr">
        <is>
          <t>PoS Transactions V6.6.0 (EMI-5914)</t>
        </is>
      </c>
      <c r="B314" s="12" t="inlineStr">
        <is>
          <t>ACH &amp; VIBAN per TID</t>
        </is>
      </c>
      <c r="C314" s="12" t="inlineStr">
        <is>
          <t>Negative</t>
        </is>
      </c>
      <c r="D314" s="13" t="inlineStr">
        <is>
          <t>TC-ACH-64</t>
        </is>
      </c>
      <c r="E314" s="12" t="inlineStr">
        <is>
          <t>Null or missing batchRefs is rejected</t>
        </is>
      </c>
      <c r="F314" s="13" t="inlineStr">
        <is>
          <t>High</t>
        </is>
      </c>
      <c r="G314" s="12" t="inlineStr">
        <is>
          <t>Valid release privilege.</t>
        </is>
      </c>
      <c r="H314" s="12" t="inlineStr">
        <is>
          <t>1. POST release with batchRefs = null.
2. POST release with the batchRefs key removed entirely.</t>
        </is>
      </c>
      <c r="I314" s="12" t="inlineStr">
        <is>
          <t>400 Bad Request for both.</t>
        </is>
      </c>
      <c r="J314" s="13" t="inlineStr">
        <is>
          <t>Not Tested</t>
        </is>
      </c>
      <c r="K314" s="13" t="inlineStr">
        <is>
          <t>Negative</t>
        </is>
      </c>
    </row>
    <row r="315" ht="36" customHeight="1">
      <c r="A315" s="12" t="inlineStr">
        <is>
          <t>PoS Transactions V6.6.0 (EMI-5914)</t>
        </is>
      </c>
      <c r="B315" s="12" t="inlineStr">
        <is>
          <t>ACH &amp; VIBAN per TID</t>
        </is>
      </c>
      <c r="C315" s="12" t="inlineStr">
        <is>
          <t>Negative</t>
        </is>
      </c>
      <c r="D315" s="13" t="inlineStr">
        <is>
          <t>TC-ACH-65</t>
        </is>
      </c>
      <c r="E315" s="12" t="inlineStr">
        <is>
          <t>Blank entry inside batchRefs is rejected</t>
        </is>
      </c>
      <c r="F315" s="13" t="inlineStr">
        <is>
          <t>High</t>
        </is>
      </c>
      <c r="G315" s="12" t="inlineStr">
        <is>
          <t>Valid release privilege.</t>
        </is>
      </c>
      <c r="H315" s="12" t="inlineStr">
        <is>
          <t>1. POST release with batchRefs = [""].
2. Repeat with a whitespace-only entry.
3. Repeat with a valid ref plus a blank one.</t>
        </is>
      </c>
      <c r="I315" s="12" t="inlineStr">
        <is>
          <t>400 Bad Request in all three cases - the whole request is rejected before any transfer is touched.
Step 3 matters most: the valid ref must NOT be released when the request also carries a blank one.</t>
        </is>
      </c>
      <c r="J315" s="13" t="inlineStr">
        <is>
          <t>Not Tested</t>
        </is>
      </c>
      <c r="K315" s="13" t="inlineStr">
        <is>
          <t>Negative</t>
        </is>
      </c>
    </row>
    <row r="316" ht="36" customHeight="1">
      <c r="A316" s="12" t="inlineStr">
        <is>
          <t>PoS Transactions V6.6.0 (EMI-5914)</t>
        </is>
      </c>
      <c r="B316" s="12" t="inlineStr">
        <is>
          <t>ACH &amp; VIBAN per TID</t>
        </is>
      </c>
      <c r="C316" s="12" t="inlineStr">
        <is>
          <t>Boundary</t>
        </is>
      </c>
      <c r="D316" s="13" t="inlineStr">
        <is>
          <t>TC-ACH-66</t>
        </is>
      </c>
      <c r="E316" s="12" t="inlineStr">
        <is>
          <t>batchRefs size limit of 100</t>
        </is>
      </c>
      <c r="F316" s="13" t="inlineStr">
        <is>
          <t>High</t>
        </is>
      </c>
      <c r="G316" s="12" t="inlineStr">
        <is>
          <t>Valid release privilege.</t>
        </is>
      </c>
      <c r="H316" s="12" t="inlineStr">
        <is>
          <t>1. POST release with exactly 100 refs.
2. POST release with 101 refs.</t>
        </is>
      </c>
      <c r="I316" s="12" t="inlineStr">
        <is>
          <t>100 refs: accepted, processed (each item resolved individually).
101 refs: 400 Bad Request (MAX_BATCH_REFS exceeded).</t>
        </is>
      </c>
      <c r="J316" s="13" t="inlineStr">
        <is>
          <t>Not Tested</t>
        </is>
      </c>
      <c r="K316" s="13" t="inlineStr">
        <is>
          <t>Edge / Boundary</t>
        </is>
      </c>
    </row>
    <row r="317" ht="36" customHeight="1">
      <c r="A317" s="12" t="inlineStr">
        <is>
          <t>PoS Transactions V6.6.0 (EMI-5914)</t>
        </is>
      </c>
      <c r="B317" s="12" t="inlineStr">
        <is>
          <t>ACH &amp; VIBAN per TID</t>
        </is>
      </c>
      <c r="C317" s="12" t="inlineStr">
        <is>
          <t>Boundary</t>
        </is>
      </c>
      <c r="D317" s="13" t="inlineStr">
        <is>
          <t>TC-ACH-67</t>
        </is>
      </c>
      <c r="E317" s="12" t="inlineStr">
        <is>
          <t>reason length limit of 255 characters</t>
        </is>
      </c>
      <c r="F317" s="13" t="inlineStr">
        <is>
          <t>Medium</t>
        </is>
      </c>
      <c r="G317" s="12" t="inlineStr">
        <is>
          <t>Valid release privilege and one AWAITING_APPROVAL batch.</t>
        </is>
      </c>
      <c r="H317" s="12" t="inlineStr">
        <is>
          <t>1. POST release with a 255-character reason.
2. POST release with a 256-character reason.
3. POST release with reason omitted.</t>
        </is>
      </c>
      <c r="I317" s="12" t="inlineStr">
        <is>
          <t>255 chars: accepted.
256 chars: 400 Bad Request (MAX_REASON_LENGTH).
Omitted reason: record the behaviour - the validator only caps length, so a null reason is expected to pass.</t>
        </is>
      </c>
      <c r="J317" s="13" t="inlineStr">
        <is>
          <t>Not Tested</t>
        </is>
      </c>
      <c r="K317" s="13" t="inlineStr">
        <is>
          <t>Edge / Boundary</t>
        </is>
      </c>
    </row>
    <row r="318" ht="36" customHeight="1">
      <c r="A318" s="12" t="inlineStr">
        <is>
          <t>PoS Transactions V6.6.0 (EMI-5914)</t>
        </is>
      </c>
      <c r="B318" s="12" t="inlineStr">
        <is>
          <t>ACH &amp; VIBAN per TID</t>
        </is>
      </c>
      <c r="C318" s="12" t="inlineStr">
        <is>
          <t>Negative</t>
        </is>
      </c>
      <c r="D318" s="13" t="inlineStr">
        <is>
          <t>TC-ACH-68</t>
        </is>
      </c>
      <c r="E318" s="12" t="inlineStr">
        <is>
          <t>Duplicate batchRef appearing twice in one request</t>
        </is>
      </c>
      <c r="F318" s="13" t="inlineStr">
        <is>
          <t>Medium</t>
        </is>
      </c>
      <c r="G318" s="12" t="inlineStr">
        <is>
          <t>One AWAITING_APPROVAL batch.</t>
        </is>
      </c>
      <c r="H318" s="12" t="inlineStr">
        <is>
          <t>1. POST release with the same batchRef listed twice.
2. Re-read the transfer and check the bank instruction.</t>
        </is>
      </c>
      <c r="I318" s="12" t="inlineStr">
        <is>
          <t>200 OK, total=2.
The second occurrence must resolve to ALREADY_RELEASED or INVALID_STATUS - not a second RELEASED.
Only ONE payment instruction reaches the bank. Two would be a critical double-payment defect.</t>
        </is>
      </c>
      <c r="J318" s="13" t="inlineStr">
        <is>
          <t>Not Tested</t>
        </is>
      </c>
      <c r="K318" s="13" t="inlineStr">
        <is>
          <t>Integration</t>
        </is>
      </c>
    </row>
    <row r="319" ht="36" customHeight="1">
      <c r="A319" s="12" t="inlineStr">
        <is>
          <t>PoS Transactions V6.6.0 (EMI-5914)</t>
        </is>
      </c>
      <c r="B319" s="12" t="inlineStr">
        <is>
          <t>ACH &amp; VIBAN per TID</t>
        </is>
      </c>
      <c r="C319" s="12" t="inlineStr">
        <is>
          <t>Positive</t>
        </is>
      </c>
      <c r="D319" s="13" t="inlineStr">
        <is>
          <t>TC-ACH-69</t>
        </is>
      </c>
      <c r="E319" s="12" t="inlineStr">
        <is>
          <t>Release is written to the audit log</t>
        </is>
      </c>
      <c r="F319" s="13" t="inlineStr">
        <is>
          <t>Medium</t>
        </is>
      </c>
      <c r="G319" s="12" t="inlineStr">
        <is>
          <t>Access to the POS ACH audit log (PosAchAuditLogService output) or its table.</t>
        </is>
      </c>
      <c r="H319" s="12" t="inlineStr">
        <is>
          <t>1. Release a batch.
2. Also release an unknown ref in the same or a separate call.
3. Inspect the audit log.</t>
        </is>
      </c>
      <c r="I319" s="12" t="inlineStr">
        <is>
          <t>Every item - success and failure alike - produces an audit entry recording previous status, new status and the supplied reason.
The acting user is recorded.</t>
        </is>
      </c>
      <c r="J319" s="13" t="inlineStr">
        <is>
          <t>Not Tested</t>
        </is>
      </c>
      <c r="K319" s="13" t="inlineStr">
        <is>
          <t>Negative</t>
        </is>
      </c>
    </row>
    <row r="320" ht="36" customHeight="1">
      <c r="A320" s="12" t="inlineStr">
        <is>
          <t>PoS Transactions V6.6.0 (EMI-5914)</t>
        </is>
      </c>
      <c r="B320" s="12" t="inlineStr">
        <is>
          <t>ACH &amp; VIBAN per TID</t>
        </is>
      </c>
      <c r="C320" s="12" t="inlineStr">
        <is>
          <t>Security</t>
        </is>
      </c>
      <c r="D320" s="13" t="inlineStr">
        <is>
          <t>TC-ACH-70</t>
        </is>
      </c>
      <c r="E320" s="12" t="inlineStr">
        <is>
          <t>Missing ADMIN_RELEASE_POS_ACH_TRANSFERS privilege is rejected</t>
        </is>
      </c>
      <c r="F320" s="13" t="inlineStr">
        <is>
          <t>High</t>
        </is>
      </c>
      <c r="G320" s="12" t="inlineStr">
        <is>
          <t>A token with ADMIN_GET_POS_ACH_TRANSFERS but NOT the release privilege.</t>
        </is>
      </c>
      <c r="H320" s="12" t="inlineStr">
        <is>
          <t>1. POST release with a valid body.
2. Re-read the transfer.</t>
        </is>
      </c>
      <c r="I320" s="12" t="inlineStr">
        <is>
          <t>403 Forbidden, UNAUTHORIZED_USER.
The transfer status is unchanged - a read-only admin must not be able to move money.</t>
        </is>
      </c>
      <c r="J320" s="13" t="inlineStr">
        <is>
          <t>Not Tested</t>
        </is>
      </c>
      <c r="K320" s="13" t="inlineStr">
        <is>
          <t>Security</t>
        </is>
      </c>
    </row>
    <row r="321" ht="36" customHeight="1">
      <c r="A321" s="12" t="inlineStr">
        <is>
          <t>PoS Transactions V6.6.0 (EMI-5914)</t>
        </is>
      </c>
      <c r="B321" s="12" t="inlineStr">
        <is>
          <t>ACH &amp; VIBAN per TID</t>
        </is>
      </c>
      <c r="C321" s="12" t="inlineStr">
        <is>
          <t>Positive</t>
        </is>
      </c>
      <c r="D321" s="13" t="inlineStr">
        <is>
          <t>TC-ACH-71</t>
        </is>
      </c>
      <c r="E321" s="12" t="inlineStr">
        <is>
          <t>Reject a transfer that is awaiting approval</t>
        </is>
      </c>
      <c r="F321" s="13" t="inlineStr">
        <is>
          <t>High</t>
        </is>
      </c>
      <c r="G321" s="12" t="inlineStr">
        <is>
          <t>Valid JWT with ADMIN_REJECT_POS_ACH_TRANSFERS and an AWAITING_APPROVAL batch.</t>
        </is>
      </c>
      <c r="H321" s="12" t="inlineStr">
        <is>
          <t>1. POST reject with the batchRef and a reason.
2. Re-read the transfer.</t>
        </is>
      </c>
      <c r="I321" s="12" t="inlineStr">
        <is>
          <t>200 OK, items[0].result = REJECTED.
On re-read: status = REJECTED, statusReason carries the supplied reason, allowedActions is empty.
No bank call is made.</t>
        </is>
      </c>
      <c r="J321" s="13" t="inlineStr">
        <is>
          <t>Not Tested</t>
        </is>
      </c>
      <c r="K321" s="13" t="inlineStr">
        <is>
          <t>Negative</t>
        </is>
      </c>
    </row>
    <row r="322" ht="36" customHeight="1">
      <c r="A322" s="12" t="inlineStr">
        <is>
          <t>PoS Transactions V6.6.0 (EMI-5914)</t>
        </is>
      </c>
      <c r="B322" s="12" t="inlineStr">
        <is>
          <t>ACH &amp; VIBAN per TID</t>
        </is>
      </c>
      <c r="C322" s="12" t="inlineStr">
        <is>
          <t>Negative</t>
        </is>
      </c>
      <c r="D322" s="13" t="inlineStr">
        <is>
          <t>TC-ACH-72</t>
        </is>
      </c>
      <c r="E322" s="12" t="inlineStr">
        <is>
          <t>Rejecting a non-AWAITING_APPROVAL transfer is refused</t>
        </is>
      </c>
      <c r="F322" s="13" t="inlineStr">
        <is>
          <t>High</t>
        </is>
      </c>
      <c r="G322" s="12" t="inlineStr">
        <is>
          <t>Transfers in SUCCESSFUL, APPROVED, PENDING and REJECTED statuses.</t>
        </is>
      </c>
      <c r="H322" s="12" t="inlineStr">
        <is>
          <t>1. POST reject for each of those statuses in turn.</t>
        </is>
      </c>
      <c r="I322" s="12" t="inlineStr">
        <is>
          <t>200 OK each time with items[0].result = INVALID_STATUS and skipped=1.
An already-settled transfer can never be rejected after the fact.</t>
        </is>
      </c>
      <c r="J322" s="13" t="inlineStr">
        <is>
          <t>Not Tested</t>
        </is>
      </c>
      <c r="K322" s="13" t="inlineStr">
        <is>
          <t>Negative</t>
        </is>
      </c>
    </row>
    <row r="323" ht="36" customHeight="1">
      <c r="A323" s="12" t="inlineStr">
        <is>
          <t>PoS Transactions V6.6.0 (EMI-5914)</t>
        </is>
      </c>
      <c r="B323" s="12" t="inlineStr">
        <is>
          <t>ACH &amp; VIBAN per TID</t>
        </is>
      </c>
      <c r="C323" s="12" t="inlineStr">
        <is>
          <t>Negative</t>
        </is>
      </c>
      <c r="D323" s="13" t="inlineStr">
        <is>
          <t>TC-ACH-73</t>
        </is>
      </c>
      <c r="E323" s="12" t="inlineStr">
        <is>
          <t>Rejecting an unknown batchRef reports NOT_FOUND</t>
        </is>
      </c>
      <c r="F323" s="13" t="inlineStr">
        <is>
          <t>Medium</t>
        </is>
      </c>
      <c r="G323" s="12" t="inlineStr">
        <is>
          <t>Valid reject privilege.</t>
        </is>
      </c>
      <c r="H323" s="12" t="inlineStr">
        <is>
          <t>1. POST reject with a non-existent batchRef.</t>
        </is>
      </c>
      <c r="I323" s="12" t="inlineStr">
        <is>
          <t>200 OK, items[0].result = NOT_FOUND, skipped=1.</t>
        </is>
      </c>
      <c r="J323" s="13" t="inlineStr">
        <is>
          <t>Not Tested</t>
        </is>
      </c>
      <c r="K323" s="13" t="inlineStr">
        <is>
          <t>Negative</t>
        </is>
      </c>
    </row>
    <row r="324" ht="36" customHeight="1">
      <c r="A324" s="12" t="inlineStr">
        <is>
          <t>PoS Transactions V6.6.0 (EMI-5914)</t>
        </is>
      </c>
      <c r="B324" s="12" t="inlineStr">
        <is>
          <t>ACH &amp; VIBAN per TID</t>
        </is>
      </c>
      <c r="C324" s="12" t="inlineStr">
        <is>
          <t>Positive</t>
        </is>
      </c>
      <c r="D324" s="13" t="inlineStr">
        <is>
          <t>TC-ACH-74</t>
        </is>
      </c>
      <c r="E324" s="12" t="inlineStr">
        <is>
          <t>Reject response never carries release-only result codes</t>
        </is>
      </c>
      <c r="F324" s="13" t="inlineStr">
        <is>
          <t>Medium</t>
        </is>
      </c>
      <c r="G324" s="12" t="inlineStr">
        <is>
          <t>Mixed set of batchRefs.</t>
        </is>
      </c>
      <c r="H324" s="12" t="inlineStr">
        <is>
          <t>1. POST reject with a valid AWAITING_APPROVAL ref, an unknown ref and a SUCCESSFUL ref.
2. Read every items[].result.</t>
        </is>
      </c>
      <c r="I324" s="12" t="inlineStr">
        <is>
          <t>Results are drawn only from REJECTED, NOT_FOUND and INVALID_STATUS.
RELEASED, REJECTED_BY_BANK, FAILED and ALREADY_RELEASED must never appear on this endpoint.</t>
        </is>
      </c>
      <c r="J324" s="13" t="inlineStr">
        <is>
          <t>Not Tested</t>
        </is>
      </c>
      <c r="K324" s="13" t="inlineStr">
        <is>
          <t>Negative</t>
        </is>
      </c>
    </row>
    <row r="325" ht="36" customHeight="1">
      <c r="A325" s="12" t="inlineStr">
        <is>
          <t>PoS Transactions V6.6.0 (EMI-5914)</t>
        </is>
      </c>
      <c r="B325" s="12" t="inlineStr">
        <is>
          <t>ACH &amp; VIBAN per TID</t>
        </is>
      </c>
      <c r="C325" s="12" t="inlineStr">
        <is>
          <t>Negative</t>
        </is>
      </c>
      <c r="D325" s="13" t="inlineStr">
        <is>
          <t>TC-ACH-75</t>
        </is>
      </c>
      <c r="E325" s="12" t="inlineStr">
        <is>
          <t>Reject applies the same request validation as release</t>
        </is>
      </c>
      <c r="F325" s="13" t="inlineStr">
        <is>
          <t>Medium</t>
        </is>
      </c>
      <c r="G325" s="12" t="inlineStr">
        <is>
          <t>Valid reject privilege.</t>
        </is>
      </c>
      <c r="H325" s="12" t="inlineStr">
        <is>
          <t>1. POST reject with batchRefs = [].
2. With a blank entry.
3. With 101 refs.
4. With a 256-character reason.</t>
        </is>
      </c>
      <c r="I325" s="12" t="inlineStr">
        <is>
          <t>400 Bad Request in all four cases - the validator is shared between the two endpoints.</t>
        </is>
      </c>
      <c r="J325" s="13" t="inlineStr">
        <is>
          <t>Not Tested</t>
        </is>
      </c>
      <c r="K325" s="13" t="inlineStr">
        <is>
          <t>Negative</t>
        </is>
      </c>
    </row>
    <row r="326" ht="36" customHeight="1">
      <c r="A326" s="12" t="inlineStr">
        <is>
          <t>PoS Transactions V6.6.0 (EMI-5914)</t>
        </is>
      </c>
      <c r="B326" s="12" t="inlineStr">
        <is>
          <t>ACH &amp; VIBAN per TID</t>
        </is>
      </c>
      <c r="C326" s="12" t="inlineStr">
        <is>
          <t>Negative</t>
        </is>
      </c>
      <c r="D326" s="13" t="inlineStr">
        <is>
          <t>TC-ACH-76</t>
        </is>
      </c>
      <c r="E326" s="12" t="inlineStr">
        <is>
          <t>Concurrent release and reject on the same batch</t>
        </is>
      </c>
      <c r="F326" s="13" t="inlineStr">
        <is>
          <t>High</t>
        </is>
      </c>
      <c r="G326" s="12" t="inlineStr">
        <is>
          <t>One AWAITING_APPROVAL batch. Two Postman tabs or a Runner set up to fire simultaneously.</t>
        </is>
      </c>
      <c r="H326" s="12" t="inlineStr">
        <is>
          <t>1. Fire release and reject for the same batchRef at the same moment.
2. Re-read the transfer.
3. Check the audit log.</t>
        </is>
      </c>
      <c r="I326" s="12" t="inlineStr">
        <is>
          <t>Exactly one action wins (the atomic compare-and-set).
The loser returns INVALID_STATUS.
Final status is either SUCCESSFUL/PENDING or REJECTED - never both, never a mixed state.
No duplicate bank instruction.</t>
        </is>
      </c>
      <c r="J326" s="13" t="inlineStr">
        <is>
          <t>Not Tested</t>
        </is>
      </c>
      <c r="K326" s="13" t="inlineStr">
        <is>
          <t>Integration</t>
        </is>
      </c>
    </row>
    <row r="327" ht="36" customHeight="1">
      <c r="A327" s="12" t="inlineStr">
        <is>
          <t>PoS Transactions V6.6.0 (EMI-5914)</t>
        </is>
      </c>
      <c r="B327" s="12" t="inlineStr">
        <is>
          <t>ACH &amp; VIBAN per TID</t>
        </is>
      </c>
      <c r="C327" s="12" t="inlineStr">
        <is>
          <t>Security</t>
        </is>
      </c>
      <c r="D327" s="13" t="inlineStr">
        <is>
          <t>TC-ACH-77</t>
        </is>
      </c>
      <c r="E327" s="12" t="inlineStr">
        <is>
          <t>Missing ADMIN_REJECT_POS_ACH_TRANSFERS privilege is rejected</t>
        </is>
      </c>
      <c r="F327" s="13" t="inlineStr">
        <is>
          <t>High</t>
        </is>
      </c>
      <c r="G327" s="12" t="inlineStr">
        <is>
          <t>Token with the release privilege but not the reject privilege.</t>
        </is>
      </c>
      <c r="H327" s="12" t="inlineStr">
        <is>
          <t>1. POST reject with a valid body.
2. Re-read the transfer.</t>
        </is>
      </c>
      <c r="I327" s="12" t="inlineStr">
        <is>
          <t>403 Forbidden, UNAUTHORIZED_USER, and the transfer is unchanged.
Release and reject are separate privileges.</t>
        </is>
      </c>
      <c r="J327" s="13" t="inlineStr">
        <is>
          <t>Not Tested</t>
        </is>
      </c>
      <c r="K327" s="13" t="inlineStr">
        <is>
          <t>Security</t>
        </is>
      </c>
    </row>
    <row r="328" ht="36" customHeight="1">
      <c r="A328" s="12" t="inlineStr">
        <is>
          <t>PoS Transactions V6.6.0 (EMI-5914)</t>
        </is>
      </c>
      <c r="B328" s="12" t="inlineStr">
        <is>
          <t>ACH &amp; VIBAN per TID</t>
        </is>
      </c>
      <c r="C328" s="12" t="inlineStr">
        <is>
          <t>Intraday Settlement</t>
        </is>
      </c>
      <c r="D328" s="13" t="inlineStr">
        <is>
          <t>TC-ACH-78</t>
        </is>
      </c>
      <c r="E328" s="12" t="inlineStr">
        <is>
          <t>Valid Payment ID and exact amount clears the matching pending aggregate</t>
        </is>
      </c>
      <c r="F328" s="13" t="inlineStr">
        <is>
          <t>Critical</t>
        </is>
      </c>
      <c r="G328" s="12" t="inlineStr">
        <is>
          <t>A pending POS settlement aggregate exists with a valid Payment id and known expected amount. An inbound bank statement credit is available.</t>
        </is>
      </c>
      <c r="H328" s="12" t="inlineStr">
        <is>
          <t>1. Process the inbound statement.
2. Provide the matching Payment id.
3. Verify the credited amount equals the pending aggregate amount.
4. Run the intraday settlement job.</t>
        </is>
      </c>
      <c r="I328" s="12" t="inlineStr">
        <is>
          <t>The correct pending aggregate is identified and cleared. Settlement is completed against the existing aggregate.</t>
        </is>
      </c>
      <c r="J328" s="13" t="inlineStr">
        <is>
          <t>Not Tested</t>
        </is>
      </c>
      <c r="K328" s="13" t="inlineStr">
        <is>
          <t>Functional</t>
        </is>
      </c>
    </row>
    <row r="329" ht="36" customHeight="1">
      <c r="A329" s="12" t="inlineStr">
        <is>
          <t>PoS Transactions V6.6.0 (EMI-5914)</t>
        </is>
      </c>
      <c r="B329" s="12" t="inlineStr">
        <is>
          <t>ACH &amp; VIBAN per TID</t>
        </is>
      </c>
      <c r="C329" s="12" t="inlineStr">
        <is>
          <t>Intraday Settlement</t>
        </is>
      </c>
      <c r="D329" s="13" t="inlineStr">
        <is>
          <t>TC-ACH-79</t>
        </is>
      </c>
      <c r="E329" s="12" t="inlineStr">
        <is>
          <t>Intraday credit does not create a new CASH IN</t>
        </is>
      </c>
      <c r="F329" s="13" t="inlineStr">
        <is>
          <t>Critical</t>
        </is>
      </c>
      <c r="G329" s="12" t="inlineStr">
        <is>
          <t>A pending POS aggregate exists and its corresponding bank credit is available.</t>
        </is>
      </c>
      <c r="H329" s="12" t="inlineStr">
        <is>
          <t>1. Record the ledger state before processing.
2. Process the inbound statement through the intraday job.
3. Review the ledger after processing.</t>
        </is>
      </c>
      <c r="I329" s="12" t="inlineStr">
        <is>
          <t>The existing pending aggregate is cleared. No additional/new CASH IN transaction is created for the same settlement.</t>
        </is>
      </c>
      <c r="J329" s="13" t="inlineStr">
        <is>
          <t>Not Tested</t>
        </is>
      </c>
      <c r="K329" s="13" t="inlineStr">
        <is>
          <t>Functional</t>
        </is>
      </c>
    </row>
    <row r="330" ht="36" customHeight="1">
      <c r="A330" s="12" t="inlineStr">
        <is>
          <t>PoS Transactions V6.6.0 (EMI-5914)</t>
        </is>
      </c>
      <c r="B330" s="12" t="inlineStr">
        <is>
          <t>ACH &amp; VIBAN per TID</t>
        </is>
      </c>
      <c r="C330" s="12" t="inlineStr">
        <is>
          <t>Intraday Settlement</t>
        </is>
      </c>
      <c r="D330" s="13" t="inlineStr">
        <is>
          <t>TC-ACH-80</t>
        </is>
      </c>
      <c r="E330" s="12" t="inlineStr">
        <is>
          <t>Successful aggregate settlement settles all member POS transactions</t>
        </is>
      </c>
      <c r="F330" s="13" t="inlineStr">
        <is>
          <t>Critical</t>
        </is>
      </c>
      <c r="G330" s="12" t="inlineStr">
        <is>
          <t>A settlement aggregate contains multiple POS member transactions. Matching bank credit is available.</t>
        </is>
      </c>
      <c r="H330" s="12" t="inlineStr">
        <is>
          <t>1. Process the matching bank credit.
2. Run intraday settlement.
3. Review the aggregate and all member transactions.</t>
        </is>
      </c>
      <c r="I330" s="12" t="inlineStr">
        <is>
          <t>The aggregate is settled and all eligible member POS transactions are moved to the appropriate settled state.</t>
        </is>
      </c>
      <c r="J330" s="13" t="inlineStr">
        <is>
          <t>Not Tested</t>
        </is>
      </c>
      <c r="K330" s="13" t="inlineStr">
        <is>
          <t>Functional</t>
        </is>
      </c>
    </row>
    <row r="331" ht="36" customHeight="1">
      <c r="A331" s="12" t="inlineStr">
        <is>
          <t>PoS Transactions V6.6.0 (EMI-5914)</t>
        </is>
      </c>
      <c r="B331" s="12" t="inlineStr">
        <is>
          <t>ACH &amp; VIBAN per TID</t>
        </is>
      </c>
      <c r="C331" s="12" t="inlineStr">
        <is>
          <t>Amount Validation</t>
        </is>
      </c>
      <c r="D331" s="13" t="inlineStr">
        <is>
          <t>TC-ACH-81</t>
        </is>
      </c>
      <c r="E331" s="12" t="inlineStr">
        <is>
          <t>Amount mismatch does not clear the pending aggregate</t>
        </is>
      </c>
      <c r="F331" s="13" t="inlineStr">
        <is>
          <t>Critical</t>
        </is>
      </c>
      <c r="G331" s="12" t="inlineStr">
        <is>
          <t>A pending aggregate exists with a known expected amount. Bank statement contains the same Payment id but a different amount.</t>
        </is>
      </c>
      <c r="H331" s="12" t="inlineStr">
        <is>
          <t>1. Process the inbound statement.
2. Run the intraday settlement job.
3. Check the aggregate and reconciliation/discrepancy records.</t>
        </is>
      </c>
      <c r="I331" s="12" t="inlineStr">
        <is>
          <t>The aggregate is not cleared. The mismatch is recorded/parked according to the reconciliation process. No settlement is performed.</t>
        </is>
      </c>
      <c r="J331" s="13" t="inlineStr">
        <is>
          <t>The current implementation does not check on the mismatch</t>
        </is>
      </c>
      <c r="K331" s="13" t="inlineStr">
        <is>
          <t>Negative</t>
        </is>
      </c>
    </row>
    <row r="332" ht="36" customHeight="1">
      <c r="A332" s="12" t="inlineStr">
        <is>
          <t>PoS Transactions V6.6.0 (EMI-5914)</t>
        </is>
      </c>
      <c r="B332" s="12" t="inlineStr">
        <is>
          <t>ACH &amp; VIBAN per TID</t>
        </is>
      </c>
      <c r="C332" s="12" t="inlineStr">
        <is>
          <t>Reference Validation</t>
        </is>
      </c>
      <c r="D332" s="13" t="inlineStr">
        <is>
          <t>TC-ACH-82</t>
        </is>
      </c>
      <c r="E332" s="12" t="inlineStr">
        <is>
          <t>Unknown or missing Payment ID is parked without fallback matching</t>
        </is>
      </c>
      <c r="F332" s="13" t="inlineStr">
        <is>
          <t>Critical</t>
        </is>
      </c>
      <c r="G332" s="12" t="inlineStr">
        <is>
          <t>A pending aggregate exists. The inbound statement has either a missing or unknown Payment id.</t>
        </is>
      </c>
      <c r="H332" s="12" t="inlineStr">
        <is>
          <t>1. Process the inbound statement.
2. Run the intraday settlement job.
3. Verify whether the system attempts amount/date-based fallback matching.</t>
        </is>
      </c>
      <c r="I332" s="12" t="inlineStr">
        <is>
          <t>The credit is parked/unmatched. No aggregate is cleared and no settlement occurs. The system does not use amount/date as a fallback to identify the batch.</t>
        </is>
      </c>
      <c r="J332" s="13" t="inlineStr">
        <is>
          <t>Not Tested</t>
        </is>
      </c>
      <c r="K332" s="13" t="inlineStr">
        <is>
          <t>Negative</t>
        </is>
      </c>
    </row>
    <row r="333" ht="36" customHeight="1">
      <c r="A333" s="12" t="inlineStr">
        <is>
          <t>PoS Transactions V6.6.0 (EMI-5914)</t>
        </is>
      </c>
      <c r="B333" s="12" t="inlineStr">
        <is>
          <t>ACH &amp; VIBAN per TID</t>
        </is>
      </c>
      <c r="C333" s="12" t="inlineStr">
        <is>
          <t>Idempotency</t>
        </is>
      </c>
      <c r="D333" s="13" t="inlineStr">
        <is>
          <t>TC-ACH-83</t>
        </is>
      </c>
      <c r="E333" s="12" t="inlineStr">
        <is>
          <t>Duplicate processing of the same Payment ID does not cause duplicate settlement</t>
        </is>
      </c>
      <c r="F333" s="13" t="inlineStr">
        <is>
          <t>Critical</t>
        </is>
      </c>
      <c r="G333" s="12" t="inlineStr">
        <is>
          <t>A settlement has already been successfully processed for a specific Payment id. The same statement/credit is available for reprocessing.</t>
        </is>
      </c>
      <c r="H333" s="12" t="inlineStr">
        <is>
          <t>1. Process the original credit successfully.
2. Re-run/re-submit the same credit with the same Payment id.
3. Review ledger and settlement records.</t>
        </is>
      </c>
      <c r="I333" s="12" t="inlineStr">
        <is>
          <t>The second processing does not create another settlement, duplicate credit, or duplicate member settlement.</t>
        </is>
      </c>
      <c r="J333" s="13" t="inlineStr">
        <is>
          <t>Not Tested</t>
        </is>
      </c>
      <c r="K333" s="13" t="inlineStr">
        <is>
          <t>Integration</t>
        </is>
      </c>
    </row>
    <row r="334" ht="36" customHeight="1">
      <c r="A334" s="12" t="inlineStr">
        <is>
          <t>PoS Transactions V6.6.0 (EMI-5914)</t>
        </is>
      </c>
      <c r="B334" s="12" t="inlineStr">
        <is>
          <t>ACH &amp; VIBAN per TID</t>
        </is>
      </c>
      <c r="C334" s="12" t="inlineStr">
        <is>
          <t>Settlement Gates</t>
        </is>
      </c>
      <c r="D334" s="13" t="inlineStr">
        <is>
          <t>TC-ACH-84</t>
        </is>
      </c>
      <c r="E334" s="12" t="inlineStr">
        <is>
          <t>Gate 3 is executed only after successful reference and amount matching</t>
        </is>
      </c>
      <c r="F334" s="13" t="inlineStr">
        <is>
          <t>Critical</t>
        </is>
      </c>
      <c r="G334" s="12" t="inlineStr">
        <is>
          <t>A pending aggregate and corresponding inbound credit are available.</t>
        </is>
      </c>
      <c r="H334" s="12" t="inlineStr">
        <is>
          <t>1. Process a credit with an invalid reference.
2. Process a credit with an amount mismatch.
3. Monitor Gate 3 execution.
4. Process a valid reference with an exact amount.</t>
        </is>
      </c>
      <c r="I334" s="12" t="inlineStr">
        <is>
          <t>Gate 3 is not executed for invalid reference or amount mismatch. Gate 3 is executed only after reference and amount validation succeeds.</t>
        </is>
      </c>
      <c r="J334" s="13" t="inlineStr">
        <is>
          <t>Not Tested</t>
        </is>
      </c>
      <c r="K334" s="13" t="inlineStr">
        <is>
          <t>Negative</t>
        </is>
      </c>
    </row>
    <row r="335" ht="36" customHeight="1">
      <c r="A335" s="12" t="inlineStr">
        <is>
          <t>PoS Transactions V6.6.0 (EMI-5914)</t>
        </is>
      </c>
      <c r="B335" s="12" t="inlineStr">
        <is>
          <t>ACH &amp; VIBAN per TID</t>
        </is>
      </c>
      <c r="C335" s="12" t="inlineStr">
        <is>
          <t>Settlement Gates</t>
        </is>
      </c>
      <c r="D335" s="13" t="inlineStr">
        <is>
          <t>TC-ACH-85</t>
        </is>
      </c>
      <c r="E335" s="12" t="inlineStr">
        <is>
          <t>Gate 3 success clears the pending aggregate and makes funds available</t>
        </is>
      </c>
      <c r="F335" s="13" t="inlineStr">
        <is>
          <t>Critical</t>
        </is>
      </c>
      <c r="G335" s="12" t="inlineStr">
        <is>
          <t>Valid pending aggregate exists. Matching inbound credit passes reference and amount validation. Merchant passes Gate 3 controls.</t>
        </is>
      </c>
      <c r="H335" s="12" t="inlineStr">
        <is>
          <t>1. Process the inbound credit.
2. Run Gate 3.
3. Check aggregate status and merchant available balance.</t>
        </is>
      </c>
      <c r="I335" s="12" t="inlineStr">
        <is>
          <t>Gate 3 succeeds. The pending aggregate is cleared and the corresponding funds become available according to the settlement rules.</t>
        </is>
      </c>
      <c r="J335" s="13" t="inlineStr">
        <is>
          <t>Not Tested</t>
        </is>
      </c>
      <c r="K335" s="13" t="inlineStr">
        <is>
          <t>Functional</t>
        </is>
      </c>
    </row>
    <row r="336" ht="36" customHeight="1">
      <c r="A336" s="12" t="inlineStr">
        <is>
          <t>PoS Transactions V6.6.0 (EMI-5914)</t>
        </is>
      </c>
      <c r="B336" s="12" t="inlineStr">
        <is>
          <t>ACH &amp; VIBAN per TID</t>
        </is>
      </c>
      <c r="C336" s="12" t="inlineStr">
        <is>
          <t>Settlement Gates</t>
        </is>
      </c>
      <c r="D336" s="13" t="inlineStr">
        <is>
          <t>TC-ACH-86</t>
        </is>
      </c>
      <c r="E336" s="12" t="inlineStr">
        <is>
          <t>Gate 3 failure moves funds to suspense and does not make them available</t>
        </is>
      </c>
      <c r="F336" s="13" t="inlineStr">
        <is>
          <t>Critical</t>
        </is>
      </c>
      <c r="G336" s="12" t="inlineStr">
        <is>
          <t>Valid aggregate and matching bank credit exist. Merchant fails a Gate 3 control.</t>
        </is>
      </c>
      <c r="H336" s="12" t="inlineStr">
        <is>
          <t>1. Process the inbound credit.
2. Trigger Gate 3 failure.
3. Review ledger, suspense and available balance.</t>
        </is>
      </c>
      <c r="I336" s="12" t="inlineStr">
        <is>
          <t>Funds are moved/recorded in the required suspense state. Funds are not made available to the merchant and the pending settlement is not incorrectly marked successful.</t>
        </is>
      </c>
      <c r="J336" s="13" t="inlineStr">
        <is>
          <t>Not Tested</t>
        </is>
      </c>
      <c r="K336" s="13" t="inlineStr">
        <is>
          <t>Negative</t>
        </is>
      </c>
    </row>
    <row r="337" ht="36" customHeight="1">
      <c r="A337" s="12" t="inlineStr">
        <is>
          <t>PoS Transactions V6.6.0 (EMI-5914)</t>
        </is>
      </c>
      <c r="B337" s="12" t="inlineStr">
        <is>
          <t>ACH &amp; VIBAN per TID</t>
        </is>
      </c>
      <c r="C337" s="12" t="inlineStr">
        <is>
          <t>Settlement Gates</t>
        </is>
      </c>
      <c r="D337" s="13" t="inlineStr">
        <is>
          <t>TC-ACH-87</t>
        </is>
      </c>
      <c r="E337" s="12" t="inlineStr">
        <is>
          <t>Gate 3 failure does not trigger ACH re-issue</t>
        </is>
      </c>
      <c r="F337" s="13" t="inlineStr">
        <is>
          <t>Critical</t>
        </is>
      </c>
      <c r="G337" s="12" t="inlineStr">
        <is>
          <t>A settlement reaches Gate 3 and fails after the bank credit has been recognised.</t>
        </is>
      </c>
      <c r="H337" s="12" t="inlineStr">
        <is>
          <t>1. Process the inbound credit.
2. Force Gate 3 failure.
3. Review ACH instructions and retry/re-issue records.</t>
        </is>
      </c>
      <c r="I337" s="12" t="inlineStr">
        <is>
          <t>No new ACH instruction or automatic re-issue is generated as a result of the Gate 3 failure.</t>
        </is>
      </c>
      <c r="J337" s="13" t="inlineStr">
        <is>
          <t>Not Tested</t>
        </is>
      </c>
      <c r="K337" s="13" t="inlineStr">
        <is>
          <t>Negative</t>
        </is>
      </c>
    </row>
    <row r="338" ht="36" customHeight="1">
      <c r="A338" s="12" t="inlineStr">
        <is>
          <t>PoS Transactions V6.6.0 (EMI-5914)</t>
        </is>
      </c>
      <c r="B338" s="12" t="inlineStr">
        <is>
          <t>ACH &amp; VIBAN per TID</t>
        </is>
      </c>
      <c r="C338" s="12" t="inlineStr">
        <is>
          <t>Limits / Controls</t>
        </is>
      </c>
      <c r="D338" s="13" t="inlineStr">
        <is>
          <t>TC-ACH-88</t>
        </is>
      </c>
      <c r="E338" s="12" t="inlineStr">
        <is>
          <t>Balance and turnover limits are checked at Gate 3, not during ACH generation</t>
        </is>
      </c>
      <c r="F338" s="13" t="inlineStr">
        <is>
          <t>Critical</t>
        </is>
      </c>
      <c r="G338" s="12" t="inlineStr">
        <is>
          <t>A settlement batch is ready for ACH generation. Merchant has a condition that would cause a balance/turnover limit failure at Gate 3.</t>
        </is>
      </c>
      <c r="H338" s="12" t="inlineStr">
        <is>
          <t>1. Generate the ACH run.
2. Verify balance/turnover controls are not applied as a Gate 2/ACH-generation decision.
3. Process the inbound credit.
4. Execute Gate 3.</t>
        </is>
      </c>
      <c r="I338" s="12" t="inlineStr">
        <is>
          <t>ACH generation is not rejected solely because of the Gate 3 balance/turnover limits. The relevant limits are evaluated when the inbound credit is recognised at Gate 3.</t>
        </is>
      </c>
      <c r="J338" s="13" t="inlineStr">
        <is>
          <t>Not Tested</t>
        </is>
      </c>
      <c r="K338" s="13" t="inlineStr">
        <is>
          <t>Negative</t>
        </is>
      </c>
    </row>
    <row r="339" ht="36" customHeight="1">
      <c r="A339" s="12" t="inlineStr">
        <is>
          <t>PoS Transactions V6.6.0 (EMI-5914)</t>
        </is>
      </c>
      <c r="B339" s="12" t="inlineStr">
        <is>
          <t>ACH &amp; VIBAN per TID</t>
        </is>
      </c>
      <c r="C339" s="12" t="inlineStr">
        <is>
          <t>Reversal / Failure Handling</t>
        </is>
      </c>
      <c r="D339" s="13" t="inlineStr">
        <is>
          <t>TC-ACH-89</t>
        </is>
      </c>
      <c r="E339" s="12" t="inlineStr">
        <is>
          <t>Failed or returned transfer creates a compensating reversal without modifying the original entry</t>
        </is>
      </c>
      <c r="F339" s="13" t="inlineStr">
        <is>
          <t>Critical</t>
        </is>
      </c>
      <c r="G339" s="12" t="inlineStr">
        <is>
          <t>A settlement/transfer has been recorded and subsequently receives a return/failure notification.</t>
        </is>
      </c>
      <c r="H339" s="12" t="inlineStr">
        <is>
          <t>1. Process the original settlement.
2. Process the bank return/failure.
3. Review the original ledger entry and reversal entry.</t>
        </is>
      </c>
      <c r="I339" s="12" t="inlineStr">
        <is>
          <t>A compensating reversal is created. The original settlement entry remains unchanged and traceable. No deletion or modification of the original ledger transaction occurs.</t>
        </is>
      </c>
      <c r="J339" s="13" t="inlineStr">
        <is>
          <t>Not Tested</t>
        </is>
      </c>
      <c r="K339" s="13" t="inlineStr">
        <is>
          <t>Integration</t>
        </is>
      </c>
    </row>
    <row r="340" ht="36" customHeight="1">
      <c r="A340" s="12" t="inlineStr">
        <is>
          <t>PoS Transactions V6.6.0 (EMI-5914)</t>
        </is>
      </c>
      <c r="B340" s="12" t="inlineStr">
        <is>
          <t>ACH &amp; VIBAN per TID</t>
        </is>
      </c>
      <c r="C340" s="12" t="inlineStr">
        <is>
          <t>Reference Integrity</t>
        </is>
      </c>
      <c r="D340" s="13" t="inlineStr">
        <is>
          <t>TC-ACH-90</t>
        </is>
      </c>
      <c r="E340" s="12" t="inlineStr">
        <is>
          <t>Payment ID remains unchanged from ACH instruction through inbound settlement</t>
        </is>
      </c>
      <c r="F340" s="13" t="inlineStr">
        <is>
          <t>Critical</t>
        </is>
      </c>
      <c r="G340" s="12" t="inlineStr">
        <is>
          <t>An ACH instruction is generated with a unique Payment id. Corresponding bank statement credit is available.</t>
        </is>
      </c>
      <c r="H340" s="12" t="inlineStr">
        <is>
          <t>1. Generate the ACH instruction.
2. Capture the Payment id.
3. Process the bank statement credit.
4. Compare the reference across ACH, statement and settlement records.</t>
        </is>
      </c>
      <c r="I340" s="12" t="inlineStr">
        <is>
          <t>The exact same Payment id is preserved end-to-end and is used to identify the correct settlement aggregate.</t>
        </is>
      </c>
      <c r="J340" s="13" t="inlineStr">
        <is>
          <t>Not Tested</t>
        </is>
      </c>
      <c r="K340" s="13" t="inlineStr">
        <is>
          <t>Negative</t>
        </is>
      </c>
    </row>
    <row r="341" ht="36" customHeight="1">
      <c r="A341" s="12" t="inlineStr">
        <is>
          <t>PoS Transactions V6.6.0 (EMI-5914)</t>
        </is>
      </c>
      <c r="B341" s="12" t="inlineStr">
        <is>
          <t>ACH &amp; VIBAN per TID</t>
        </is>
      </c>
      <c r="C341" s="12" t="inlineStr">
        <is>
          <t>Concurrency / Idempotency</t>
        </is>
      </c>
      <c r="D341" s="13" t="inlineStr">
        <is>
          <t>TC-ACH-91</t>
        </is>
      </c>
      <c r="E341" s="12" t="inlineStr">
        <is>
          <t>Concurrent processing of the same Payment ID results in only one successful settlement</t>
        </is>
      </c>
      <c r="F341" s="13" t="inlineStr">
        <is>
          <t>Critical</t>
        </is>
      </c>
      <c r="G341" s="12" t="inlineStr">
        <is>
          <t>A valid pending aggregate and matching inbound credit exist. Two intraday processes can process the same Payment id concurrently.</t>
        </is>
      </c>
      <c r="H341" s="12" t="inlineStr">
        <is>
          <t>1. Trigger two concurrent processing requests/jobs for the same Payment id.
2. Allow both processes to complete.
3. Review settlement and ledger records.</t>
        </is>
      </c>
      <c r="I341" s="12" t="inlineStr">
        <is>
          <t>Exactly one process successfully clears/settles the aggregate. No duplicate settlement, duplicate credit, or inconsistent final state is created.</t>
        </is>
      </c>
      <c r="J341" s="13" t="inlineStr">
        <is>
          <t>Not Tested</t>
        </is>
      </c>
      <c r="K341" s="13" t="inlineStr">
        <is>
          <t>Integration</t>
        </is>
      </c>
    </row>
    <row r="342" ht="36" customHeight="1">
      <c r="A342" s="12" t="inlineStr">
        <is>
          <t>PoS Transactions V6.6.0 (EMI-5914)</t>
        </is>
      </c>
      <c r="B342" s="12" t="inlineStr">
        <is>
          <t>ACH &amp; VIBAN per TID</t>
        </is>
      </c>
      <c r="C342" s="12" t="inlineStr">
        <is>
          <t>ACH Generation</t>
        </is>
      </c>
      <c r="D342" s="13" t="inlineStr">
        <is>
          <t>TC-ACH-92</t>
        </is>
      </c>
      <c r="E342" s="12" t="inlineStr">
        <is>
          <t>ACH generation is idempotent and does not create duplicate ACH instructions</t>
        </is>
      </c>
      <c r="F342" s="13" t="inlineStr">
        <is>
          <t>Critical</t>
        </is>
      </c>
      <c r="G342" s="12" t="inlineStr">
        <is>
          <t>A valid settlement batch is eligible for ACH generation.</t>
        </is>
      </c>
      <c r="H342" s="12" t="inlineStr">
        <is>
          <t>1. Generate the ACH instruction.
2. Re-run the ACH generation process for the same batch.
3. Review generated ACH instructions.</t>
        </is>
      </c>
      <c r="I342" s="12" t="inlineStr">
        <is>
          <t>Only one ACH instruction exists for the settlement batch. Reprocessing does not create a duplicate instruction.</t>
        </is>
      </c>
      <c r="J342" s="13" t="inlineStr">
        <is>
          <t>Not Tested</t>
        </is>
      </c>
      <c r="K342" s="13" t="inlineStr">
        <is>
          <t>Integration</t>
        </is>
      </c>
    </row>
    <row r="343" ht="36" customHeight="1">
      <c r="A343" s="12" t="inlineStr">
        <is>
          <t>PoS Transactions V6.6.0 (EMI-5914)</t>
        </is>
      </c>
      <c r="B343" s="12" t="inlineStr">
        <is>
          <t>ACH &amp; VIBAN per TID</t>
        </is>
      </c>
      <c r="C343" s="12" t="inlineStr">
        <is>
          <t>Merchant Balance</t>
        </is>
      </c>
      <c r="D343" s="13" t="inlineStr">
        <is>
          <t>TC-ACH-93</t>
        </is>
      </c>
      <c r="E343" s="12" t="inlineStr">
        <is>
          <t>ACH release does not make merchant funds available before successful bank settlement</t>
        </is>
      </c>
      <c r="F343" s="13" t="inlineStr">
        <is>
          <t>Critical</t>
        </is>
      </c>
      <c r="G343" s="12" t="inlineStr">
        <is>
          <t>An eligible settlement batch is released through ACH but the corresponding bank settlement has not yet been received.</t>
        </is>
      </c>
      <c r="H343" s="12" t="inlineStr">
        <is>
          <t>1. Generate and release the ACH instruction.
2. Check merchant available balance before bank settlement.
3. Process the bank settlement.
4. Check balance again.</t>
        </is>
      </c>
      <c r="I343" s="12" t="inlineStr">
        <is>
          <t>Merchant funds do not become available merely because the ACH instruction was generated/released. Availability changes only after the required successful settlement flow.</t>
        </is>
      </c>
      <c r="J343" s="13" t="inlineStr">
        <is>
          <t>Not Tested</t>
        </is>
      </c>
      <c r="K343" s="13" t="inlineStr">
        <is>
          <t>Functional</t>
        </is>
      </c>
    </row>
    <row r="344" ht="36" customHeight="1">
      <c r="A344" s="12" t="inlineStr">
        <is>
          <t>PoS Transactions V6.6.0 (EMI-5914)</t>
        </is>
      </c>
      <c r="B344" s="12" t="inlineStr">
        <is>
          <t>ACH &amp; VIBAN per TID</t>
        </is>
      </c>
      <c r="C344" s="12" t="inlineStr">
        <is>
          <t>Gate 2 / Eligibility</t>
        </is>
      </c>
      <c r="D344" s="13" t="inlineStr">
        <is>
          <t>TC-ACH-94</t>
        </is>
      </c>
      <c r="E344" s="12" t="inlineStr">
        <is>
          <t>Gate 2 failure prevents ACH release and keeps funds in the required held/omnibus state</t>
        </is>
      </c>
      <c r="F344" s="13" t="inlineStr">
        <is>
          <t>Critical</t>
        </is>
      </c>
      <c r="G344" s="12" t="inlineStr">
        <is>
          <t>A settlement batch exists but the merchant fails a Gate 2 eligibility/compliance check.</t>
        </is>
      </c>
      <c r="H344" s="12" t="inlineStr">
        <is>
          <t>1. Run Gate 2 validation.
2. Attempt to generate/release ACH.
3. Check settlement and omnibus/held balances.</t>
        </is>
      </c>
      <c r="I344" s="12" t="inlineStr">
        <is>
          <t>ACH release is prevented. Funds remain in the required held/omnibus state. No ACH payment is sent for the failed batch.</t>
        </is>
      </c>
      <c r="J344" s="13" t="inlineStr">
        <is>
          <t>Not Tested</t>
        </is>
      </c>
      <c r="K344" s="13" t="inlineStr">
        <is>
          <t>Negative</t>
        </is>
      </c>
    </row>
    <row r="345" ht="36" customHeight="1">
      <c r="A345" s="12" t="inlineStr">
        <is>
          <t>PoS Transactions V6.6.0 (EMI-5914)</t>
        </is>
      </c>
      <c r="B345" s="12" t="inlineStr">
        <is>
          <t>ACH &amp; VIBAN per TID</t>
        </is>
      </c>
      <c r="C345" s="12" t="inlineStr">
        <is>
          <t>ACH Cut-off</t>
        </is>
      </c>
      <c r="D345" s="13" t="inlineStr">
        <is>
          <t>TC-ACH-95</t>
        </is>
      </c>
      <c r="E345" s="12" t="inlineStr">
        <is>
          <t>ACH cut-off is enforced and items beyond the cut-off are held for the next processing window</t>
        </is>
      </c>
      <c r="F345" s="13" t="inlineStr">
        <is>
          <t>High</t>
        </is>
      </c>
      <c r="G345" s="12" t="inlineStr">
        <is>
          <t>ACH cut-off time is configured. A settlement batch becomes eligible after the configured cut-off.</t>
        </is>
      </c>
      <c r="H345" s="12" t="inlineStr">
        <is>
          <t>1. Create/prepare a settlement after the cut-off time.
2. Run ACH generation/release.
3. Review the batch status and ACH instruction.
4. Run the next processing window.</t>
        </is>
      </c>
      <c r="I345" s="12" t="inlineStr">
        <is>
          <t>The item is not released in the closed processing window. It remains pending/held and becomes eligible for the next permitted processing window.</t>
        </is>
      </c>
      <c r="J345" s="13" t="inlineStr">
        <is>
          <t>Not Tested</t>
        </is>
      </c>
      <c r="K345" s="13" t="inlineStr">
        <is>
          <t>Functional</t>
        </is>
      </c>
    </row>
    <row r="346" ht="36" customHeight="1">
      <c r="A346" s="12" t="inlineStr">
        <is>
          <t>PoS Transactions V6.6.0 (EMI-5914)</t>
        </is>
      </c>
      <c r="B346" s="12" t="inlineStr">
        <is>
          <t>PoS Compliance Gates</t>
        </is>
      </c>
      <c r="C346" s="12" t="inlineStr">
        <is>
          <t>Compliance</t>
        </is>
      </c>
      <c r="D346" s="13" t="inlineStr">
        <is>
          <t>TC-Compliance-01</t>
        </is>
      </c>
      <c r="E346" s="12" t="inlineStr">
        <is>
          <t>Gate 1 Hold on AML-Reviewed Wallet</t>
        </is>
      </c>
      <c r="F346" s="13" t="inlineStr">
        <is>
          <t>High</t>
        </is>
      </c>
      <c r="G346" s="12" t="inlineStr">
        <is>
          <t>Wallet is flagged under AML review at the moment a PoS callback arrives</t>
        </is>
      </c>
      <c r="H346" s="12" t="inlineStr">
        <is>
          <t>1. Submit a valid PoS callback for the flagged wallet
2. Run Gate 1 at booking
3. Inspect ledger and case management</t>
        </is>
      </c>
      <c r="I346" s="12" t="inlineStr">
        <is>
          <t>Transaction is COMPLIANCE_HOLD with the failing check code recorded; zero wallet entries (not even Pending); device-journal HOLD entry written; a compliance case is opened.</t>
        </is>
      </c>
      <c r="J346" s="13" t="inlineStr">
        <is>
          <t>NA</t>
        </is>
      </c>
      <c r="K346" s="13" t="inlineStr">
        <is>
          <t>Edge / Boundary</t>
        </is>
      </c>
    </row>
    <row r="347" ht="36" customHeight="1">
      <c r="A347" s="12" t="inlineStr">
        <is>
          <t>PoS Transactions V6.6.0 (EMI-5914)</t>
        </is>
      </c>
      <c r="B347" s="12" t="inlineStr">
        <is>
          <t>PoS Compliance Gates</t>
        </is>
      </c>
      <c r="C347" s="12" t="inlineStr">
        <is>
          <t>Compliance</t>
        </is>
      </c>
      <c r="D347" s="13" t="inlineStr">
        <is>
          <t>TC-Compliance-02</t>
        </is>
      </c>
      <c r="E347" s="12" t="inlineStr">
        <is>
          <t>Cleared Case Re-Enters Next Batch via Gate 2</t>
        </is>
      </c>
      <c r="F347" s="13" t="inlineStr">
        <is>
          <t>High</t>
        </is>
      </c>
      <c r="G347" s="12" t="inlineStr">
        <is>
          <t>A previously held transaction's compliance case has been cleared by Compliance/MLRO</t>
        </is>
      </c>
      <c r="H347" s="12" t="inlineStr">
        <is>
          <t>1. Clear the case
2. Allow the transaction to reach the next batch build
3. Observe Gate 2 evaluation and settlement</t>
        </is>
      </c>
      <c r="I347" s="12" t="inlineStr">
        <is>
          <t>The transaction re-enters the next batch via Gate 2 and settles normally if it passes.</t>
        </is>
      </c>
      <c r="J347" s="13" t="inlineStr">
        <is>
          <t>NA</t>
        </is>
      </c>
      <c r="K347" s="13" t="inlineStr">
        <is>
          <t>Compliance</t>
        </is>
      </c>
    </row>
    <row r="348" ht="36" customHeight="1">
      <c r="A348" s="12" t="inlineStr">
        <is>
          <t>PoS Transactions V6.6.0 (EMI-5914)</t>
        </is>
      </c>
      <c r="B348" s="12" t="inlineStr">
        <is>
          <t>PoS Compliance Gates</t>
        </is>
      </c>
      <c r="C348" s="12" t="inlineStr">
        <is>
          <t>Compliance</t>
        </is>
      </c>
      <c r="D348" s="13" t="inlineStr">
        <is>
          <t>TC-Compliance-03</t>
        </is>
      </c>
      <c r="E348" s="12" t="inlineStr">
        <is>
          <t>Gate 2 Excludes Item Blocked Between Booking and Batch Build</t>
        </is>
      </c>
      <c r="F348" s="13" t="inlineStr">
        <is>
          <t>High</t>
        </is>
      </c>
      <c r="G348" s="12" t="inlineStr">
        <is>
          <t>Wallet is eligible at booking (Gate 1 pass) but becomes blocked before batch build</t>
        </is>
      </c>
      <c r="H348" s="12" t="inlineStr">
        <is>
          <t>1. Book the transaction (Gate 1 pass)
2. Block the wallet
3. Run Gate 2 at batch build</t>
        </is>
      </c>
      <c r="I348" s="12" t="inlineStr">
        <is>
          <t>Gate 2 excludes the item from the ACH batch; funds stay in the PoS omnibus; case raised.</t>
        </is>
      </c>
      <c r="J348" s="13" t="inlineStr">
        <is>
          <t>NA</t>
        </is>
      </c>
      <c r="K348" s="13" t="inlineStr">
        <is>
          <t>Compliance</t>
        </is>
      </c>
    </row>
    <row r="349" ht="36" customHeight="1">
      <c r="A349" s="12" t="inlineStr">
        <is>
          <t>PoS Transactions V6.6.0 (EMI-5914)</t>
        </is>
      </c>
      <c r="B349" s="12" t="inlineStr">
        <is>
          <t>PoS Compliance Gates</t>
        </is>
      </c>
      <c r="C349" s="12" t="inlineStr">
        <is>
          <t>Compliance</t>
        </is>
      </c>
      <c r="D349" s="13" t="inlineStr">
        <is>
          <t>TC-Compliance-04</t>
        </is>
      </c>
      <c r="E349" s="12" t="inlineStr">
        <is>
          <t>Gate 3 — Credit Would Breach SAMA Balance Cap</t>
        </is>
      </c>
      <c r="F349" s="13" t="inlineStr">
        <is>
          <t>Critical</t>
        </is>
      </c>
      <c r="G349" s="12" t="inlineStr">
        <is>
          <t>Crediting this amount at this instant would breach the wallet's SAMA balance cap</t>
        </is>
      </c>
      <c r="H349" s="12" t="inlineStr">
        <is>
          <t>1. Run Gate 3 immediately before Pending → Available
2. Attempt the credit</t>
        </is>
      </c>
      <c r="I349" s="12" t="inlineStr">
        <is>
          <t>Gate 3 → HOLD + ledger suspense position; no partial credit; merchant is notified with neutral, tier/cash-out wording only (no tipping-off).</t>
        </is>
      </c>
      <c r="J349" s="13" t="inlineStr">
        <is>
          <t>NA</t>
        </is>
      </c>
      <c r="K349" s="13" t="inlineStr">
        <is>
          <t>Security</t>
        </is>
      </c>
    </row>
    <row r="350" ht="36" customHeight="1">
      <c r="A350" s="12" t="inlineStr">
        <is>
          <t>PoS Transactions V6.6.0 (EMI-5914)</t>
        </is>
      </c>
      <c r="B350" s="12" t="inlineStr">
        <is>
          <t>PoS Compliance Gates</t>
        </is>
      </c>
      <c r="C350" s="12" t="inlineStr">
        <is>
          <t>Compliance</t>
        </is>
      </c>
      <c r="D350" s="13" t="inlineStr">
        <is>
          <t>TC-Compliance-05</t>
        </is>
      </c>
      <c r="E350" s="12" t="inlineStr">
        <is>
          <t>Sanctions List Update Between Recon and Release</t>
        </is>
      </c>
      <c r="F350" s="13" t="inlineStr">
        <is>
          <t>Critical</t>
        </is>
      </c>
      <c r="G350" s="12" t="inlineStr">
        <is>
          <t>A sanctions list update lands after EMI-5920 matching but before EMI-5922 release</t>
        </is>
      </c>
      <c r="H350" s="12" t="inlineStr">
        <is>
          <t>1. Match and fund the aggregate
2. Update the sanctions list with a hit against the merchant
3. Run the pre-release re-screen</t>
        </is>
      </c>
      <c r="I350" s="12" t="inlineStr">
        <is>
          <t>The re-screen catches the new hit and the item is excluded before release.</t>
        </is>
      </c>
      <c r="J350" s="13" t="inlineStr">
        <is>
          <t>NA</t>
        </is>
      </c>
      <c r="K350" s="13" t="inlineStr">
        <is>
          <t>Compliance</t>
        </is>
      </c>
    </row>
    <row r="351" ht="36" customHeight="1">
      <c r="A351" s="12" t="inlineStr">
        <is>
          <t>PoS Transactions V6.6.0 (EMI-5914)</t>
        </is>
      </c>
      <c r="B351" s="12" t="inlineStr">
        <is>
          <t>PoS Compliance Gates</t>
        </is>
      </c>
      <c r="C351" s="12" t="inlineStr">
        <is>
          <t>UX</t>
        </is>
      </c>
      <c r="D351" s="13" t="inlineStr">
        <is>
          <t>TC-Compliance-06</t>
        </is>
      </c>
      <c r="E351" s="12" t="inlineStr">
        <is>
          <t>Neutral State Across All Merchant-Facing Surfaces During Hold</t>
        </is>
      </c>
      <c r="F351" s="13" t="inlineStr">
        <is>
          <t>High</t>
        </is>
      </c>
      <c r="G351" s="12" t="inlineStr">
        <is>
          <t>A transaction/group is currently COMPLIANCE_HOLD or in suspense</t>
        </is>
      </c>
      <c r="H351" s="12" t="inlineStr">
        <is>
          <t>1. Inspect the merchant app, portal, notifications, statements and support views for the held item
2. Compare wording/state across every surface</t>
        </is>
      </c>
      <c r="I351" s="12" t="inlineStr">
        <is>
          <t>Every merchant-facing surface shows a neutral 'processing' state only; no review indicator, hold label, or compliance signal leaks anywhere in the payload.</t>
        </is>
      </c>
      <c r="J351" s="13" t="inlineStr">
        <is>
          <t>NA</t>
        </is>
      </c>
      <c r="K351" s="13" t="inlineStr">
        <is>
          <t>Security</t>
        </is>
      </c>
    </row>
    <row r="352" ht="36" customHeight="1">
      <c r="A352" s="12" t="inlineStr">
        <is>
          <t>PoS Transactions V6.6.0 (EMI-5914)</t>
        </is>
      </c>
      <c r="B352" s="12" t="inlineStr">
        <is>
          <t>PoS Compliance Gates</t>
        </is>
      </c>
      <c r="C352" s="12" t="inlineStr">
        <is>
          <t>Reporting</t>
        </is>
      </c>
      <c r="D352" s="13" t="inlineStr">
        <is>
          <t>TC-Compliance-07</t>
        </is>
      </c>
      <c r="E352" s="12" t="inlineStr">
        <is>
          <t>Held-Funds Daily Report Reconciles Exactly</t>
        </is>
      </c>
      <c r="F352" s="13" t="inlineStr">
        <is>
          <t>High</t>
        </is>
      </c>
      <c r="G352" s="12" t="inlineStr">
        <is>
          <t>A day's activity includes credited, held (Gate 1 and Gate 3) and in-transit amounts</t>
        </is>
      </c>
      <c r="H352" s="12" t="inlineStr">
        <is>
          <t>1. Generate the daily held-funds report
2. Compare gross received against credited + held + in-transit, to the halalah</t>
        </is>
      </c>
      <c r="I352" s="12" t="inlineStr">
        <is>
          <t>Gross received = credited + held + in-transit exactly; this is the safeguarding evidence figure.</t>
        </is>
      </c>
      <c r="J352" s="13" t="inlineStr">
        <is>
          <t>NA</t>
        </is>
      </c>
      <c r="K352" s="13" t="inlineStr">
        <is>
          <t>Edge / Boundary</t>
        </is>
      </c>
    </row>
    <row r="353" ht="36" customHeight="1">
      <c r="A353" s="12" t="inlineStr">
        <is>
          <t>PoS Transactions V6.6.0 (EMI-5914)</t>
        </is>
      </c>
      <c r="B353" s="12" t="inlineStr">
        <is>
          <t>PoS Compliance Gates</t>
        </is>
      </c>
      <c r="C353" s="12" t="inlineStr">
        <is>
          <t>Compliance</t>
        </is>
      </c>
      <c r="D353" s="13" t="inlineStr">
        <is>
          <t>TC-Compliance-08</t>
        </is>
      </c>
      <c r="E353" s="12" t="inlineStr">
        <is>
          <t>Hold Aging Past SLA Escalates to MLRO</t>
        </is>
      </c>
      <c r="F353" s="13" t="inlineStr">
        <is>
          <t>Medium</t>
        </is>
      </c>
      <c r="G353" s="12" t="inlineStr">
        <is>
          <t>A held case has been open beyond the proposed 5-business-day SLA without a decision</t>
        </is>
      </c>
      <c r="H353" s="12" t="inlineStr">
        <is>
          <t>1. Let a held case age past the SLA
2. Observe the aging job</t>
        </is>
      </c>
      <c r="I353" s="12" t="inlineStr">
        <is>
          <t>RF-10 escalation is raised to the MLRO once the SLA is breached.</t>
        </is>
      </c>
      <c r="J353" s="13" t="inlineStr">
        <is>
          <t>NA</t>
        </is>
      </c>
      <c r="K353" s="13" t="inlineStr">
        <is>
          <t>Compliance</t>
        </is>
      </c>
    </row>
    <row r="354" ht="36" customHeight="1">
      <c r="A354" s="12" t="inlineStr">
        <is>
          <t>PoS Transactions V6.6.0 (EMI-5914)</t>
        </is>
      </c>
      <c r="B354" s="12" t="inlineStr">
        <is>
          <t>PoS Compliance Gates</t>
        </is>
      </c>
      <c r="C354" s="12" t="inlineStr">
        <is>
          <t>Functional</t>
        </is>
      </c>
      <c r="D354" s="13" t="inlineStr">
        <is>
          <t>TC-Compliance-09</t>
        </is>
      </c>
      <c r="E354" s="12" t="inlineStr">
        <is>
          <t>Gate 1 Fail Writes Zero Wallet Entries, Not Even Pending</t>
        </is>
      </c>
      <c r="F354" s="13" t="inlineStr">
        <is>
          <t>High</t>
        </is>
      </c>
      <c r="G354" s="12" t="inlineStr">
        <is>
          <t>Wallet fails a Gate 1 check (status/AML/sanctions/SAMA/fraud)</t>
        </is>
      </c>
      <c r="H354" s="12" t="inlineStr">
        <is>
          <t>1. Trigger a Gate 1 fail on booking
2. Query all wallet ledger tables for the transaction</t>
        </is>
      </c>
      <c r="I354" s="12" t="inlineStr">
        <is>
          <t>No wallet entries exist at all for the transaction — not Pending, not any other bucket — confirming the AC's stricter-than-usual 'no wallet entries at all (not even Pending)' requirement.</t>
        </is>
      </c>
      <c r="J354" s="13" t="inlineStr">
        <is>
          <t>NA</t>
        </is>
      </c>
      <c r="K354" s="13" t="inlineStr">
        <is>
          <t>Edge / Boundary</t>
        </is>
      </c>
    </row>
    <row r="355" ht="36" customHeight="1">
      <c r="A355" s="12" t="inlineStr">
        <is>
          <t>PoS Transactions V6.6.0 (EMI-5914)</t>
        </is>
      </c>
      <c r="B355" s="12" t="inlineStr">
        <is>
          <t>PoS Compliance Gates</t>
        </is>
      </c>
      <c r="C355" s="12" t="inlineStr">
        <is>
          <t>Reliability</t>
        </is>
      </c>
      <c r="D355" s="13" t="inlineStr">
        <is>
          <t>TC-Compliance-10</t>
        </is>
      </c>
      <c r="E355" s="12" t="inlineStr">
        <is>
          <t>Gate 1 Check-Service Timeout Fails Safe to HOLD</t>
        </is>
      </c>
      <c r="F355" s="13" t="inlineStr">
        <is>
          <t>High</t>
        </is>
      </c>
      <c r="G355" s="12" t="inlineStr">
        <is>
          <t>The Gate 1 check service (wallet status/AML/sanctions/SAMA/fraud) is made unresponsive</t>
        </is>
      </c>
      <c r="H355" s="12" t="inlineStr">
        <is>
          <t>1. Submit a valid callback while the Gate 1 service times out</t>
        </is>
      </c>
      <c r="I355" s="12" t="inlineStr">
        <is>
          <t>Fail-safe to HOLD; the transaction is never fail-open to booking.</t>
        </is>
      </c>
      <c r="J355" s="13" t="inlineStr">
        <is>
          <t>NA</t>
        </is>
      </c>
      <c r="K355" s="13" t="inlineStr">
        <is>
          <t>Negative</t>
        </is>
      </c>
    </row>
    <row r="356" ht="36" customHeight="1">
      <c r="A356" s="12" t="inlineStr">
        <is>
          <t>PoS Transactions V6.6.0 (EMI-5914)</t>
        </is>
      </c>
      <c r="B356" s="12" t="inlineStr">
        <is>
          <t>PoS Compliance Gates</t>
        </is>
      </c>
      <c r="C356" s="12" t="inlineStr">
        <is>
          <t>Reliability</t>
        </is>
      </c>
      <c r="D356" s="13" t="inlineStr">
        <is>
          <t>TC-Compliance-11</t>
        </is>
      </c>
      <c r="E356" s="12" t="inlineStr">
        <is>
          <t>Gate 3 Check-Service Timeout Defers, Retries and Alarms</t>
        </is>
      </c>
      <c r="F356" s="13" t="inlineStr">
        <is>
          <t>High</t>
        </is>
      </c>
      <c r="G356" s="12" t="inlineStr">
        <is>
          <t>The Gate 3 check service (SAMA balance-cap headroom) is made unresponsive at the instant of crediting</t>
        </is>
      </c>
      <c r="H356" s="12" t="inlineStr">
        <is>
          <t>1. Attempt a credit while the Gate 3 service times out</t>
        </is>
      </c>
      <c r="I356" s="12" t="inlineStr">
        <is>
          <t>Credit is deferred and retried (not immediately failed to HOLD as Gate 1 is); the timeout is alarmed for Ops visibility.</t>
        </is>
      </c>
      <c r="J356" s="13" t="inlineStr">
        <is>
          <t>NA</t>
        </is>
      </c>
      <c r="K356" s="13" t="inlineStr">
        <is>
          <t>Functional</t>
        </is>
      </c>
    </row>
    <row r="357" ht="36" customHeight="1">
      <c r="A357" s="12" t="inlineStr">
        <is>
          <t>PoS Transactions V6.6.0 (EMI-5914)</t>
        </is>
      </c>
      <c r="B357" s="12" t="inlineStr">
        <is>
          <t>PoS Compliance Gates</t>
        </is>
      </c>
      <c r="C357" s="12" t="inlineStr">
        <is>
          <t>Functional</t>
        </is>
      </c>
      <c r="D357" s="13" t="inlineStr">
        <is>
          <t>TC-Compliance-12</t>
        </is>
      </c>
      <c r="E357" s="12" t="inlineStr">
        <is>
          <t>Wallet Payment Pre-Authorization Synchronous Check (EMI-5917)</t>
        </is>
      </c>
      <c r="F357" s="13" t="inlineStr">
        <is>
          <t>High</t>
        </is>
      </c>
      <c r="G357" s="12" t="inlineStr">
        <is>
          <t>A wallet-to-wallet payment (not PoS) is initiated and would fail a compliance check</t>
        </is>
      </c>
      <c r="H357" s="12" t="inlineStr">
        <is>
          <t>1. Initiate a wallet payment that should fail a check in the full C01-C11 set
2. Observe the pre-authorization path</t>
        </is>
      </c>
      <c r="I357" s="12" t="inlineStr">
        <is>
          <t>The full check set runs synchronously in the pre-authorization path; a failing check produces a terminal decline and nothing moves — distinct from the async PoS hold/suspense model.</t>
        </is>
      </c>
      <c r="J357" s="13" t="inlineStr">
        <is>
          <t>NA</t>
        </is>
      </c>
      <c r="K357" s="13" t="inlineStr">
        <is>
          <t>Functional</t>
        </is>
      </c>
    </row>
    <row r="358" ht="36" customHeight="1">
      <c r="A358" s="12" t="inlineStr">
        <is>
          <t>PoS Transactions V6.6.0 (EMI-5914)</t>
        </is>
      </c>
      <c r="B358" s="12" t="inlineStr">
        <is>
          <t>PoS Compliance Gates</t>
        </is>
      </c>
      <c r="C358" s="12" t="inlineStr">
        <is>
          <t>Idempotency</t>
        </is>
      </c>
      <c r="D358" s="13" t="inlineStr">
        <is>
          <t>TC-Compliance-13</t>
        </is>
      </c>
      <c r="E358" s="12" t="inlineStr">
        <is>
          <t>Gate 1 Hold Is Idempotent on Retries</t>
        </is>
      </c>
      <c r="F358" s="13" t="inlineStr">
        <is>
          <t>Medium</t>
        </is>
      </c>
      <c r="G358" s="12" t="inlineStr">
        <is>
          <t>A transaction has already been placed COMPLIANCE_HOLD by Gate 1</t>
        </is>
      </c>
      <c r="H358" s="12" t="inlineStr">
        <is>
          <t>1. Resubmit the identical callback that originally triggered the hold
2. Inspect case management and ledger</t>
        </is>
      </c>
      <c r="I358" s="12" t="inlineStr">
        <is>
          <t>The retry is absorbed idempotently — no second case is opened, no duplicate journal entry is written.</t>
        </is>
      </c>
      <c r="J358" s="13" t="inlineStr">
        <is>
          <t>NA</t>
        </is>
      </c>
      <c r="K358" s="13" t="inlineStr">
        <is>
          <t>Integration</t>
        </is>
      </c>
    </row>
    <row r="359" ht="36" customHeight="1">
      <c r="A359" s="12" t="inlineStr">
        <is>
          <t>PoS Transactions V6.6.0 (EMI-5914)</t>
        </is>
      </c>
      <c r="B359" s="12" t="inlineStr">
        <is>
          <t>PoS Compliance Gates</t>
        </is>
      </c>
      <c r="C359" s="12" t="inlineStr">
        <is>
          <t>Compliance</t>
        </is>
      </c>
      <c r="D359" s="13" t="inlineStr">
        <is>
          <t>TC-Compliance-14</t>
        </is>
      </c>
      <c r="E359" s="12" t="inlineStr">
        <is>
          <t>SAR Evidence Pack Exportable on Confirmed Finding</t>
        </is>
      </c>
      <c r="F359" s="13" t="inlineStr">
        <is>
          <t>Medium</t>
        </is>
      </c>
      <c r="G359" s="12" t="inlineStr">
        <is>
          <t>A compliance case reaches a 'confirmed finding' resolution</t>
        </is>
      </c>
      <c r="H359" s="12" t="inlineStr">
        <is>
          <t>1. Resolve a case as a confirmed finding
2. Export the SAR evidence pack</t>
        </is>
      </c>
      <c r="I359" s="12" t="inlineStr">
        <is>
          <t>The pack contains the transaction set, device journals and timelines; export is available for the confirmed-finding path specifically (distinct from the 'cleared' path in TC-EMI-5923-02).</t>
        </is>
      </c>
      <c r="J359" s="13" t="inlineStr">
        <is>
          <t>NA</t>
        </is>
      </c>
      <c r="K359" s="13" t="inlineStr">
        <is>
          <t>Compliance</t>
        </is>
      </c>
    </row>
    <row r="360" ht="36" customHeight="1">
      <c r="A360" s="12" t="inlineStr">
        <is>
          <t>PoS Transactions V6.6.0 (EMI-5914)</t>
        </is>
      </c>
      <c r="B360" s="12" t="inlineStr">
        <is>
          <t>PoS Compliance Gates</t>
        </is>
      </c>
      <c r="C360" s="12" t="inlineStr">
        <is>
          <t>Compliance</t>
        </is>
      </c>
      <c r="D360" s="13" t="inlineStr">
        <is>
          <t>TC-Compliance-15</t>
        </is>
      </c>
      <c r="E360" s="12" t="inlineStr">
        <is>
          <t>Funds Disposition Executes Only on Recorded Instruction</t>
        </is>
      </c>
      <c r="F360" s="13" t="inlineStr">
        <is>
          <t>High</t>
        </is>
      </c>
      <c r="G360" s="12" t="inlineStr">
        <is>
          <t>A confirmed-finding case exists with funds held in suspense</t>
        </is>
      </c>
      <c r="H360" s="12" t="inlineStr">
        <is>
          <t>1. Attempt to move/dispose of the held funds without a recorded Compliance/legal instruction
2. Then repeat with a properly recorded instruction</t>
        </is>
      </c>
      <c r="I360" s="12" t="inlineStr">
        <is>
          <t>Disposition is blocked without a recorded instruction; it proceeds, and is logged with actor + timestamp + check results, once a recorded Compliance/legal instruction exists.</t>
        </is>
      </c>
      <c r="J360" s="13" t="inlineStr">
        <is>
          <t>NA</t>
        </is>
      </c>
      <c r="K360" s="13" t="inlineStr">
        <is>
          <t>Compliance</t>
        </is>
      </c>
    </row>
    <row r="361" ht="36" customHeight="1">
      <c r="A361" s="12" t="inlineStr">
        <is>
          <t>PoS Transactions V6.6.0 (EMI-5914)</t>
        </is>
      </c>
      <c r="B361" s="12" t="inlineStr">
        <is>
          <t>PoS Compliance Gates</t>
        </is>
      </c>
      <c r="C361" s="12" t="inlineStr">
        <is>
          <t>Validation</t>
        </is>
      </c>
      <c r="D361" s="13" t="inlineStr">
        <is>
          <t>TC-Compliance-16</t>
        </is>
      </c>
      <c r="E361" s="12" t="inlineStr">
        <is>
          <t>Unknown Check Code Rejected at Config Time</t>
        </is>
      </c>
      <c r="F361" s="13" t="inlineStr">
        <is>
          <t>Low</t>
        </is>
      </c>
      <c r="G361" s="12" t="inlineStr">
        <is>
          <t>Gate configuration is being updated with a new check code</t>
        </is>
      </c>
      <c r="H361" s="12" t="inlineStr">
        <is>
          <t>1. Attempt to configure a gate with a check code outside the documented C01-C11 register</t>
        </is>
      </c>
      <c r="I361" s="12" t="inlineStr">
        <is>
          <t>The unknown check code is rejected at configuration time, before it can ever run against a live transaction.</t>
        </is>
      </c>
      <c r="J361" s="13" t="inlineStr">
        <is>
          <t>NA</t>
        </is>
      </c>
      <c r="K361" s="13" t="inlineStr">
        <is>
          <t>Negative</t>
        </is>
      </c>
    </row>
    <row r="362" ht="36" customHeight="1">
      <c r="A362" s="12" t="inlineStr">
        <is>
          <t>PoS Transactions V6.6.0 (EMI-5914)</t>
        </is>
      </c>
      <c r="B362" s="12" t="inlineStr">
        <is>
          <t>PoS Compliance Gates</t>
        </is>
      </c>
      <c r="C362" s="12" t="inlineStr">
        <is>
          <t>Audit</t>
        </is>
      </c>
      <c r="D362" s="13" t="inlineStr">
        <is>
          <t>TC-Compliance-17</t>
        </is>
      </c>
      <c r="E362" s="12" t="inlineStr">
        <is>
          <t>Every Gate Decision Logged With Actor, Timestamp and Check Results</t>
        </is>
      </c>
      <c r="F362" s="13" t="inlineStr">
        <is>
          <t>Medium</t>
        </is>
      </c>
      <c r="G362" s="12" t="inlineStr">
        <is>
          <t>Transactions have passed through Gate 1, Gate 2 and Gate 3 with a mix of pass/fail outcomes</t>
        </is>
      </c>
      <c r="H362" s="12" t="inlineStr">
        <is>
          <t>1. For a sample of gate decisions across all three gates, inspect the audit log entry for each</t>
        </is>
      </c>
      <c r="I362" s="12" t="inlineStr">
        <is>
          <t>Every decision — pass or fail, at every gate — is immutably logged with actor, timestamp and the underlying check results.</t>
        </is>
      </c>
      <c r="J362" s="13" t="inlineStr">
        <is>
          <t>NA</t>
        </is>
      </c>
      <c r="K362" s="13" t="inlineStr">
        <is>
          <t>Security</t>
        </is>
      </c>
    </row>
    <row r="363" ht="36" customHeight="1">
      <c r="A363" s="12" t="inlineStr">
        <is>
          <t>PoS Transactions V6.6.0 (EMI-5914)</t>
        </is>
      </c>
      <c r="B363" s="12" t="inlineStr">
        <is>
          <t>PoS Compliance Gates</t>
        </is>
      </c>
      <c r="C363" s="12" t="inlineStr">
        <is>
          <t>Performance</t>
        </is>
      </c>
      <c r="D363" s="13" t="inlineStr">
        <is>
          <t>TC-Compliance-18</t>
        </is>
      </c>
      <c r="E363" s="12" t="inlineStr">
        <is>
          <t>Gate Decision Latency Budget</t>
        </is>
      </c>
      <c r="F363" s="13" t="inlineStr">
        <is>
          <t>Low</t>
        </is>
      </c>
      <c r="G363" s="12" t="inlineStr">
        <is>
          <t>Gate 1 is on the synchronous booking path</t>
        </is>
      </c>
      <c r="H363" s="12" t="inlineStr">
        <is>
          <t>1. Measure Gate 1 decision latency under normal load across a representative sample</t>
        </is>
      </c>
      <c r="I363" s="12" t="inlineStr">
        <is>
          <t>Gate decisions complete at p99 &lt; 500 ms, within the booking path's overall p99 &lt; 1 s budget shared with EMI-5915.</t>
        </is>
      </c>
      <c r="J363" s="13" t="inlineStr">
        <is>
          <t>NA</t>
        </is>
      </c>
      <c r="K363" s="13" t="inlineStr">
        <is>
          <t>Performance / NFR</t>
        </is>
      </c>
    </row>
    <row r="364" ht="36" customHeight="1">
      <c r="A364" s="12" t="inlineStr">
        <is>
          <t>PoS Transactions V6.6.0 (EMI-5914)</t>
        </is>
      </c>
      <c r="B364" s="12" t="inlineStr">
        <is>
          <t>Settlement Grouping &amp; Gate 1</t>
        </is>
      </c>
      <c r="C364" s="12" t="inlineStr">
        <is>
          <t>Functional</t>
        </is>
      </c>
      <c r="D364" s="13" t="inlineStr">
        <is>
          <t>TC-Settlement-01</t>
        </is>
      </c>
      <c r="E364" s="12" t="inlineStr">
        <is>
          <t>Clean Date — All Rows Already in Per-TID Ledger</t>
        </is>
      </c>
      <c r="F364" s="13" t="inlineStr">
        <is>
          <t>High</t>
        </is>
      </c>
      <c r="G364" s="12" t="inlineStr">
        <is>
          <t>A pull date's validated PTS rows all already have a matching EMI-5915 per-TID ledger entry</t>
        </is>
      </c>
      <c r="H364" s="12" t="inlineStr">
        <is>
          <t>1. Feed a clean, fully-matched date's validated rows into grouping
2. Run grouping and Gate 1</t>
        </is>
      </c>
      <c r="I364" s="12" t="inlineStr">
        <is>
          <t>Every row resolves as a no-op on the shared identity key; groups are built by TR_SLIP; exactly one aggregate is written per group.</t>
        </is>
      </c>
      <c r="J364" s="13" t="inlineStr">
        <is>
          <t>NA</t>
        </is>
      </c>
      <c r="K364" s="13" t="inlineStr">
        <is>
          <t>Edge / Boundary</t>
        </is>
      </c>
    </row>
    <row r="365" ht="36" customHeight="1">
      <c r="A365" s="12" t="inlineStr">
        <is>
          <t>PoS Transactions V6.6.0 (EMI-5914)</t>
        </is>
      </c>
      <c r="B365" s="12" t="inlineStr">
        <is>
          <t>Settlement Grouping &amp; Gate 1</t>
        </is>
      </c>
      <c r="C365" s="12" t="inlineStr">
        <is>
          <t>Functional</t>
        </is>
      </c>
      <c r="D365" s="13" t="inlineStr">
        <is>
          <t>TC-Settlement-02</t>
        </is>
      </c>
      <c r="E365" s="12" t="inlineStr">
        <is>
          <t>Row Never Received Creates RECON_BACKFILL Entry</t>
        </is>
      </c>
      <c r="F365" s="13" t="inlineStr">
        <is>
          <t>High</t>
        </is>
      </c>
      <c r="G365" s="12" t="inlineStr">
        <is>
          <t>A validated PTS row has no matching EMI-5915 ledger entry</t>
        </is>
      </c>
      <c r="H365" s="12" t="inlineStr">
        <is>
          <t>1. Push the row through EMI-5915's write path
2. Inspect the created entry's origin field
3. Continue grouping</t>
        </is>
      </c>
      <c r="I365" s="12" t="inlineStr">
        <is>
          <t>A per-TID ledger entry is created with origin=RECON_BACKFILL via EMI-5915's own write path — no second write path is introduced — then the row is grouped normally.</t>
        </is>
      </c>
      <c r="J365" s="13" t="inlineStr">
        <is>
          <t>NA</t>
        </is>
      </c>
      <c r="K365" s="13" t="inlineStr">
        <is>
          <t>Functional</t>
        </is>
      </c>
    </row>
    <row r="366" ht="36" customHeight="1">
      <c r="A366" s="12" t="inlineStr">
        <is>
          <t>PoS Transactions V6.6.0 (EMI-5914)</t>
        </is>
      </c>
      <c r="B366" s="12" t="inlineStr">
        <is>
          <t>Settlement Grouping &amp; Gate 1</t>
        </is>
      </c>
      <c r="C366" s="12" t="inlineStr">
        <is>
          <t>Functional</t>
        </is>
      </c>
      <c r="D366" s="13" t="inlineStr">
        <is>
          <t>TC-Settlement-03</t>
        </is>
      </c>
      <c r="E366" s="12" t="inlineStr">
        <is>
          <t>One Date File, Many Groups Across Many Terminals</t>
        </is>
      </c>
      <c r="F366" s="13" t="inlineStr">
        <is>
          <t>High</t>
        </is>
      </c>
      <c r="G366" s="12" t="inlineStr">
        <is>
          <t>A single date's pull covers many terminals under the CIF, each with its own TR_SLIP</t>
        </is>
      </c>
      <c r="H366" s="12" t="inlineStr">
        <is>
          <t>1. Ingest one date file spanning multiple terminals and slips
2. Run grouping</t>
        </is>
      </c>
      <c r="I366" s="12" t="inlineStr">
        <is>
          <t>Exactly one group is built per TR_SLIP — never per file, never per terminal.</t>
        </is>
      </c>
      <c r="J366" s="13" t="inlineStr">
        <is>
          <t>NA</t>
        </is>
      </c>
      <c r="K366" s="13" t="inlineStr">
        <is>
          <t>Edge / Boundary</t>
        </is>
      </c>
    </row>
    <row r="367" ht="36" customHeight="1">
      <c r="A367" s="12" t="inlineStr">
        <is>
          <t>PoS Transactions V6.6.0 (EMI-5914)</t>
        </is>
      </c>
      <c r="B367" s="12" t="inlineStr">
        <is>
          <t>Settlement Grouping &amp; Gate 1</t>
        </is>
      </c>
      <c r="C367" s="12" t="inlineStr">
        <is>
          <t>Functional</t>
        </is>
      </c>
      <c r="D367" s="13" t="inlineStr">
        <is>
          <t>TC-Settlement-04</t>
        </is>
      </c>
      <c r="E367" s="12" t="inlineStr">
        <is>
          <t>Group Containing Refunds Nets Correctly</t>
        </is>
      </c>
      <c r="F367" s="13" t="inlineStr">
        <is>
          <t>Medium</t>
        </is>
      </c>
      <c r="G367" s="12" t="inlineStr">
        <is>
          <t>A group contains both purchase and refund rows</t>
        </is>
      </c>
      <c r="H367" s="12" t="inlineStr">
        <is>
          <t>1. Build a group containing mixed-direction rows
2. Compute the aggregate</t>
        </is>
      </c>
      <c r="I367" s="12" t="inlineStr">
        <is>
          <t>Aggregate = sum of member net (TOTAL_AMOUNT) with direction applied; exactly one aggregate is written, not one per direction.</t>
        </is>
      </c>
      <c r="J367" s="13" t="inlineStr">
        <is>
          <t>NA</t>
        </is>
      </c>
      <c r="K367" s="13" t="inlineStr">
        <is>
          <t>Edge / Boundary</t>
        </is>
      </c>
    </row>
    <row r="368" ht="36" customHeight="1">
      <c r="A368" s="12" t="inlineStr">
        <is>
          <t>PoS Transactions V6.6.0 (EMI-5914)</t>
        </is>
      </c>
      <c r="B368" s="12" t="inlineStr">
        <is>
          <t>Settlement Grouping &amp; Gate 1</t>
        </is>
      </c>
      <c r="C368" s="12" t="inlineStr">
        <is>
          <t>Compliance</t>
        </is>
      </c>
      <c r="D368" s="13" t="inlineStr">
        <is>
          <t>TC-Settlement-05</t>
        </is>
      </c>
      <c r="E368" s="12" t="inlineStr">
        <is>
          <t>Gate 1 Fails on the Aggregate — Whole Group Held</t>
        </is>
      </c>
      <c r="F368" s="13" t="inlineStr">
        <is>
          <t>Critical</t>
        </is>
      </c>
      <c r="G368" s="12" t="inlineStr">
        <is>
          <t>The aggregate net for a group would fail Gate 1 (wallet status/AML/sanctions/SAMA/fraud, plus C09/C11)</t>
        </is>
      </c>
      <c r="H368" s="12" t="inlineStr">
        <is>
          <t>1. Run Gate 1 once against the group's aggregate net
2. Inspect the group and its members</t>
        </is>
      </c>
      <c r="I368" s="12" t="inlineStr">
        <is>
          <t>The whole group is HELD; no aggregate is written; no partial credit is ever created; members are marked held via the group; a compliance case is opened.</t>
        </is>
      </c>
      <c r="J368" s="13" t="inlineStr">
        <is>
          <t>NA</t>
        </is>
      </c>
      <c r="K368" s="13" t="inlineStr">
        <is>
          <t>Negative</t>
        </is>
      </c>
    </row>
    <row r="369" ht="36" customHeight="1">
      <c r="A369" s="12" t="inlineStr">
        <is>
          <t>PoS Transactions V6.6.0 (EMI-5914)</t>
        </is>
      </c>
      <c r="B369" s="12" t="inlineStr">
        <is>
          <t>Settlement Grouping &amp; Gate 1</t>
        </is>
      </c>
      <c r="C369" s="12" t="inlineStr">
        <is>
          <t>Reliability</t>
        </is>
      </c>
      <c r="D369" s="13" t="inlineStr">
        <is>
          <t>TC-Settlement-06</t>
        </is>
      </c>
      <c r="E369" s="12" t="inlineStr">
        <is>
          <t>Gate 1 Service Timeout Fails Safe to Held</t>
        </is>
      </c>
      <c r="F369" s="13" t="inlineStr">
        <is>
          <t>High</t>
        </is>
      </c>
      <c r="G369" s="12" t="inlineStr">
        <is>
          <t>The Gate 1 service is made unresponsive during group screening</t>
        </is>
      </c>
      <c r="H369" s="12" t="inlineStr">
        <is>
          <t>1. Attempt Gate 1 evaluation on a group's aggregate while the check service times out</t>
        </is>
      </c>
      <c r="I369" s="12" t="inlineStr">
        <is>
          <t>Fail-safe to HELD; never fail-open.</t>
        </is>
      </c>
      <c r="J369" s="13" t="inlineStr">
        <is>
          <t>NA</t>
        </is>
      </c>
      <c r="K369" s="13" t="inlineStr">
        <is>
          <t>Negative</t>
        </is>
      </c>
    </row>
    <row r="370" ht="36" customHeight="1">
      <c r="A370" s="12" t="inlineStr">
        <is>
          <t>PoS Transactions V6.6.0 (EMI-5914)</t>
        </is>
      </c>
      <c r="B370" s="12" t="inlineStr">
        <is>
          <t>Settlement Grouping &amp; Gate 1</t>
        </is>
      </c>
      <c r="C370" s="12" t="inlineStr">
        <is>
          <t>Functional</t>
        </is>
      </c>
      <c r="D370" s="13" t="inlineStr">
        <is>
          <t>TC-Settlement-07</t>
        </is>
      </c>
      <c r="E370" s="12" t="inlineStr">
        <is>
          <t>New Rows Joining an Open-Date Group Is Normal</t>
        </is>
      </c>
      <c r="F370" s="13" t="inlineStr">
        <is>
          <t>Medium</t>
        </is>
      </c>
      <c r="G370" s="12" t="inlineStr">
        <is>
          <t>A group's source date is still open (not yet closed out by EMI-5991)</t>
        </is>
      </c>
      <c r="H370" s="12" t="inlineStr">
        <is>
          <t>1. Add new rows to an existing group while its date remains open
2. Inspect for any immutability alarm</t>
        </is>
      </c>
      <c r="I370" s="12" t="inlineStr">
        <is>
          <t>The group is simply updated; no immutability alarm fires — this is expected behaviour while the date is open.</t>
        </is>
      </c>
      <c r="J370" s="13" t="inlineStr">
        <is>
          <t>NA</t>
        </is>
      </c>
      <c r="K370" s="13" t="inlineStr">
        <is>
          <t>Functional</t>
        </is>
      </c>
    </row>
    <row r="371" ht="36" customHeight="1">
      <c r="A371" s="12" t="inlineStr">
        <is>
          <t>PoS Transactions V6.6.0 (EMI-5914)</t>
        </is>
      </c>
      <c r="B371" s="12" t="inlineStr">
        <is>
          <t>Settlement Grouping &amp; Gate 1</t>
        </is>
      </c>
      <c r="C371" s="12" t="inlineStr">
        <is>
          <t>Exception</t>
        </is>
      </c>
      <c r="D371" s="13" t="inlineStr">
        <is>
          <t>TC-Settlement-08</t>
        </is>
      </c>
      <c r="E371" s="12" t="inlineStr">
        <is>
          <t>Grouped Row Changes After Date Closed — E23</t>
        </is>
      </c>
      <c r="F371" s="13" t="inlineStr">
        <is>
          <t>Critical</t>
        </is>
      </c>
      <c r="G371" s="12" t="inlineStr">
        <is>
          <t>A previously grouped TR_SLIP's row content changes (amended/removed row, changed total) after EMI-5991 has closed the date</t>
        </is>
      </c>
      <c r="H371" s="12" t="inlineStr">
        <is>
          <t>1. Close out the date
2. Re-pull the same TR_SLIP with changed row content
3. Inspect the group state</t>
        </is>
      </c>
      <c r="I371" s="12" t="inlineStr">
        <is>
          <t>E23 raised: the group is frozen, an Ops case is opened, and the original content is preserved — never silently overwritten.</t>
        </is>
      </c>
      <c r="J371" s="13" t="inlineStr">
        <is>
          <t>NA</t>
        </is>
      </c>
      <c r="K371" s="13" t="inlineStr">
        <is>
          <t>Functional</t>
        </is>
      </c>
    </row>
    <row r="372" ht="36" customHeight="1">
      <c r="A372" s="12" t="inlineStr">
        <is>
          <t>PoS Transactions V6.6.0 (EMI-5914)</t>
        </is>
      </c>
      <c r="B372" s="12" t="inlineStr">
        <is>
          <t>Settlement Grouping &amp; Gate 1</t>
        </is>
      </c>
      <c r="C372" s="12" t="inlineStr">
        <is>
          <t>Exception</t>
        </is>
      </c>
      <c r="D372" s="13" t="inlineStr">
        <is>
          <t>TC-Settlement-09</t>
        </is>
      </c>
      <c r="E372" s="12" t="inlineStr">
        <is>
          <t>E23 on a Group Whose Aggregate Is Already Credited</t>
        </is>
      </c>
      <c r="F372" s="13" t="inlineStr">
        <is>
          <t>Critical</t>
        </is>
      </c>
      <c r="G372" s="12" t="inlineStr">
        <is>
          <t>An E23 immutability breach is detected on a group whose aggregate has already cleared to Available (EMI-5922)</t>
        </is>
      </c>
      <c r="H372" s="12" t="inlineStr">
        <is>
          <t>1. Trigger an E23 breach on an already-credited group
2. Inspect how the system flags it</t>
        </is>
      </c>
      <c r="I372" s="12" t="inlineStr">
        <is>
          <t>This is flagged as a financial incident (not a routine data issue); the group is frozen and the aggregate is flagged; resolution requires an explicit Ops/Finance decision — no automatic rewrite occurs.</t>
        </is>
      </c>
      <c r="J372" s="13" t="inlineStr">
        <is>
          <t>NA</t>
        </is>
      </c>
      <c r="K372" s="13" t="inlineStr">
        <is>
          <t>Functional</t>
        </is>
      </c>
    </row>
    <row r="373" ht="36" customHeight="1">
      <c r="A373" s="12" t="inlineStr">
        <is>
          <t>PoS Transactions V6.6.0 (EMI-5914)</t>
        </is>
      </c>
      <c r="B373" s="12" t="inlineStr">
        <is>
          <t>Settlement Grouping &amp; Gate 1</t>
        </is>
      </c>
      <c r="C373" s="12" t="inlineStr">
        <is>
          <t>Idempotency</t>
        </is>
      </c>
      <c r="D373" s="13" t="inlineStr">
        <is>
          <t>TC-Settlement-10</t>
        </is>
      </c>
      <c r="E373" s="12" t="inlineStr">
        <is>
          <t>Catch-Up Re-Processing Does Not Duplicate Aggregates</t>
        </is>
      </c>
      <c r="F373" s="13" t="inlineStr">
        <is>
          <t>Critical</t>
        </is>
      </c>
      <c r="G373" s="12" t="inlineStr">
        <is>
          <t>A date whose groups already produced aggregates is re-processed by a catch-up job</t>
        </is>
      </c>
      <c r="H373" s="12" t="inlineStr">
        <is>
          <t>1. Re-run the catch-up job over an already-processed date
2. Inspect aggregate counts per group key</t>
        </is>
      </c>
      <c r="I373" s="12" t="inlineStr">
        <is>
          <t>The unique constraint on the group key holds; no second aggregate is created for any group.</t>
        </is>
      </c>
      <c r="J373" s="13" t="inlineStr">
        <is>
          <t>NA</t>
        </is>
      </c>
      <c r="K373" s="13" t="inlineStr">
        <is>
          <t>Integration</t>
        </is>
      </c>
    </row>
    <row r="374" ht="36" customHeight="1">
      <c r="A374" s="12" t="inlineStr">
        <is>
          <t>PoS Transactions V6.6.0 (EMI-5914)</t>
        </is>
      </c>
      <c r="B374" s="12" t="inlineStr">
        <is>
          <t>Settlement Grouping &amp; Gate 1</t>
        </is>
      </c>
      <c r="C374" s="12" t="inlineStr">
        <is>
          <t>Functional</t>
        </is>
      </c>
      <c r="D374" s="13" t="inlineStr">
        <is>
          <t>TC-Settlement-11</t>
        </is>
      </c>
      <c r="E374" s="12" t="inlineStr">
        <is>
          <t>Ledger Type Check — Standard CASH IN With Platform=PoS</t>
        </is>
      </c>
      <c r="F374" s="13" t="inlineStr">
        <is>
          <t>High</t>
        </is>
      </c>
      <c r="G374" s="12" t="inlineStr">
        <is>
          <t>A group passes Gate 1 and its aggregate is written</t>
        </is>
      </c>
      <c r="H374" s="12" t="inlineStr">
        <is>
          <t>1. Inspect the written aggregate transaction's type and platform fields</t>
        </is>
      </c>
      <c r="I374" s="12" t="inlineStr">
        <is>
          <t>The entry is a standard CASH IN. No custom PoS transaction type exists anywhere in the ledger; Platform=PoS is set and carries the PoS context in metadata only.</t>
        </is>
      </c>
      <c r="J374" s="13" t="inlineStr">
        <is>
          <t>NA</t>
        </is>
      </c>
      <c r="K374" s="13" t="inlineStr">
        <is>
          <t>Functional</t>
        </is>
      </c>
    </row>
    <row r="375" ht="36" customHeight="1">
      <c r="A375" s="12" t="inlineStr">
        <is>
          <t>PoS Transactions V6.6.0 (EMI-5914)</t>
        </is>
      </c>
      <c r="B375" s="12" t="inlineStr">
        <is>
          <t>Settlement Grouping &amp; Gate 1</t>
        </is>
      </c>
      <c r="C375" s="12" t="inlineStr">
        <is>
          <t>Integration</t>
        </is>
      </c>
      <c r="D375" s="13" t="inlineStr">
        <is>
          <t>TC-Settlement-12</t>
        </is>
      </c>
      <c r="E375" s="12" t="inlineStr">
        <is>
          <t>Commission Engine Prices on TXN Type + Platform</t>
        </is>
      </c>
      <c r="F375" s="13" t="inlineStr">
        <is>
          <t>Medium</t>
        </is>
      </c>
      <c r="G375" s="12" t="inlineStr">
        <is>
          <t>A PoS settlement CASH IN with Platform=PoS exists alongside an ordinary wallet top-up CASH IN</t>
        </is>
      </c>
      <c r="H375" s="12" t="inlineStr">
        <is>
          <t>1. Feed both transactions to the commission engine
2. Compare the pricing applied to each</t>
        </is>
      </c>
      <c r="I375" s="12" t="inlineStr">
        <is>
          <t>The commission engine distinguishes and prices the PoS settlement cash-in differently from an ordinary top-up, keyed on TXN type + Platform. This closes O29.</t>
        </is>
      </c>
      <c r="J375" s="13" t="inlineStr">
        <is>
          <t>NA</t>
        </is>
      </c>
      <c r="K375" s="13" t="inlineStr">
        <is>
          <t>Integration</t>
        </is>
      </c>
    </row>
    <row r="376" ht="36" customHeight="1">
      <c r="A376" s="12" t="inlineStr">
        <is>
          <t>PoS Transactions V6.6.0 (EMI-5914)</t>
        </is>
      </c>
      <c r="B376" s="12" t="inlineStr">
        <is>
          <t>Settlement Grouping &amp; Gate 1</t>
        </is>
      </c>
      <c r="C376" s="12" t="inlineStr">
        <is>
          <t>Exception</t>
        </is>
      </c>
      <c r="D376" s="13" t="inlineStr">
        <is>
          <t>TC-Settlement-13</t>
        </is>
      </c>
      <c r="E376" s="12" t="inlineStr">
        <is>
          <t>Group Nets to Zero or Negative — E25</t>
        </is>
      </c>
      <c r="F376" s="13" t="inlineStr">
        <is>
          <t>High</t>
        </is>
      </c>
      <c r="G376" s="12" t="inlineStr">
        <is>
          <t>A group's refunds exceed its sales, producing a zero or negative aggregate net</t>
        </is>
      </c>
      <c r="H376" s="12" t="inlineStr">
        <is>
          <t>1. Build a group whose net is zero or negative
2. Run Gate 1 / aggregation</t>
        </is>
      </c>
      <c r="I376" s="12" t="inlineStr">
        <is>
          <t>E25 raised: the group is held pending O25; it is never credited by default.</t>
        </is>
      </c>
      <c r="J376" s="13" t="inlineStr">
        <is>
          <t>NA</t>
        </is>
      </c>
      <c r="K376" s="13" t="inlineStr">
        <is>
          <t>Edge / Boundary</t>
        </is>
      </c>
    </row>
    <row r="377" ht="36" customHeight="1">
      <c r="A377" s="12" t="inlineStr">
        <is>
          <t>PoS Transactions V6.6.0 (EMI-5914)</t>
        </is>
      </c>
      <c r="B377" s="12" t="inlineStr">
        <is>
          <t>Settlement Grouping &amp; Gate 1</t>
        </is>
      </c>
      <c r="C377" s="12" t="inlineStr">
        <is>
          <t>Audit</t>
        </is>
      </c>
      <c r="D377" s="13" t="inlineStr">
        <is>
          <t>TC-Settlement-14</t>
        </is>
      </c>
      <c r="E377" s="12" t="inlineStr">
        <is>
          <t>Aggregate Traceability to Members, Group Key, Pull Date and File Hash</t>
        </is>
      </c>
      <c r="F377" s="13" t="inlineStr">
        <is>
          <t>Medium</t>
        </is>
      </c>
      <c r="G377" s="12" t="inlineStr">
        <is>
          <t>An aggregate has been written for a group</t>
        </is>
      </c>
      <c r="H377" s="12" t="inlineStr">
        <is>
          <t>1. From the aggregate, resolve back to its exact member entries, group key, source pull date and file hash</t>
        </is>
      </c>
      <c r="I377" s="12" t="inlineStr">
        <is>
          <t>Full traceability resolves without a join through any other system — the aggregate's metadata alone is sufficient.</t>
        </is>
      </c>
      <c r="J377" s="13" t="inlineStr">
        <is>
          <t>NA</t>
        </is>
      </c>
      <c r="K377" s="13" t="inlineStr">
        <is>
          <t>Integration</t>
        </is>
      </c>
    </row>
    <row r="378" ht="36" customHeight="1">
      <c r="A378" s="12" t="inlineStr">
        <is>
          <t>PoS Transactions V6.6.0 (EMI-5914)</t>
        </is>
      </c>
      <c r="B378" s="12" t="inlineStr">
        <is>
          <t>Settlement Grouping &amp; Gate 1</t>
        </is>
      </c>
      <c r="C378" s="12" t="inlineStr">
        <is>
          <t>Conservation</t>
        </is>
      </c>
      <c r="D378" s="13" t="inlineStr">
        <is>
          <t>TC-Settlement-15</t>
        </is>
      </c>
      <c r="E378" s="12" t="inlineStr">
        <is>
          <t>Group Conservation — No Member Belongs to Two Groups</t>
        </is>
      </c>
      <c r="F378" s="13" t="inlineStr">
        <is>
          <t>Critical</t>
        </is>
      </c>
      <c r="G378" s="12" t="inlineStr">
        <is>
          <t>Multiple groups exist with distinct member entries</t>
        </is>
      </c>
      <c r="H378" s="12" t="inlineStr">
        <is>
          <t>1. Verify aggregate net = sum of member directions applied, for each group
2. Confirm no per-TID entry is referenced by more than one group</t>
        </is>
      </c>
      <c r="I378" s="12" t="inlineStr">
        <is>
          <t>Conservation holds per group; each member entry belongs to at most one group.</t>
        </is>
      </c>
      <c r="J378" s="13" t="inlineStr">
        <is>
          <t>NA</t>
        </is>
      </c>
      <c r="K378" s="13" t="inlineStr">
        <is>
          <t>Functional</t>
        </is>
      </c>
    </row>
    <row r="379" ht="36" customHeight="1">
      <c r="A379" s="12" t="inlineStr">
        <is>
          <t>PoS Transactions V6.6.0 (EMI-5914)</t>
        </is>
      </c>
      <c r="B379" s="12" t="inlineStr">
        <is>
          <t>Settlement Grouping &amp; Gate 1</t>
        </is>
      </c>
      <c r="C379" s="12" t="inlineStr">
        <is>
          <t>Lifecycle</t>
        </is>
      </c>
      <c r="D379" s="13" t="inlineStr">
        <is>
          <t>TC-Settlement-16</t>
        </is>
      </c>
      <c r="E379" s="12" t="inlineStr">
        <is>
          <t>Group on an Open Date Is Provisional</t>
        </is>
      </c>
      <c r="F379" s="13" t="inlineStr">
        <is>
          <t>High</t>
        </is>
      </c>
      <c r="G379" s="12" t="inlineStr">
        <is>
          <t>A group's source date has not yet been closed out by EMI-5991</t>
        </is>
      </c>
      <c r="H379" s="12" t="inlineStr">
        <is>
          <t>1. Build and screen the group while its date is open
2. Attempt to hand it off to EMI-5920 for final matching</t>
        </is>
      </c>
      <c r="I379" s="12" t="inlineStr">
        <is>
          <t>The group is marked provisional; it is not eligible for final handoff to EMI-5920 until its date closes.</t>
        </is>
      </c>
      <c r="J379" s="13" t="inlineStr">
        <is>
          <t>NA</t>
        </is>
      </c>
      <c r="K379" s="13" t="inlineStr">
        <is>
          <t>Functional</t>
        </is>
      </c>
    </row>
    <row r="380" ht="36" customHeight="1">
      <c r="A380" s="12" t="inlineStr">
        <is>
          <t>PoS Transactions V6.6.0 (EMI-5914)</t>
        </is>
      </c>
      <c r="B380" s="12" t="inlineStr">
        <is>
          <t>Settlement Grouping &amp; Gate 1</t>
        </is>
      </c>
      <c r="C380" s="12" t="inlineStr">
        <is>
          <t>Observability</t>
        </is>
      </c>
      <c r="D380" s="13" t="inlineStr">
        <is>
          <t>TC-Settlement-17</t>
        </is>
      </c>
      <c r="E380" s="12" t="inlineStr">
        <is>
          <t>Backfill-Rate Alarm on Sustained RECON_BACKFILL Rise</t>
        </is>
      </c>
      <c r="F380" s="13" t="inlineStr">
        <is>
          <t>Medium</t>
        </is>
      </c>
      <c r="G380" s="12" t="inlineStr">
        <is>
          <t>The rate of rows created with origin=RECON_BACKFILL rises above baseline over a sustained window</t>
        </is>
      </c>
      <c r="H380" s="12" t="inlineStr">
        <is>
          <t>1. Simulate a sustained rise in RECON_BACKFILL-origin row creation
2. Observe alarming</t>
        </is>
      </c>
      <c r="I380" s="12" t="inlineStr">
        <is>
          <t>A rising backfill rate raises an integration alert (the live-feed delivery is likely losing deliveries) rather than being silently absorbed.</t>
        </is>
      </c>
      <c r="J380" s="13" t="inlineStr">
        <is>
          <t>NA</t>
        </is>
      </c>
      <c r="K380" s="13" t="inlineStr">
        <is>
          <t>Observability</t>
        </is>
      </c>
    </row>
    <row r="381" ht="36" customHeight="1">
      <c r="A381" s="12" t="inlineStr">
        <is>
          <t>PoS Transactions V6.6.0 (EMI-5914)</t>
        </is>
      </c>
      <c r="B381" s="12" t="inlineStr">
        <is>
          <t>Settlement Grouping &amp; Gate 1</t>
        </is>
      </c>
      <c r="C381" s="12" t="inlineStr">
        <is>
          <t>Observability</t>
        </is>
      </c>
      <c r="D381" s="13" t="inlineStr">
        <is>
          <t>TC-Settlement-18</t>
        </is>
      </c>
      <c r="E381" s="12" t="inlineStr">
        <is>
          <t>Gate 1 Hold-Rate Alarm on Spike</t>
        </is>
      </c>
      <c r="F381" s="13" t="inlineStr">
        <is>
          <t>Medium</t>
        </is>
      </c>
      <c r="G381" s="12" t="inlineStr">
        <is>
          <t>The proportion of groups held at Gate 1 spikes above baseline</t>
        </is>
      </c>
      <c r="H381" s="12" t="inlineStr">
        <is>
          <t>1. Simulate a spike in Gate 1 holds across groups in a short window
2. Observe alarming</t>
        </is>
      </c>
      <c r="I381" s="12" t="inlineStr">
        <is>
          <t>A spike raises an alarm same-day — it may indicate a compliance event or a screening defect, and both need review promptly.</t>
        </is>
      </c>
      <c r="J381" s="13" t="inlineStr">
        <is>
          <t>NA</t>
        </is>
      </c>
      <c r="K381" s="13" t="inlineStr">
        <is>
          <t>Observability</t>
        </is>
      </c>
    </row>
    <row r="382" ht="36" customHeight="1">
      <c r="A382" s="12" t="inlineStr">
        <is>
          <t>PoS Transactions V6.6.0 (EMI-5914)</t>
        </is>
      </c>
      <c r="B382" s="12" t="inlineStr">
        <is>
          <t>Settlement Grouping &amp; Gate 1</t>
        </is>
      </c>
      <c r="C382" s="12" t="inlineStr">
        <is>
          <t>Conservation</t>
        </is>
      </c>
      <c r="D382" s="13" t="inlineStr">
        <is>
          <t>TC-Settlement-19</t>
        </is>
      </c>
      <c r="E382" s="12" t="inlineStr">
        <is>
          <t>Monetary Arithmetic Uses Exact Decimal, Never Float</t>
        </is>
      </c>
      <c r="F382" s="13" t="inlineStr">
        <is>
          <t>High</t>
        </is>
      </c>
      <c r="G382" s="12" t="inlineStr">
        <is>
          <t>Group totals involve fractional halalah-level amounts across multiple rows</t>
        </is>
      </c>
      <c r="H382" s="12" t="inlineStr">
        <is>
          <t>1. Aggregate a group whose member amounts would expose floating-point rounding error if handled as floats
2. Inspect the stored aggregate net</t>
        </is>
      </c>
      <c r="I382" s="12" t="inlineStr">
        <is>
          <t>All monetary handling uses exact decimal arithmetic; no floating-point arithmetic appears anywhere in grouping or aggregation.</t>
        </is>
      </c>
      <c r="J382" s="13" t="inlineStr">
        <is>
          <t>NA</t>
        </is>
      </c>
      <c r="K382" s="13" t="inlineStr">
        <is>
          <t>Functional</t>
        </is>
      </c>
    </row>
    <row r="383" ht="36" customHeight="1">
      <c r="A383" s="12" t="inlineStr">
        <is>
          <t>PoS Transactions V6.6.0 (EMI-5914)</t>
        </is>
      </c>
      <c r="B383" s="12" t="inlineStr">
        <is>
          <t>Settlement Grouping &amp; Gate 1</t>
        </is>
      </c>
      <c r="C383" s="12" t="inlineStr">
        <is>
          <t>Conservation</t>
        </is>
      </c>
      <c r="D383" s="13" t="inlineStr">
        <is>
          <t>TC-Settlement-20</t>
        </is>
      </c>
      <c r="E383" s="12" t="inlineStr">
        <is>
          <t>Group Conservation — No Member Belongs to Two Batches</t>
        </is>
      </c>
      <c r="F383" s="13" t="inlineStr">
        <is>
          <t>Critical</t>
        </is>
      </c>
      <c r="G383" s="12" t="inlineStr">
        <is>
          <t>Multiple batches exist with distinct member entries</t>
        </is>
      </c>
      <c r="H383" s="12" t="inlineStr">
        <is>
          <t>1. Verify aggregate net = sum of member Net Settlement Amount, for each batch.
2. Confirm no per-TID entry is referenced by more than one batch.</t>
        </is>
      </c>
      <c r="I383" s="12" t="inlineStr">
        <is>
          <t>Conservation holds per batch; each member entry belongs to at most one batch.</t>
        </is>
      </c>
      <c r="J383" s="13" t="inlineStr">
        <is>
          <t>Not Tested</t>
        </is>
      </c>
      <c r="K383" s="13" t="inlineStr">
        <is>
          <t>Functional</t>
        </is>
      </c>
    </row>
    <row r="384" ht="36" customHeight="1">
      <c r="A384" s="12" t="inlineStr">
        <is>
          <t>PoS Transactions V6.6.0 (EMI-5914)</t>
        </is>
      </c>
      <c r="B384" s="12" t="inlineStr">
        <is>
          <t>Settlement Grouping &amp; Gate 1</t>
        </is>
      </c>
      <c r="C384" s="12" t="inlineStr">
        <is>
          <t>Lifecycle</t>
        </is>
      </c>
      <c r="D384" s="13" t="inlineStr">
        <is>
          <t>TC-Settlement-21</t>
        </is>
      </c>
      <c r="E384" s="12" t="inlineStr">
        <is>
          <t>Batch on an Open Date Stays Provisional for Days, Not Hours</t>
        </is>
      </c>
      <c r="F384" s="13" t="inlineStr">
        <is>
          <t>High</t>
        </is>
      </c>
      <c r="G384" s="12" t="inlineStr">
        <is>
          <t>A batch's source date has not yet been closed out by Settlement Grouping &amp; Gate 1, across three consecutive nightly runs</t>
        </is>
      </c>
      <c r="H384" s="12" t="inlineStr">
        <is>
          <t>1. Build and screen the batch while its date is open, across three nights.
2. Attempt handoff to EMI-5920 for final matching each night.</t>
        </is>
      </c>
      <c r="I384" s="12" t="inlineStr">
        <is>
          <t>The batch is marked provisional and not eligible for final handoff until its date closes. Ops reporting ages it without flagging it as stuck.</t>
        </is>
      </c>
      <c r="J384" s="13" t="inlineStr">
        <is>
          <t>Not Tested</t>
        </is>
      </c>
      <c r="K384" s="13" t="inlineStr">
        <is>
          <t>Functional</t>
        </is>
      </c>
    </row>
    <row r="385" ht="36" customHeight="1">
      <c r="A385" s="12" t="inlineStr">
        <is>
          <t>PoS Transactions V6.6.0 (EMI-5914)</t>
        </is>
      </c>
      <c r="B385" s="12" t="inlineStr">
        <is>
          <t>Settlement Grouping &amp; Gate 1</t>
        </is>
      </c>
      <c r="C385" s="12" t="inlineStr">
        <is>
          <t>Audit</t>
        </is>
      </c>
      <c r="D385" s="13" t="inlineStr">
        <is>
          <t>TC-Settlement-22</t>
        </is>
      </c>
      <c r="E385" s="12" t="inlineStr">
        <is>
          <t>Member Count Persisted and Exposed for EMI-5920's Cross-Check</t>
        </is>
      </c>
      <c r="F385" s="13" t="inlineStr">
        <is>
          <t>High</t>
        </is>
      </c>
      <c r="G385" s="12" t="inlineStr">
        <is>
          <t>A batch aggregate has been written with its member count stored</t>
        </is>
      </c>
      <c r="H385" s="12" t="inlineStr">
        <is>
          <t>1. Inspect the persisted batch record.
2. Confirm the member count is available to EMI-5920.</t>
        </is>
      </c>
      <c r="I385" s="12" t="inlineStr">
        <is>
          <t>Member count is stored as a control, not a statistic, and is available for comparison against the MT940 narrative's TX_n in EMI-5920.</t>
        </is>
      </c>
      <c r="J385" s="13" t="inlineStr">
        <is>
          <t>Not Tested</t>
        </is>
      </c>
      <c r="K385" s="13" t="inlineStr">
        <is>
          <t>Security</t>
        </is>
      </c>
    </row>
    <row r="386" ht="36" customHeight="1">
      <c r="A386" s="12" t="inlineStr">
        <is>
          <t>PoS Transactions V6.6.0 (EMI-5914)</t>
        </is>
      </c>
      <c r="B386" s="12" t="inlineStr">
        <is>
          <t>Settlement Grouping &amp; Gate 1</t>
        </is>
      </c>
      <c r="C386" s="12" t="inlineStr">
        <is>
          <t>Ordering</t>
        </is>
      </c>
      <c r="D386" s="13" t="inlineStr">
        <is>
          <t>TC-Settlement-23</t>
        </is>
      </c>
      <c r="E386" s="12" t="inlineStr">
        <is>
          <t>Gate 1 Invoked Before the Aggregate Is Written, Never After</t>
        </is>
      </c>
      <c r="F386" s="13" t="inlineStr">
        <is>
          <t>Critical</t>
        </is>
      </c>
      <c r="G386" s="12" t="inlineStr">
        <is>
          <t>A batch is ready for screening and aggregation</t>
        </is>
      </c>
      <c r="H386" s="12" t="inlineStr">
        <is>
          <t>1. Trace the processing order: reconcile, group, assert scope, Gate 1, then write.
2. Force a Gate 1 hold and confirm no aggregate exists afterward.</t>
        </is>
      </c>
      <c r="I386" s="12" t="inlineStr">
        <is>
          <t>Ordering is enforced. A held batch leaves no balance-bearing record behind it — Gate 1 always runs before anything balance-bearing is written.</t>
        </is>
      </c>
      <c r="J386" s="13" t="inlineStr">
        <is>
          <t>Not Tested</t>
        </is>
      </c>
      <c r="K386" s="13" t="inlineStr">
        <is>
          <t>Integration</t>
        </is>
      </c>
    </row>
    <row r="387" ht="36" customHeight="1">
      <c r="A387" s="12" t="inlineStr">
        <is>
          <t>PoS Transactions V6.6.0 (EMI-5914)</t>
        </is>
      </c>
      <c r="B387" s="12" t="inlineStr">
        <is>
          <t>Settlement Grouping &amp; Gate 1</t>
        </is>
      </c>
      <c r="C387" s="12" t="inlineStr">
        <is>
          <t>Ordering</t>
        </is>
      </c>
      <c r="D387" s="13" t="inlineStr">
        <is>
          <t>TC-Settlement-24</t>
        </is>
      </c>
      <c r="E387" s="12" t="inlineStr">
        <is>
          <t>Scope Invariants Evaluated Before Gate 1</t>
        </is>
      </c>
      <c r="F387" s="13" t="inlineStr">
        <is>
          <t>High</t>
        </is>
      </c>
      <c r="G387" s="12" t="inlineStr">
        <is>
          <t>A batch would fail the E30 or E31 scope check</t>
        </is>
      </c>
      <c r="H387" s="12" t="inlineStr">
        <is>
          <t>1. Build a batch with a scope disagreement or mixed currency.
2. Run the grouping pipeline.</t>
        </is>
      </c>
      <c r="I387" s="12" t="inlineStr">
        <is>
          <t>The E30/E31 batch never reaches Gate 1 and never produces an aggregate — scope invariants are asserted first.</t>
        </is>
      </c>
      <c r="J387" s="13" t="inlineStr">
        <is>
          <t>Not Tested</t>
        </is>
      </c>
      <c r="K387" s="13" t="inlineStr">
        <is>
          <t>Integration</t>
        </is>
      </c>
    </row>
    <row r="388" ht="36" customHeight="1">
      <c r="A388" s="12" t="inlineStr">
        <is>
          <t>PoS Transactions V6.6.0 (EMI-5914)</t>
        </is>
      </c>
      <c r="B388" s="12" t="inlineStr">
        <is>
          <t>Settlement Grouping &amp; Gate 1</t>
        </is>
      </c>
      <c r="C388" s="12" t="inlineStr">
        <is>
          <t>Ops/Reporting</t>
        </is>
      </c>
      <c r="D388" s="13" t="inlineStr">
        <is>
          <t>TC-Settlement-25</t>
        </is>
      </c>
      <c r="E388" s="12" t="inlineStr">
        <is>
          <t>Held-Batch Queue Has No Release or Partial-Credit Action</t>
        </is>
      </c>
      <c r="F388" s="13" t="inlineStr">
        <is>
          <t>Critical</t>
        </is>
      </c>
      <c r="G388" s="12" t="inlineStr">
        <is>
          <t>A batch is held under E27, E30, or E31</t>
        </is>
      </c>
      <c r="H388" s="12" t="inlineStr">
        <is>
          <t>1. Open the Ops held-batch queue.
2. Attempt to find a release, partial-credit, or edit action.</t>
        </is>
      </c>
      <c r="I388" s="12" t="inlineStr">
        <is>
          <t>No such action is present anywhere on the screen or in the API. E30 names the disagreeing field and members; the absence of a release path is deliberate.</t>
        </is>
      </c>
      <c r="J388" s="13" t="inlineStr">
        <is>
          <t>Not Tested</t>
        </is>
      </c>
      <c r="K388" s="13" t="inlineStr">
        <is>
          <t>Reporting</t>
        </is>
      </c>
    </row>
    <row r="389" ht="36" customHeight="1">
      <c r="A389" s="12" t="inlineStr">
        <is>
          <t>PoS Transactions V6.6.0 (EMI-5914)</t>
        </is>
      </c>
      <c r="B389" s="12" t="inlineStr">
        <is>
          <t>Settlement Grouping &amp; Gate 1</t>
        </is>
      </c>
      <c r="C389" s="12" t="inlineStr">
        <is>
          <t>Risk</t>
        </is>
      </c>
      <c r="D389" s="13" t="inlineStr">
        <is>
          <t>TC-Settlement-26</t>
        </is>
      </c>
      <c r="E389" s="12" t="inlineStr">
        <is>
          <t>Aggregate That Would Exceed the SAMA Balance Cap if Credited Tonight</t>
        </is>
      </c>
      <c r="F389" s="13" t="inlineStr">
        <is>
          <t>Critical</t>
        </is>
      </c>
      <c r="G389" s="12" t="inlineStr">
        <is>
          <t>The batch's aggregate value would exceed the merchant's SAMA balance cap if it were credited immediately</t>
        </is>
      </c>
      <c r="H389" s="12" t="inlineStr">
        <is>
          <t>1. Run Gate 1 on the aggregate.
2. Inspect the outcome.</t>
        </is>
      </c>
      <c r="I389" s="12" t="inlineStr">
        <is>
          <t>Gate 1 passes on party state alone. The aggregate is written PENDING and handed on normally — no hold, no E27. The cap is not this story's question; it belongs to Gate 3 in EMI-5916.</t>
        </is>
      </c>
      <c r="J389" s="13" t="inlineStr">
        <is>
          <t>Not Tested</t>
        </is>
      </c>
      <c r="K389" s="13" t="inlineStr">
        <is>
          <t>Functional</t>
        </is>
      </c>
    </row>
    <row r="390" ht="36" customHeight="1">
      <c r="A390" s="12" t="inlineStr">
        <is>
          <t>PoS Transactions V6.6.0 (EMI-5914)</t>
        </is>
      </c>
      <c r="B390" s="12" t="inlineStr">
        <is>
          <t>Settlement Grouping &amp; Gate 1</t>
        </is>
      </c>
      <c r="C390" s="12" t="inlineStr">
        <is>
          <t>Risk</t>
        </is>
      </c>
      <c r="D390" s="13" t="inlineStr">
        <is>
          <t>TC-Settlement-27</t>
        </is>
      </c>
      <c r="E390" s="12" t="inlineStr">
        <is>
          <t>Turnover Window Rolls Between Grouping and Crediting</t>
        </is>
      </c>
      <c r="F390" s="13" t="inlineStr">
        <is>
          <t>High</t>
        </is>
      </c>
      <c r="G390" s="12" t="inlineStr">
        <is>
          <t>The merchant is over their turnover limit on the night of grouping, and the turnover window rolls before the credit lands</t>
        </is>
      </c>
      <c r="H390" s="12" t="inlineStr">
        <is>
          <t>1. Group and screen the batch tonight.
2. Advance past the turnover window boundary before the credit lands.</t>
        </is>
      </c>
      <c r="I390" s="12" t="inlineStr">
        <is>
          <t>Not held here. Gate 3 (EMI-5916) evaluates the turnover limit against the window in force when the money actually arrives, not the window open at grouping.</t>
        </is>
      </c>
      <c r="J390" s="13" t="inlineStr">
        <is>
          <t>Not Tested</t>
        </is>
      </c>
      <c r="K390" s="13" t="inlineStr">
        <is>
          <t>Edge / Boundary</t>
        </is>
      </c>
    </row>
    <row r="391" ht="36" customHeight="1">
      <c r="A391" s="12" t="inlineStr">
        <is>
          <t>PoS Transactions V6.6.0 (EMI-5914)</t>
        </is>
      </c>
      <c r="B391" s="12" t="inlineStr">
        <is>
          <t>Settlement Grouping &amp; Gate 1</t>
        </is>
      </c>
      <c r="C391" s="12" t="inlineStr">
        <is>
          <t>Reliability</t>
        </is>
      </c>
      <c r="D391" s="13" t="inlineStr">
        <is>
          <t>TC-Settlement-28</t>
        </is>
      </c>
      <c r="E391" s="12" t="inlineStr">
        <is>
          <t>Limits Service Unreachable During Grouping Has No Effect</t>
        </is>
      </c>
      <c r="F391" s="13" t="inlineStr">
        <is>
          <t>High</t>
        </is>
      </c>
      <c r="G391" s="12" t="inlineStr">
        <is>
          <t>The limits service is made unavailable while grouping and Gate 1 run</t>
        </is>
      </c>
      <c r="H391" s="12" t="inlineStr">
        <is>
          <t>1. Run grouping and Gate 1 while the limits service is unreachable.</t>
        </is>
      </c>
      <c r="I391" s="12" t="inlineStr">
        <is>
          <t>No effect at all. Gate 1 does not call the limits service, so grouping and screening complete normally on party-state checks alone.</t>
        </is>
      </c>
      <c r="J391" s="13" t="inlineStr">
        <is>
          <t>Not Tested</t>
        </is>
      </c>
      <c r="K391" s="13" t="inlineStr">
        <is>
          <t>Functional</t>
        </is>
      </c>
    </row>
    <row r="392" ht="36" customHeight="1">
      <c r="A392" s="12" t="inlineStr">
        <is>
          <t>PoS Transactions V6.6.0 (EMI-5914)</t>
        </is>
      </c>
      <c r="B392" s="12" t="inlineStr">
        <is>
          <t>Settlement Grouping &amp; Gate 1</t>
        </is>
      </c>
      <c r="C392" s="12" t="inlineStr">
        <is>
          <t>Compliance</t>
        </is>
      </c>
      <c r="D392" s="13" t="inlineStr">
        <is>
          <t>TC-Settlement-29</t>
        </is>
      </c>
      <c r="E392" s="12" t="inlineStr">
        <is>
          <t>Merchant Blocked, Under AML Review, or Sanctions-Hit at Grouping Time</t>
        </is>
      </c>
      <c r="F392" s="13" t="inlineStr">
        <is>
          <t>Critical</t>
        </is>
      </c>
      <c r="G392" s="12" t="inlineStr">
        <is>
          <t>The merchant fails a party-state check (blocked status, AML review flag, or a sanctions hit) at the moment of grouping</t>
        </is>
      </c>
      <c r="H392" s="12" t="inlineStr">
        <is>
          <t>1. Run Gate 1 on the aggregate for a merchant failing a party-state check.</t>
        </is>
      </c>
      <c r="I392" s="12" t="inlineStr">
        <is>
          <t>E27, HELD. Party-state checks are squarely within Gate 1's scope, unlike limits, which are not evaluated here at all.</t>
        </is>
      </c>
      <c r="J392" s="13" t="inlineStr">
        <is>
          <t>Not Tested</t>
        </is>
      </c>
      <c r="K392" s="13" t="inlineStr">
        <is>
          <t>Compliance</t>
        </is>
      </c>
    </row>
    <row r="393" ht="36" customHeight="1">
      <c r="A393" s="12" t="inlineStr">
        <is>
          <t>PoS Transactions V6.6.0 (EMI-5914)</t>
        </is>
      </c>
      <c r="B393" s="12" t="inlineStr">
        <is>
          <t>PTS Retrieval &amp; Parsing</t>
        </is>
      </c>
      <c r="C393" s="12" t="inlineStr">
        <is>
          <t>Functional</t>
        </is>
      </c>
      <c r="D393" s="13" t="inlineStr">
        <is>
          <t>TC-PTS-01</t>
        </is>
      </c>
      <c r="E393" s="12" t="inlineStr">
        <is>
          <t>Normal Window — File Parses Cleanly</t>
        </is>
      </c>
      <c r="F393" s="13" t="inlineStr">
        <is>
          <t>High</t>
        </is>
      </c>
      <c r="G393" s="12" t="inlineStr">
        <is>
          <t>A scheduled 2-hourly pull window runs against a well-formed ANB PTS file</t>
        </is>
      </c>
      <c r="H393" s="12" t="inlineStr">
        <is>
          <t>1. Trigger the pull for the current date
2. Parse the returned file
3. Inspect the handed-off rows</t>
        </is>
      </c>
      <c r="I393" s="12" t="inlineStr">
        <is>
          <t>Validated rows are handed on to EMI-5989 with full lineage (source_pull_date, source_file_hash).</t>
        </is>
      </c>
      <c r="J393" s="13" t="inlineStr">
        <is>
          <t>NA</t>
        </is>
      </c>
      <c r="K393" s="13" t="inlineStr">
        <is>
          <t>Functional</t>
        </is>
      </c>
    </row>
    <row r="394" ht="36" customHeight="1">
      <c r="A394" s="12" t="inlineStr">
        <is>
          <t>PoS Transactions V6.6.0 (EMI-5914)</t>
        </is>
      </c>
      <c r="B394" s="12" t="inlineStr">
        <is>
          <t>PTS Retrieval &amp; Parsing</t>
        </is>
      </c>
      <c r="C394" s="12" t="inlineStr">
        <is>
          <t>Idempotency</t>
        </is>
      </c>
      <c r="D394" s="13" t="inlineStr">
        <is>
          <t>TC-PTS-02</t>
        </is>
      </c>
      <c r="E394" s="12" t="inlineStr">
        <is>
          <t>Same Date Pulled Twice in Consecutive Windows</t>
        </is>
      </c>
      <c r="F394" s="13" t="inlineStr">
        <is>
          <t>High</t>
        </is>
      </c>
      <c r="G394" s="12" t="inlineStr">
        <is>
          <t>A date has already been pulled and accepted once</t>
        </is>
      </c>
      <c r="H394" s="12" t="inlineStr">
        <is>
          <t>1. Pull the same date again in the next window
2. Inspect row counts and identity keys</t>
        </is>
      </c>
      <c r="I394" s="12" t="inlineStr">
        <is>
          <t>No duplicate rows are produced — this is the normal case (every window re-reads the whole date), not an edge case.</t>
        </is>
      </c>
      <c r="J394" s="13" t="inlineStr">
        <is>
          <t>NA</t>
        </is>
      </c>
      <c r="K394" s="13" t="inlineStr">
        <is>
          <t>Integration</t>
        </is>
      </c>
    </row>
    <row r="395" ht="36" customHeight="1">
      <c r="A395" s="12" t="inlineStr">
        <is>
          <t>PoS Transactions V6.6.0 (EMI-5914)</t>
        </is>
      </c>
      <c r="B395" s="12" t="inlineStr">
        <is>
          <t>PTS Retrieval &amp; Parsing</t>
        </is>
      </c>
      <c r="C395" s="12" t="inlineStr">
        <is>
          <t>Functional</t>
        </is>
      </c>
      <c r="D395" s="13" t="inlineStr">
        <is>
          <t>TC-PTS-03</t>
        </is>
      </c>
      <c r="E395" s="12" t="inlineStr">
        <is>
          <t>Date File Grows Between Windows</t>
        </is>
      </c>
      <c r="F395" s="13" t="inlineStr">
        <is>
          <t>Medium</t>
        </is>
      </c>
      <c r="G395" s="12" t="inlineStr">
        <is>
          <t>A date file has new rows added by ANB between two pull windows</t>
        </is>
      </c>
      <c r="H395" s="12" t="inlineStr">
        <is>
          <t>1. Pull the date, capturing the row set
2. Pull again after new rows are added on ANB's side
3. Compare row sets</t>
        </is>
      </c>
      <c r="I395" s="12" t="inlineStr">
        <is>
          <t>New rows are accepted; existing rows are left untouched.</t>
        </is>
      </c>
      <c r="J395" s="13" t="inlineStr">
        <is>
          <t>NA</t>
        </is>
      </c>
      <c r="K395" s="13" t="inlineStr">
        <is>
          <t>Functional</t>
        </is>
      </c>
    </row>
    <row r="396" ht="36" customHeight="1">
      <c r="A396" s="12" t="inlineStr">
        <is>
          <t>PoS Transactions V6.6.0 (EMI-5914)</t>
        </is>
      </c>
      <c r="B396" s="12" t="inlineStr">
        <is>
          <t>PTS Retrieval &amp; Parsing</t>
        </is>
      </c>
      <c r="C396" s="12" t="inlineStr">
        <is>
          <t>Reliability</t>
        </is>
      </c>
      <c r="D396" s="13" t="inlineStr">
        <is>
          <t>TC-PTS-04</t>
        </is>
      </c>
      <c r="E396" s="12" t="inlineStr">
        <is>
          <t>API Unavailable for Three Consecutive Windows</t>
        </is>
      </c>
      <c r="F396" s="13" t="inlineStr">
        <is>
          <t>High</t>
        </is>
      </c>
      <c r="G396" s="12" t="inlineStr">
        <is>
          <t>The ANB PTS API is made unavailable across three consecutive 2-hourly windows</t>
        </is>
      </c>
      <c r="H396" s="12" t="inlineStr">
        <is>
          <t>1. Simulate three consecutive failed windows
2. Inspect the cursor, alarms and notifications</t>
        </is>
      </c>
      <c r="I396" s="12" t="inlineStr">
        <is>
          <t>Backoff occurs; an Ops alarm AND a Finance notification are both raised (an unpulled statement stalls settlement silently otherwise); the per-date cursor is NOT advanced; catch-up re-pulls on recovery.</t>
        </is>
      </c>
      <c r="J396" s="13" t="inlineStr">
        <is>
          <t>NA</t>
        </is>
      </c>
      <c r="K396" s="13" t="inlineStr">
        <is>
          <t>Functional</t>
        </is>
      </c>
    </row>
    <row r="397" ht="36" customHeight="1">
      <c r="A397" s="12" t="inlineStr">
        <is>
          <t>PoS Transactions V6.6.0 (EMI-5914)</t>
        </is>
      </c>
      <c r="B397" s="12" t="inlineStr">
        <is>
          <t>PTS Retrieval &amp; Parsing</t>
        </is>
      </c>
      <c r="C397" s="12" t="inlineStr">
        <is>
          <t>Validation</t>
        </is>
      </c>
      <c r="D397" s="13" t="inlineStr">
        <is>
          <t>TC-PTS-05</t>
        </is>
      </c>
      <c r="E397" s="12" t="inlineStr">
        <is>
          <t>Row Fails Arithmetic Identity — E24</t>
        </is>
      </c>
      <c r="F397" s="13" t="inlineStr">
        <is>
          <t>Critical</t>
        </is>
      </c>
      <c r="G397" s="12" t="inlineStr">
        <is>
          <t>A row's TOTAL_AMOUNT does not equal AMOUNT + TR_CASH_BACK minus the three deductions</t>
        </is>
      </c>
      <c r="H397" s="12" t="inlineStr">
        <is>
          <t>1. Ingest a row whose components don't reconcile to TOTAL_AMOUNT
2. Inspect the outcome</t>
        </is>
      </c>
      <c r="I397" s="12" t="inlineStr">
        <is>
          <t>E24 raised: the row is quarantined and never handed on to EMI-5989.</t>
        </is>
      </c>
      <c r="J397" s="13" t="inlineStr">
        <is>
          <t>NA</t>
        </is>
      </c>
      <c r="K397" s="13" t="inlineStr">
        <is>
          <t>Negative</t>
        </is>
      </c>
    </row>
    <row r="398" ht="36" customHeight="1">
      <c r="A398" s="12" t="inlineStr">
        <is>
          <t>PoS Transactions V6.6.0 (EMI-5914)</t>
        </is>
      </c>
      <c r="B398" s="12" t="inlineStr">
        <is>
          <t>PTS Retrieval &amp; Parsing</t>
        </is>
      </c>
      <c r="C398" s="12" t="inlineStr">
        <is>
          <t>Validation</t>
        </is>
      </c>
      <c r="D398" s="13" t="inlineStr">
        <is>
          <t>TC-PTS-06</t>
        </is>
      </c>
      <c r="E398" s="12" t="inlineStr">
        <is>
          <t>Mixed-Sign TR_FEE Rows Both Treated as Deductions</t>
        </is>
      </c>
      <c r="F398" s="13" t="inlineStr">
        <is>
          <t>Medium</t>
        </is>
      </c>
      <c r="G398" s="12" t="inlineStr">
        <is>
          <t>One row has TR_FEE positive, the next has TR_FEE negative</t>
        </is>
      </c>
      <c r="H398" s="12" t="inlineStr">
        <is>
          <t>1. Ingest both rows
2. Verify the arithmetic identity check on each</t>
        </is>
      </c>
      <c r="I398" s="12" t="inlineStr">
        <is>
          <t>Both are treated as deductions (absolute value taken); the identity holds on each; no double subtraction occurs.</t>
        </is>
      </c>
      <c r="J398" s="13" t="inlineStr">
        <is>
          <t>NA</t>
        </is>
      </c>
      <c r="K398" s="13" t="inlineStr">
        <is>
          <t>Negative</t>
        </is>
      </c>
    </row>
    <row r="399" ht="36" customHeight="1">
      <c r="A399" s="12" t="inlineStr">
        <is>
          <t>PoS Transactions V6.6.0 (EMI-5914)</t>
        </is>
      </c>
      <c r="B399" s="12" t="inlineStr">
        <is>
          <t>PTS Retrieval &amp; Parsing</t>
        </is>
      </c>
      <c r="C399" s="12" t="inlineStr">
        <is>
          <t>Validation</t>
        </is>
      </c>
      <c r="D399" s="13" t="inlineStr">
        <is>
          <t>TC-PTS-07</t>
        </is>
      </c>
      <c r="E399" s="12" t="inlineStr">
        <is>
          <t>Exact-Decimal Amount Parsing — No Truncation</t>
        </is>
      </c>
      <c r="F399" s="13" t="inlineStr">
        <is>
          <t>High</t>
        </is>
      </c>
      <c r="G399" s="12" t="inlineStr">
        <is>
          <t>A row carries the amount -00000000000000000000.06 (fixed-width, zero-padded, embedded decimal)</t>
        </is>
      </c>
      <c r="H399" s="12" t="inlineStr">
        <is>
          <t>1. Parse the row
2. Inspect the stored amount</t>
        </is>
      </c>
      <c r="I399" s="12" t="inlineStr">
        <is>
          <t>The amount parses to exact decimal minus 0.06; no truncation, no float coercion anywhere in the parse path.</t>
        </is>
      </c>
      <c r="J399" s="13" t="inlineStr">
        <is>
          <t>NA</t>
        </is>
      </c>
      <c r="K399" s="13" t="inlineStr">
        <is>
          <t>Negative</t>
        </is>
      </c>
    </row>
    <row r="400" ht="36" customHeight="1">
      <c r="A400" s="12" t="inlineStr">
        <is>
          <t>PoS Transactions V6.6.0 (EMI-5914)</t>
        </is>
      </c>
      <c r="B400" s="12" t="inlineStr">
        <is>
          <t>PTS Retrieval &amp; Parsing</t>
        </is>
      </c>
      <c r="C400" s="12" t="inlineStr">
        <is>
          <t>Exception</t>
        </is>
      </c>
      <c r="D400" s="13" t="inlineStr">
        <is>
          <t>TC-PTS-08</t>
        </is>
      </c>
      <c r="E400" s="12" t="inlineStr">
        <is>
          <t>Row for TID Not in Registry — E21</t>
        </is>
      </c>
      <c r="F400" s="13" t="inlineStr">
        <is>
          <t>Medium</t>
        </is>
      </c>
      <c r="G400" s="12" t="inlineStr">
        <is>
          <t>A row's TERMINAL_ID is absent from the TID registry</t>
        </is>
      </c>
      <c r="H400" s="12" t="inlineStr">
        <is>
          <t>1. Ingest the row
2. Inspect its handling</t>
        </is>
      </c>
      <c r="I400" s="12" t="inlineStr">
        <is>
          <t>E21 raised: the row is parked and alarmed, but handed on flagged — never silently dropped.</t>
        </is>
      </c>
      <c r="J400" s="13" t="inlineStr">
        <is>
          <t>NA</t>
        </is>
      </c>
      <c r="K400" s="13" t="inlineStr">
        <is>
          <t>Functional</t>
        </is>
      </c>
    </row>
    <row r="401" ht="36" customHeight="1">
      <c r="A401" s="12" t="inlineStr">
        <is>
          <t>PoS Transactions V6.6.0 (EMI-5914)</t>
        </is>
      </c>
      <c r="B401" s="12" t="inlineStr">
        <is>
          <t>PTS Retrieval &amp; Parsing</t>
        </is>
      </c>
      <c r="C401" s="12" t="inlineStr">
        <is>
          <t>Exception</t>
        </is>
      </c>
      <c r="D401" s="13" t="inlineStr">
        <is>
          <t>TC-PTS-09</t>
        </is>
      </c>
      <c r="E401" s="12" t="inlineStr">
        <is>
          <t>Date With No Activity — E20</t>
        </is>
      </c>
      <c r="F401" s="13" t="inlineStr">
        <is>
          <t>Medium</t>
        </is>
      </c>
      <c r="G401" s="12" t="inlineStr">
        <is>
          <t>A pull date returns no rows</t>
        </is>
      </c>
      <c r="H401" s="12" t="inlineStr">
        <is>
          <t>1. Pull a date with no activity
2. Inspect the outcome</t>
        </is>
      </c>
      <c r="I401" s="12" t="inlineStr">
        <is>
          <t>E20 raised (absence is not treated as 'no activity') unless ANB's documented empty-response form is received (O20).</t>
        </is>
      </c>
      <c r="J401" s="13" t="inlineStr">
        <is>
          <t>NA</t>
        </is>
      </c>
      <c r="K401" s="13" t="inlineStr">
        <is>
          <t>Functional</t>
        </is>
      </c>
    </row>
    <row r="402" ht="36" customHeight="1">
      <c r="A402" s="12" t="inlineStr">
        <is>
          <t>PoS Transactions V6.6.0 (EMI-5914)</t>
        </is>
      </c>
      <c r="B402" s="12" t="inlineStr">
        <is>
          <t>PTS Retrieval &amp; Parsing</t>
        </is>
      </c>
      <c r="C402" s="12" t="inlineStr">
        <is>
          <t>Functional</t>
        </is>
      </c>
      <c r="D402" s="13" t="inlineStr">
        <is>
          <t>TC-PTS-10</t>
        </is>
      </c>
      <c r="E402" s="12" t="inlineStr">
        <is>
          <t>Look-Back Window Picks Up a Late-Arriving D+1 Row</t>
        </is>
      </c>
      <c r="F402" s="13" t="inlineStr">
        <is>
          <t>High</t>
        </is>
      </c>
      <c r="G402" s="12" t="inlineStr">
        <is>
          <t>A transaction dated D appears only in the D+1 file (POSTING_DATE is T+1 in ANB's sample)</t>
        </is>
      </c>
      <c r="H402" s="12" t="inlineStr">
        <is>
          <t>1. Pull date D — row absent
2. Pull date D+1 within the look-back window
3. Inspect which LOCALDATE the row is keyed on</t>
        </is>
      </c>
      <c r="I402" s="12" t="inlineStr">
        <is>
          <t>The row is picked up by the look-back window and keyed on its own LOCALDATE, not the pull date it happened to appear in.</t>
        </is>
      </c>
      <c r="J402" s="13" t="inlineStr">
        <is>
          <t>NA</t>
        </is>
      </c>
      <c r="K402" s="13" t="inlineStr">
        <is>
          <t>Functional</t>
        </is>
      </c>
    </row>
    <row r="403" ht="36" customHeight="1">
      <c r="A403" s="12" t="inlineStr">
        <is>
          <t>PoS Transactions V6.6.0 (EMI-5914)</t>
        </is>
      </c>
      <c r="B403" s="12" t="inlineStr">
        <is>
          <t>PTS Retrieval &amp; Parsing</t>
        </is>
      </c>
      <c r="C403" s="12" t="inlineStr">
        <is>
          <t>Exception</t>
        </is>
      </c>
      <c r="D403" s="13" t="inlineStr">
        <is>
          <t>TC-PTS-11</t>
        </is>
      </c>
      <c r="E403" s="12" t="inlineStr">
        <is>
          <t>Identity-Key Collision With Differing Content</t>
        </is>
      </c>
      <c r="F403" s="13" t="inlineStr">
        <is>
          <t>High</t>
        </is>
      </c>
      <c r="G403" s="12" t="inlineStr">
        <is>
          <t>Two rows share TERMINAL_ID + TR_ARF + LOCALDATE but have different content</t>
        </is>
      </c>
      <c r="H403" s="12" t="inlineStr">
        <is>
          <t>1. Ingest both rows
2. Inspect how the collision is handled</t>
        </is>
      </c>
      <c r="I403" s="12" t="inlineStr">
        <is>
          <t>The collision is surfaced explicitly — never silently deduplicated. Ties to O35 (RRN uniqueness per terminal per day not yet guaranteed by ANB).</t>
        </is>
      </c>
      <c r="J403" s="13" t="inlineStr">
        <is>
          <t>NA</t>
        </is>
      </c>
      <c r="K403" s="13" t="inlineStr">
        <is>
          <t>Integration</t>
        </is>
      </c>
    </row>
    <row r="404" ht="36" customHeight="1">
      <c r="A404" s="12" t="inlineStr">
        <is>
          <t>PoS Transactions V6.6.0 (EMI-5914)</t>
        </is>
      </c>
      <c r="B404" s="12" t="inlineStr">
        <is>
          <t>PTS Retrieval &amp; Parsing</t>
        </is>
      </c>
      <c r="C404" s="12" t="inlineStr">
        <is>
          <t>Routing</t>
        </is>
      </c>
      <c r="D404" s="13" t="inlineStr">
        <is>
          <t>TC-PTS-12</t>
        </is>
      </c>
      <c r="E404" s="12" t="inlineStr">
        <is>
          <t>ECOM Channel Row Parked — E26</t>
        </is>
      </c>
      <c r="F404" s="13" t="inlineStr">
        <is>
          <t>Medium</t>
        </is>
      </c>
      <c r="G404" s="12" t="inlineStr">
        <is>
          <t>A row carries CHANNEL=ECOM (ECOM is out of scope pending O38)</t>
        </is>
      </c>
      <c r="H404" s="12" t="inlineStr">
        <is>
          <t>1. Ingest the row
2. Inspect its handling</t>
        </is>
      </c>
      <c r="I404" s="12" t="inlineStr">
        <is>
          <t>E26 raised: the row is parked pending O38 — not silently accepted, not silently dropped.</t>
        </is>
      </c>
      <c r="J404" s="13" t="inlineStr">
        <is>
          <t>NA</t>
        </is>
      </c>
      <c r="K404" s="13" t="inlineStr">
        <is>
          <t>Functional</t>
        </is>
      </c>
    </row>
    <row r="405" ht="36" customHeight="1">
      <c r="A405" s="12" t="inlineStr">
        <is>
          <t>PoS Transactions V6.6.0 (EMI-5914)</t>
        </is>
      </c>
      <c r="B405" s="12" t="inlineStr">
        <is>
          <t>PTS Retrieval &amp; Parsing</t>
        </is>
      </c>
      <c r="C405" s="12" t="inlineStr">
        <is>
          <t>Validation</t>
        </is>
      </c>
      <c r="D405" s="13" t="inlineStr">
        <is>
          <t>TC-PTS-13</t>
        </is>
      </c>
      <c r="E405" s="12" t="inlineStr">
        <is>
          <t>mada Scheme With Empty ARN Accepted Normally</t>
        </is>
      </c>
      <c r="F405" s="13" t="inlineStr">
        <is>
          <t>Low</t>
        </is>
      </c>
      <c r="G405" s="12" t="inlineStr">
        <is>
          <t>A row has SCHEME=mada and an empty ARN field</t>
        </is>
      </c>
      <c r="H405" s="12" t="inlineStr">
        <is>
          <t>1. Ingest the row
2. Inspect acceptance</t>
        </is>
      </c>
      <c r="I405" s="12" t="inlineStr">
        <is>
          <t>The row is accepted normally; ARN is never required (ANB state it isn't populated for mada or GCC) and is never used as a key.</t>
        </is>
      </c>
      <c r="J405" s="13" t="inlineStr">
        <is>
          <t>NA</t>
        </is>
      </c>
      <c r="K405" s="13" t="inlineStr">
        <is>
          <t>Negative</t>
        </is>
      </c>
    </row>
    <row r="406" ht="36" customHeight="1">
      <c r="A406" s="12" t="inlineStr">
        <is>
          <t>PoS Transactions V6.6.0 (EMI-5914)</t>
        </is>
      </c>
      <c r="B406" s="12" t="inlineStr">
        <is>
          <t>PTS Retrieval &amp; Parsing</t>
        </is>
      </c>
      <c r="C406" s="12" t="inlineStr">
        <is>
          <t>Validation</t>
        </is>
      </c>
      <c r="D406" s="13" t="inlineStr">
        <is>
          <t>TC-PTS-14</t>
        </is>
      </c>
      <c r="E406" s="12" t="inlineStr">
        <is>
          <t>TR_SLIP Carried Byte-for-Byte</t>
        </is>
      </c>
      <c r="F406" s="13" t="inlineStr">
        <is>
          <t>High</t>
        </is>
      </c>
      <c r="G406" s="12" t="inlineStr">
        <is>
          <t>A row's TR_SLIP has leading zeros or unusual padding</t>
        </is>
      </c>
      <c r="H406" s="12" t="inlineStr">
        <is>
          <t>1. Ingest the row
2. Inspect the TR_SLIP value handed to EMI-5989</t>
        </is>
      </c>
      <c r="I406" s="12" t="inlineStr">
        <is>
          <t>TR_SLIP is carried through byte-for-byte — never normalised, padded or trimmed by this story.</t>
        </is>
      </c>
      <c r="J406" s="13" t="inlineStr">
        <is>
          <t>NA</t>
        </is>
      </c>
      <c r="K406" s="13" t="inlineStr">
        <is>
          <t>Negative</t>
        </is>
      </c>
    </row>
    <row r="407" ht="36" customHeight="1">
      <c r="A407" s="12" t="inlineStr">
        <is>
          <t>PoS Transactions V6.6.0 (EMI-5914)</t>
        </is>
      </c>
      <c r="B407" s="12" t="inlineStr">
        <is>
          <t>PTS Retrieval &amp; Parsing</t>
        </is>
      </c>
      <c r="C407" s="12" t="inlineStr">
        <is>
          <t>Lifecycle</t>
        </is>
      </c>
      <c r="D407" s="13" t="inlineStr">
        <is>
          <t>TC-PTS-15</t>
        </is>
      </c>
      <c r="E407" s="12" t="inlineStr">
        <is>
          <t>Date Closes Out After N Stable Pulls Into D+1</t>
        </is>
      </c>
      <c r="F407" s="13" t="inlineStr">
        <is>
          <t>High</t>
        </is>
      </c>
      <c r="G407" s="12" t="inlineStr">
        <is>
          <t>A date's row content and count stop changing across N consecutive pulls, and D+1 has begun</t>
        </is>
      </c>
      <c r="H407" s="12" t="inlineStr">
        <is>
          <t>1. Observe a date stabilise across N pulls
2. Confirm close-out
3. Inspect what is published to EMI-5989</t>
        </is>
      </c>
      <c r="I407" s="12" t="inlineStr">
        <is>
          <t>The date is marked closed; row count and totals are frozen as the baseline; close-out state is published to EMI-5989.</t>
        </is>
      </c>
      <c r="J407" s="13" t="inlineStr">
        <is>
          <t>NA</t>
        </is>
      </c>
      <c r="K407" s="13" t="inlineStr">
        <is>
          <t>Functional</t>
        </is>
      </c>
    </row>
    <row r="408" ht="36" customHeight="1">
      <c r="A408" s="12" t="inlineStr">
        <is>
          <t>PoS Transactions V6.6.0 (EMI-5914)</t>
        </is>
      </c>
      <c r="B408" s="12" t="inlineStr">
        <is>
          <t>PTS Retrieval &amp; Parsing</t>
        </is>
      </c>
      <c r="C408" s="12" t="inlineStr">
        <is>
          <t>Reliability</t>
        </is>
      </c>
      <c r="D408" s="13" t="inlineStr">
        <is>
          <t>TC-PTS-16</t>
        </is>
      </c>
      <c r="E408" s="12" t="inlineStr">
        <is>
          <t>Whole-Day Outage Recovered by Catch-Up</t>
        </is>
      </c>
      <c r="F408" s="13" t="inlineStr">
        <is>
          <t>High</t>
        </is>
      </c>
      <c r="G408" s="12" t="inlineStr">
        <is>
          <t>The ANB PTS API is unavailable for an entire day</t>
        </is>
      </c>
      <c r="H408" s="12" t="inlineStr">
        <is>
          <t>1. Simulate a full-day outage
2. Restore availability
3. Run the catch-up job</t>
        </is>
      </c>
      <c r="I408" s="12" t="inlineStr">
        <is>
          <t>Catch-up re-pulls the entire look-back window within one cut-off cycle, rate-limited so it does not starve the live window.</t>
        </is>
      </c>
      <c r="J408" s="13" t="inlineStr">
        <is>
          <t>NA</t>
        </is>
      </c>
      <c r="K408" s="13" t="inlineStr">
        <is>
          <t>Functional</t>
        </is>
      </c>
    </row>
    <row r="409" ht="36" customHeight="1">
      <c r="A409" s="12" t="inlineStr">
        <is>
          <t>PoS Transactions V6.6.0 (EMI-5914)</t>
        </is>
      </c>
      <c r="B409" s="12" t="inlineStr">
        <is>
          <t>PTS Retrieval &amp; Parsing</t>
        </is>
      </c>
      <c r="C409" s="12" t="inlineStr">
        <is>
          <t>Idempotency</t>
        </is>
      </c>
      <c r="D409" s="13" t="inlineStr">
        <is>
          <t>TC-PTS-17</t>
        </is>
      </c>
      <c r="E409" s="12" t="inlineStr">
        <is>
          <t>Full Re-Run End to End Is Fully Idempotent</t>
        </is>
      </c>
      <c r="F409" s="13" t="inlineStr">
        <is>
          <t>Critical</t>
        </is>
      </c>
      <c r="G409" s="12" t="inlineStr">
        <is>
          <t>A representative multi-day period has already been fully ingested</t>
        </is>
      </c>
      <c r="H409" s="12" t="inlineStr">
        <is>
          <t>1. Re-run the entire pull/parse/validate/archive pipeline over the same period
2. Compare before/after row and exception counts</t>
        </is>
      </c>
      <c r="I409" s="12" t="inlineStr">
        <is>
          <t>No duplicates appear anywhere — the pipeline is fully idempotent end to end.</t>
        </is>
      </c>
      <c r="J409" s="13" t="inlineStr">
        <is>
          <t>NA</t>
        </is>
      </c>
      <c r="K409" s="13" t="inlineStr">
        <is>
          <t>Integration</t>
        </is>
      </c>
    </row>
    <row r="410" ht="36" customHeight="1">
      <c r="A410" s="12" t="inlineStr">
        <is>
          <t>PoS Transactions V6.6.0 (EMI-5914)</t>
        </is>
      </c>
      <c r="B410" s="12" t="inlineStr">
        <is>
          <t>PTS Retrieval &amp; Parsing</t>
        </is>
      </c>
      <c r="C410" s="12" t="inlineStr">
        <is>
          <t>Security</t>
        </is>
      </c>
      <c r="D410" s="13" t="inlineStr">
        <is>
          <t>TC-PTS-18</t>
        </is>
      </c>
      <c r="E410" s="12" t="inlineStr">
        <is>
          <t>Authentication Beyond x-cif — BLOCKED (O32)</t>
        </is>
      </c>
      <c r="F410" s="13" t="inlineStr">
        <is>
          <t>High</t>
        </is>
      </c>
      <c r="G410" s="12" t="inlineStr">
        <is>
          <t>O32 (authentication scheme beyond the x-cif header) has not been answered by ANB</t>
        </is>
      </c>
      <c r="H410" s="12" t="inlineStr">
        <is>
          <t>1. Once O32 is answered, verify the documented authentication mechanism is enforced
2. Confirm x-cif alone is never treated as authenticating the caller</t>
        </is>
      </c>
      <c r="I410" s="12" t="inlineStr">
        <is>
          <t>BLOCKED until O32 is answered. The story is explicit that 'x-cif identifies us, it does not authenticate us' — this must not be silently treated as sufficient auth.</t>
        </is>
      </c>
      <c r="J410" s="13" t="inlineStr">
        <is>
          <t>NA</t>
        </is>
      </c>
      <c r="K410" s="13" t="inlineStr">
        <is>
          <t>Security</t>
        </is>
      </c>
    </row>
    <row r="411" ht="36" customHeight="1">
      <c r="A411" s="12" t="inlineStr">
        <is>
          <t>PoS Transactions V6.6.0 (EMI-5914)</t>
        </is>
      </c>
      <c r="B411" s="12" t="inlineStr">
        <is>
          <t>PTS Retrieval &amp; Parsing</t>
        </is>
      </c>
      <c r="C411" s="12" t="inlineStr">
        <is>
          <t>Validation</t>
        </is>
      </c>
      <c r="D411" s="13" t="inlineStr">
        <is>
          <t>TC-PTS-19</t>
        </is>
      </c>
      <c r="E411" s="12" t="inlineStr">
        <is>
          <t>Physical File Format — BLOCKED (O36)</t>
        </is>
      </c>
      <c r="F411" s="13" t="inlineStr">
        <is>
          <t>High</t>
        </is>
      </c>
      <c r="G411" s="12" t="inlineStr">
        <is>
          <t>O36 (the physical file format: delimiter, encoding, header/trailer, line terminator) has not been answered by ANB</t>
        </is>
      </c>
      <c r="H411" s="12" t="inlineStr">
        <is>
          <t>1. Once O36 is answered, verify the format adapter parses the real format correctly
2. Confirm amounts are parsed by content, never by fixed offset (ANB's own Length column contradicts its description)</t>
        </is>
      </c>
      <c r="I411" s="12" t="inlineStr">
        <is>
          <t>BLOCKED until O36 is answered; build behind a format adapter in the meantime. This is the single most build-blocking open item in the story.</t>
        </is>
      </c>
      <c r="J411" s="13" t="inlineStr">
        <is>
          <t>NA</t>
        </is>
      </c>
      <c r="K411" s="13" t="inlineStr">
        <is>
          <t>Negative</t>
        </is>
      </c>
    </row>
    <row r="412" ht="36" customHeight="1">
      <c r="A412" s="12" t="inlineStr">
        <is>
          <t>PoS Transactions V6.6.0 (EMI-5914)</t>
        </is>
      </c>
      <c r="B412" s="12" t="inlineStr">
        <is>
          <t>PTS Retrieval &amp; Parsing</t>
        </is>
      </c>
      <c r="C412" s="12" t="inlineStr">
        <is>
          <t>Validation</t>
        </is>
      </c>
      <c r="D412" s="13" t="inlineStr">
        <is>
          <t>TC-PTS-20</t>
        </is>
      </c>
      <c r="E412" s="12" t="inlineStr">
        <is>
          <t>Whole-File Rejection on Parse Failure — No Partial Ingestion</t>
        </is>
      </c>
      <c r="F412" s="13" t="inlineStr">
        <is>
          <t>High</t>
        </is>
      </c>
      <c r="G412" s="12" t="inlineStr">
        <is>
          <t>A file cannot be parsed (structurally broken)</t>
        </is>
      </c>
      <c r="H412" s="12" t="inlineStr">
        <is>
          <t>1. Submit an unparsable file for a pull window
2. Inspect what, if anything, is ingested</t>
        </is>
      </c>
      <c r="I412" s="12" t="inlineStr">
        <is>
          <t>E22 raised: the whole file is rejected, re-pull is scheduled, and an alarm fires. There is no 'take the good rows' path — a half-ingested file is treated as worse than no file.</t>
        </is>
      </c>
      <c r="J412" s="13" t="inlineStr">
        <is>
          <t>NA</t>
        </is>
      </c>
      <c r="K412" s="13" t="inlineStr">
        <is>
          <t>Negative</t>
        </is>
      </c>
    </row>
    <row r="413" ht="36" customHeight="1">
      <c r="A413" s="12" t="inlineStr">
        <is>
          <t>PoS Transactions V6.6.0 (EMI-5914)</t>
        </is>
      </c>
      <c r="B413" s="12" t="inlineStr">
        <is>
          <t>PTS Retrieval &amp; Parsing</t>
        </is>
      </c>
      <c r="C413" s="12" t="inlineStr">
        <is>
          <t>Reliability</t>
        </is>
      </c>
      <c r="D413" s="13" t="inlineStr">
        <is>
          <t>TC-PTS-21</t>
        </is>
      </c>
      <c r="E413" s="12" t="inlineStr">
        <is>
          <t>Whole-Day Outage Recovered by Catch-Up</t>
        </is>
      </c>
      <c r="F413" s="13" t="inlineStr">
        <is>
          <t>High</t>
        </is>
      </c>
      <c r="G413" s="12" t="inlineStr">
        <is>
          <t>The ANB PTS API is unavailable for an entire day</t>
        </is>
      </c>
      <c r="H413" s="12" t="inlineStr">
        <is>
          <t>1. Simulate a full-day outage
2. Restore availability
3. Run catch-up</t>
        </is>
      </c>
      <c r="I413" s="12" t="inlineStr">
        <is>
          <t>Catch-up re-pulls every date in the look-back window on recovery, rate-limited so it does not starve the live/current-night window, rather than waiting for the next scheduled 23:30 slot.</t>
        </is>
      </c>
      <c r="J413" s="13" t="inlineStr">
        <is>
          <t>Not Tested</t>
        </is>
      </c>
      <c r="K413" s="13" t="inlineStr">
        <is>
          <t>Functional</t>
        </is>
      </c>
    </row>
    <row r="414" ht="36" customHeight="1">
      <c r="A414" s="12" t="inlineStr">
        <is>
          <t>PoS Transactions V6.6.0 (EMI-5914)</t>
        </is>
      </c>
      <c r="B414" s="12" t="inlineStr">
        <is>
          <t>PTS Retrieval &amp; Parsing</t>
        </is>
      </c>
      <c r="C414" s="12" t="inlineStr">
        <is>
          <t>Idempotency</t>
        </is>
      </c>
      <c r="D414" s="13" t="inlineStr">
        <is>
          <t>TC-PTS-22</t>
        </is>
      </c>
      <c r="E414" s="12" t="inlineStr">
        <is>
          <t>Full Re-Run End to End Is Fully Idempotent</t>
        </is>
      </c>
      <c r="F414" s="13" t="inlineStr">
        <is>
          <t>Critical</t>
        </is>
      </c>
      <c r="G414" s="12" t="inlineStr">
        <is>
          <t>A representative multi-day period has already been fully ingested</t>
        </is>
      </c>
      <c r="H414" s="12" t="inlineStr">
        <is>
          <t>1. Re-run the entire pull/parse/validate/archive pipeline over the same period
2. Compare before/after row and exception counts</t>
        </is>
      </c>
      <c r="I414" s="12" t="inlineStr">
        <is>
          <t>No duplicates appear anywhere — the pipeline is fully idempotent end to end.</t>
        </is>
      </c>
      <c r="J414" s="13" t="inlineStr">
        <is>
          <t>Not Tested</t>
        </is>
      </c>
      <c r="K414" s="13" t="inlineStr">
        <is>
          <t>Integration</t>
        </is>
      </c>
    </row>
    <row r="415" ht="36" customHeight="1">
      <c r="A415" s="12" t="inlineStr">
        <is>
          <t>PoS Transactions V6.6.0 (EMI-5914)</t>
        </is>
      </c>
      <c r="B415" s="12" t="inlineStr">
        <is>
          <t>PTS Retrieval &amp; Parsing</t>
        </is>
      </c>
      <c r="C415" s="12" t="inlineStr">
        <is>
          <t>Validation</t>
        </is>
      </c>
      <c r="D415" s="13" t="inlineStr">
        <is>
          <t>TC-PTS-23</t>
        </is>
      </c>
      <c r="E415" s="12" t="inlineStr">
        <is>
          <t>Header Normalisation — Double Space, Typo, En Dash</t>
        </is>
      </c>
      <c r="F415" s="13" t="inlineStr">
        <is>
          <t>High</t>
        </is>
      </c>
      <c r="G415" s="12" t="inlineStr">
        <is>
          <t>ANB's header row contains known quirks: "Client  ID" (double space), "Oder id" (typo), "MSP - Name" (non-ASCII en dash) — or ANB silently fixes one of them</t>
        </is>
      </c>
      <c r="H415" s="12" t="inlineStr">
        <is>
          <t>1. Ingest a file with the headers in their current (quirky) form
2. Ingest a file where ANB has silently corrected one header
3. Inspect mapping in both cases</t>
        </is>
      </c>
      <c r="I415" s="12" t="inlineStr">
        <is>
          <t>Headers are matched normalised (case, whitespace, dash characters) in both cases, never literally. A silent ANB fix to any of these headers must not break ingestion.</t>
        </is>
      </c>
      <c r="J415" s="13" t="inlineStr">
        <is>
          <t>Not Tested</t>
        </is>
      </c>
      <c r="K415" s="13" t="inlineStr">
        <is>
          <t>Negative</t>
        </is>
      </c>
    </row>
    <row r="416" ht="36" customHeight="1">
      <c r="A416" s="12" t="inlineStr">
        <is>
          <t>PoS Transactions V6.6.0 (EMI-5914)</t>
        </is>
      </c>
      <c r="B416" s="12" t="inlineStr">
        <is>
          <t>PTS Retrieval &amp; Parsing</t>
        </is>
      </c>
      <c r="C416" s="12" t="inlineStr">
        <is>
          <t>Validation</t>
        </is>
      </c>
      <c r="D416" s="13" t="inlineStr">
        <is>
          <t>TC-PTS-24</t>
        </is>
      </c>
      <c r="E416" s="12" t="inlineStr">
        <is>
          <t>Unrecognised Header Column — E22</t>
        </is>
      </c>
      <c r="F416" s="13" t="inlineStr">
        <is>
          <t>High</t>
        </is>
      </c>
      <c r="G416" s="12" t="inlineStr">
        <is>
          <t>The header row contains a column that cannot be mapped to the handover contract</t>
        </is>
      </c>
      <c r="H416" s="12" t="inlineStr">
        <is>
          <t>1. Ingest a file with an unmappable/unrecognised header
2. Inspect the outcome</t>
        </is>
      </c>
      <c r="I416" s="12" t="inlineStr">
        <is>
          <t>E22 is raised: the whole file is rejected loudly, re-pull is scheduled, and an alarm fires. The column is never silently ignored.</t>
        </is>
      </c>
      <c r="J416" s="13" t="inlineStr">
        <is>
          <t>Not Tested</t>
        </is>
      </c>
      <c r="K416" s="13" t="inlineStr">
        <is>
          <t>Negative</t>
        </is>
      </c>
    </row>
    <row r="417" ht="36" customHeight="1">
      <c r="A417" s="12" t="inlineStr">
        <is>
          <t>PoS Transactions V6.6.0 (EMI-5914)</t>
        </is>
      </c>
      <c r="B417" s="12" t="inlineStr">
        <is>
          <t>PTS Retrieval &amp; Parsing</t>
        </is>
      </c>
      <c r="C417" s="12" t="inlineStr">
        <is>
          <t>Validation</t>
        </is>
      </c>
      <c r="D417" s="13" t="inlineStr">
        <is>
          <t>TC-PTS-25</t>
        </is>
      </c>
      <c r="E417" s="12" t="inlineStr">
        <is>
          <t>Cross-Currency Row Requires a Conversion Rate — E24</t>
        </is>
      </c>
      <c r="F417" s="13" t="inlineStr">
        <is>
          <t>Medium</t>
        </is>
      </c>
      <c r="G417" s="12" t="inlineStr">
        <is>
          <t>A row's Currency differs from its Settlement Currency</t>
        </is>
      </c>
      <c r="H417" s="12" t="inlineStr">
        <is>
          <t>1. Ingest a cross-currency row with a present, non-zero Conversion Rate
2. Ingest a cross-currency row with an absent or zero Conversion Rate</t>
        </is>
      </c>
      <c r="I417" s="12" t="inlineStr">
        <is>
          <t>The first is accepted normally. The second raises E24. Every sample row today is SAR-to-SAR at rate 1, so this path is otherwise entirely untested against real data.</t>
        </is>
      </c>
      <c r="J417" s="13" t="inlineStr">
        <is>
          <t>Not Tested</t>
        </is>
      </c>
      <c r="K417" s="13" t="inlineStr">
        <is>
          <t>Edge / Boundary</t>
        </is>
      </c>
    </row>
    <row r="418" ht="36" customHeight="1">
      <c r="A418" s="12" t="inlineStr">
        <is>
          <t>PoS Transactions V6.6.0 (EMI-5914)</t>
        </is>
      </c>
      <c r="B418" s="12" t="inlineStr">
        <is>
          <t>PTS Retrieval &amp; Parsing</t>
        </is>
      </c>
      <c r="C418" s="12" t="inlineStr">
        <is>
          <t>Configuration</t>
        </is>
      </c>
      <c r="D418" s="13" t="inlineStr">
        <is>
          <t>TC-PTS-26</t>
        </is>
      </c>
      <c r="E418" s="12" t="inlineStr">
        <is>
          <t>Schedule Changed by Configuration, Not Release</t>
        </is>
      </c>
      <c r="F418" s="13" t="inlineStr">
        <is>
          <t>Medium</t>
        </is>
      </c>
      <c r="G418" s="12" t="inlineStr">
        <is>
          <t>The nightly run time, timezone, look-back days, retry policy/window and close-out N are all currently set to their defaults</t>
        </is>
      </c>
      <c r="H418" s="12" t="inlineStr">
        <is>
          <t>1. Change the run time and timezone via configuration
2. Confirm the change takes effect on the next scheduled run
3. Confirm no code deployment was required</t>
        </is>
      </c>
      <c r="I418" s="12" t="inlineStr">
        <is>
          <t>The new schedule takes effect without a release. No hardcoded 23:30 (or any other time) exists anywhere in the code.</t>
        </is>
      </c>
      <c r="J418" s="13" t="inlineStr">
        <is>
          <t>Not working
https://digitalcash.atlassian.net/browse/EMI-6043</t>
        </is>
      </c>
      <c r="K418" s="13" t="inlineStr">
        <is>
          <t>Configuration</t>
        </is>
      </c>
    </row>
    <row r="419" ht="36" customHeight="1">
      <c r="A419" s="12" t="inlineStr">
        <is>
          <t>PoS Transactions V6.6.0 (EMI-5914)</t>
        </is>
      </c>
      <c r="B419" s="12" t="inlineStr">
        <is>
          <t>PTS Retrieval &amp; Parsing</t>
        </is>
      </c>
      <c r="C419" s="12" t="inlineStr">
        <is>
          <t>Functional</t>
        </is>
      </c>
      <c r="D419" s="13" t="inlineStr">
        <is>
          <t>TC-PTS-27</t>
        </is>
      </c>
      <c r="E419" s="12" t="inlineStr">
        <is>
          <t>Empty Terminal Master-Data Columns Do Not Gate Ingestion</t>
        </is>
      </c>
      <c r="F419" s="13" t="inlineStr">
        <is>
          <t>Low</t>
        </is>
      </c>
      <c r="G419" s="12" t="inlineStr">
        <is>
          <t>A row's terminal master-data columns (Terminal Status, Last Transaction Date, Terminal Model, MSP-Name, Registration Date, Location, City, Branch) are all empty, as in every sample row</t>
        </is>
      </c>
      <c r="H419" s="12" t="inlineStr">
        <is>
          <t>1. Ingest the row
2. Inspect whether ingestion or settlement is affected</t>
        </is>
      </c>
      <c r="I419" s="12" t="inlineStr">
        <is>
          <t>Ingestion is unaffected. These columns are captured for reporting only and never gate settlement.</t>
        </is>
      </c>
      <c r="J419" s="13" t="inlineStr">
        <is>
          <t>Not Tested</t>
        </is>
      </c>
      <c r="K419" s="13" t="inlineStr">
        <is>
          <t>Functional</t>
        </is>
      </c>
    </row>
    <row r="420" ht="36" customHeight="1">
      <c r="A420" s="12" t="inlineStr">
        <is>
          <t>PoS Transactions V6.6.0 (EMI-5914)</t>
        </is>
      </c>
      <c r="B420" s="12" t="inlineStr">
        <is>
          <t>PTS Retrieval &amp; Parsing</t>
        </is>
      </c>
      <c r="C420" s="12" t="inlineStr">
        <is>
          <t>Validation</t>
        </is>
      </c>
      <c r="D420" s="13" t="inlineStr">
        <is>
          <t>TC-PTS-28</t>
        </is>
      </c>
      <c r="E420" s="12" t="inlineStr">
        <is>
          <t>Whole-File Rejection on Parse Failure — No Partial Ingestion</t>
        </is>
      </c>
      <c r="F420" s="13" t="inlineStr">
        <is>
          <t>High</t>
        </is>
      </c>
      <c r="G420" s="12" t="inlineStr">
        <is>
          <t>A file cannot be parsed (structurally broken, or fails halfway through)</t>
        </is>
      </c>
      <c r="H420" s="12" t="inlineStr">
        <is>
          <t>1. Submit an unparsable file, or one that fails partway through parsing, for a scheduled pull
2. Inspect what, if anything, is ingested and whether the cursor moved</t>
        </is>
      </c>
      <c r="I420" s="12" t="inlineStr">
        <is>
          <t>E22 is raised: nothing is handed on and the per-date cursor does not move. There is no "take the good rows" path — a half-ingested file looks complete and is treated as worse than no file at all.</t>
        </is>
      </c>
      <c r="J420" s="13" t="inlineStr">
        <is>
          <t>https://digitalcash.atlassian.net/browse/EMI-6061</t>
        </is>
      </c>
      <c r="K420" s="13" t="inlineStr">
        <is>
          <t>Negative</t>
        </is>
      </c>
    </row>
    <row r="421" ht="36" customHeight="1">
      <c r="A421" s="12" t="inlineStr">
        <is>
          <t>PoS Transactions V6.6.0 (EMI-5914)</t>
        </is>
      </c>
      <c r="B421" s="12" t="inlineStr">
        <is>
          <t>PTS Retrieval &amp; Parsing</t>
        </is>
      </c>
      <c r="C421" s="12" t="inlineStr">
        <is>
          <t>Ops/Reporting</t>
        </is>
      </c>
      <c r="D421" s="13" t="inlineStr">
        <is>
          <t>TC-PTS-29</t>
        </is>
      </c>
      <c r="E421" s="12" t="inlineStr">
        <is>
          <t>Run Monitor Distinguishes "Did Not Run" From "Ran, Found Nothing"</t>
        </is>
      </c>
      <c r="F421" s="13" t="inlineStr">
        <is>
          <t>High</t>
        </is>
      </c>
      <c r="G421" s="12" t="inlineStr">
        <is>
          <t>A night passes during which the scheduled job never fires (vs. a night where it fires and finds no data)</t>
        </is>
      </c>
      <c r="H421" s="12" t="inlineStr">
        <is>
          <t>1. Simulate a night where the scheduler itself does not fire
2. Simulate a separate night where it fires but the pull returns no data
3. Compare what the Ops run-monitor screen shows for each</t>
        </is>
      </c>
      <c r="I421" s="12" t="inlineStr">
        <is>
          <t>The screen visibly distinguishes "did not run" from "ran and found nothing" — not only in the alert text. A missed nightly run is a business event, not an infrastructure blip, and only the "did not run" case pages.</t>
        </is>
      </c>
      <c r="J421" s="13" t="inlineStr">
        <is>
          <t>Not Tested</t>
        </is>
      </c>
      <c r="K421" s="13" t="inlineStr">
        <is>
          <t>Reporting</t>
        </is>
      </c>
    </row>
    <row r="422" ht="36" customHeight="1">
      <c r="A422" s="12" t="inlineStr">
        <is>
          <t>PoS Transactions V6.6.0 (EMI-5914)</t>
        </is>
      </c>
      <c r="B422" s="12" t="inlineStr">
        <is>
          <t>PTS Retrieval &amp; Parsing</t>
        </is>
      </c>
      <c r="C422" s="12" t="inlineStr">
        <is>
          <t>Boundary</t>
        </is>
      </c>
      <c r="D422" s="13" t="inlineStr">
        <is>
          <t>TC-PTS-30</t>
        </is>
      </c>
      <c r="E422" s="12" t="inlineStr">
        <is>
          <t>No Ledger Write Occurs During PTS Ingestion</t>
        </is>
      </c>
      <c r="F422" s="13" t="inlineStr">
        <is>
          <t>Critical</t>
        </is>
      </c>
      <c r="G422" s="12" t="inlineStr">
        <is>
          <t>A valid and fully validated PTS transaction is available for ingestion.</t>
        </is>
      </c>
      <c r="H422" s="12" t="inlineStr">
        <is>
          <t>1. Ingest the valid PTS transaction.
2. Trace the backend flow and review application logs.
3. Verify the transaction reaches Settlement Grouping &amp; Gate 1.
4. Check whether any ledger write, cash-in aggregation, or ANB /transactions call is triggered
5. Verify the transaction is not written directly to the Ledger as part of the PTS ingestion flow</t>
        </is>
      </c>
      <c r="I422" s="12" t="inlineStr">
        <is>
          <t>No such path exists anywhere in this story. It ends at a validated row handed to Settlement Grouping &amp; Gate 1; grouping, Gate 1, the aggregated cash-in and anything ledger-bearing belong to Settlement Grouping &amp; Gate 1, and matching/MT940 parsing belongs to EMI-5920.</t>
        </is>
      </c>
      <c r="J422" s="13" t="inlineStr">
        <is>
          <t>Not Tested</t>
        </is>
      </c>
      <c r="K422" s="13" t="inlineStr">
        <is>
          <t>Integration</t>
        </is>
      </c>
    </row>
    <row r="423" ht="36" customHeight="1">
      <c r="A423" s="12" t="inlineStr">
        <is>
          <t>PoS Transactions V6.6.0 (EMI-5914)</t>
        </is>
      </c>
      <c r="B423" s="12" t="inlineStr">
        <is>
          <t>PTS Retrieval &amp; Parsing</t>
        </is>
      </c>
      <c r="C423" s="12" t="inlineStr">
        <is>
          <t>Validation</t>
        </is>
      </c>
      <c r="D423" s="13" t="inlineStr">
        <is>
          <t>TC-PTS-31</t>
        </is>
      </c>
      <c r="E423" s="12" t="inlineStr">
        <is>
          <t>No VAT-Derived Assertion Exists in the Validation Code</t>
        </is>
      </c>
      <c r="F423" s="13" t="inlineStr">
        <is>
          <t>Medium</t>
        </is>
      </c>
      <c r="G423" s="12" t="inlineStr">
        <is>
          <t>Vat_Amt is not a consistent percentage of the other fee columns across sample rows (1.5 against fees of 3.5 in one row, 5 against 15 in another — neither reduces to a consistent rate)</t>
        </is>
      </c>
      <c r="H423" s="12" t="inlineStr">
        <is>
          <t>1. Review the validation/parse code path for any rule that derives or checks Vat_Amt against a percentage or formula
2. Confirm none exists</t>
        </is>
      </c>
      <c r="I423" s="12" t="inlineStr">
        <is>
          <t>No VAT-derived assertion is present anywhere in code. Per O47 (open), the gross-to-net bridge cannot be explained without ANB clarifying how Vat_Amt is derived, so none may be added until it is answered.</t>
        </is>
      </c>
      <c r="J423" s="13" t="inlineStr">
        <is>
          <t>Not Tested</t>
        </is>
      </c>
      <c r="K423" s="13" t="inlineStr">
        <is>
          <t>Negative</t>
        </is>
      </c>
    </row>
    <row r="424" ht="36" customHeight="1">
      <c r="A424" s="12" t="inlineStr">
        <is>
          <t>PoS Transactions V6.6.0 (EMI-5914)</t>
        </is>
      </c>
      <c r="B424" s="12" t="inlineStr">
        <is>
          <t>PTS Retrieval &amp; Parsing</t>
        </is>
      </c>
      <c r="C424" s="12" t="inlineStr">
        <is>
          <t>Security</t>
        </is>
      </c>
      <c r="D424" s="13" t="inlineStr">
        <is>
          <t>TC-PTS-32</t>
        </is>
      </c>
      <c r="E424" s="12" t="inlineStr">
        <is>
          <t>Authentication Beyond x-cif — BLOCKED (O32)</t>
        </is>
      </c>
      <c r="F424" s="13" t="inlineStr">
        <is>
          <t>High</t>
        </is>
      </c>
      <c r="G424" s="12" t="inlineStr">
        <is>
          <t>O32 (the authentication scheme beyond the x-cif header) has not been answered by ANB</t>
        </is>
      </c>
      <c r="H424" s="12" t="inlineStr">
        <is>
          <t>1. Once O32 is answered, verify the documented authentication mechanism is enforced
2. Confirm x-cif alone is never treated as authenticating the caller</t>
        </is>
      </c>
      <c r="I424" s="12" t="inlineStr">
        <is>
          <t>BLOCKED until O32 is answered. The story is explicit that "x-cif identifies us, it does not authenticate us" — this must not be silently treated as sufficient auth.</t>
        </is>
      </c>
      <c r="J424" s="13" t="inlineStr">
        <is>
          <t>Not Tested</t>
        </is>
      </c>
      <c r="K424" s="13" t="inlineStr">
        <is>
          <t>Security</t>
        </is>
      </c>
    </row>
    <row r="425" ht="36" customHeight="1">
      <c r="A425" s="12" t="inlineStr">
        <is>
          <t>PoS Transactions V6.6.0 (EMI-5914)</t>
        </is>
      </c>
      <c r="B425" s="12" t="inlineStr">
        <is>
          <t>PTS Retrieval &amp; Parsing</t>
        </is>
      </c>
      <c r="C425" s="12" t="inlineStr">
        <is>
          <t>Validation</t>
        </is>
      </c>
      <c r="D425" s="13" t="inlineStr">
        <is>
          <t>TC-PTS-33</t>
        </is>
      </c>
      <c r="E425" s="12" t="inlineStr">
        <is>
          <t>Date Filter Basis (Txn Date/Time vs. Settlement Date) — BLOCKED (O33)</t>
        </is>
      </c>
      <c r="F425" s="13" t="inlineStr">
        <is>
          <t>High</t>
        </is>
      </c>
      <c r="G425" s="12" t="inlineStr">
        <is>
          <t>O33 (whether the pull's date filter applies to Txn Date/Time or Settlement Date) has not been confirmed by ANB</t>
        </is>
      </c>
      <c r="H425" s="12" t="inlineStr">
        <is>
          <t>1. Once O33 is confirmed, verify the pull's date-filter adapter uses the correct field
2. Confirm the window was widened rather than assumed narrow while this was unconfirmed</t>
        </is>
      </c>
      <c r="I425" s="12" t="inlineStr">
        <is>
          <t>BLOCKED until O33 is confirmed. A 23:30 run sits directly on the day boundary, so a wrong assumption here shifts a whole day of rows; implemented behind an adapter in the meantime.</t>
        </is>
      </c>
      <c r="J425" s="13" t="inlineStr">
        <is>
          <t>Not Tested</t>
        </is>
      </c>
      <c r="K425" s="13" t="inlineStr">
        <is>
          <t>Edge / Boundary</t>
        </is>
      </c>
    </row>
    <row r="426" ht="36" customHeight="1">
      <c r="A426" s="12" t="inlineStr">
        <is>
          <t>PoS Transactions V6.6.0 (EMI-5914)</t>
        </is>
      </c>
      <c r="B426" s="12" t="inlineStr">
        <is>
          <t>PTS Retrieval &amp; Parsing</t>
        </is>
      </c>
      <c r="C426" s="12" t="inlineStr">
        <is>
          <t>Validation</t>
        </is>
      </c>
      <c r="D426" s="13" t="inlineStr">
        <is>
          <t>TC-PTS-34</t>
        </is>
      </c>
      <c r="E426" s="12" t="inlineStr">
        <is>
          <t>Physical Delivery/File Format — BLOCKED (O36)</t>
        </is>
      </c>
      <c r="F426" s="13" t="inlineStr">
        <is>
          <t>High</t>
        </is>
      </c>
      <c r="G426" s="12" t="inlineStr">
        <is>
          <t>O36 (the physical delivery format — CSV, XLSX, JSON or fixed-width) has not been confirmed by ANB</t>
        </is>
      </c>
      <c r="H426" s="12" t="inlineStr">
        <is>
          <t>1. Once O36 is confirmed, verify the format adapter parses the real delivered format correctly
2. Confirm the field-mapping logic is unchanged regardless of which format was ultimately chosen</t>
        </is>
      </c>
      <c r="I426" s="12" t="inlineStr">
        <is>
          <t>BLOCKED until O36 is confirmed; build behind a format adapter in the meantime so the mapping layer never has to change. The sample arrived as a spreadsheet, which is how it was shared, not necessarily how it will be delivered.</t>
        </is>
      </c>
      <c r="J426" s="13" t="inlineStr">
        <is>
          <t>Not Tested</t>
        </is>
      </c>
      <c r="K426" s="13" t="inlineStr">
        <is>
          <t>Negative</t>
        </is>
      </c>
    </row>
    <row r="427" ht="36" customHeight="1">
      <c r="A427" s="12" t="inlineStr">
        <is>
          <t>PoS Transactions V6.6.0 (EMI-5914)</t>
        </is>
      </c>
      <c r="B427" s="12" t="inlineStr">
        <is>
          <t>PTS Retrieval &amp; Parsing</t>
        </is>
      </c>
      <c r="C427" s="12" t="inlineStr">
        <is>
          <t>Functional</t>
        </is>
      </c>
      <c r="D427" s="13" t="inlineStr">
        <is>
          <t>TC-PTS-35</t>
        </is>
      </c>
      <c r="E427" s="12" t="inlineStr">
        <is>
          <t>Refund Handling Path — BLOCKED (O43)</t>
        </is>
      </c>
      <c r="F427" s="13" t="inlineStr">
        <is>
          <t>High</t>
        </is>
      </c>
      <c r="G427" s="12" t="inlineStr">
        <is>
          <t>O43 (how a refund ever settles, given ANB confirm the PTS carries no refunded transactions) has not been answered by ANB</t>
        </is>
      </c>
      <c r="H427" s="12" t="inlineStr">
        <is>
          <t>1. Once O43 is answered, verify refunds are handled via the confirmed mechanism (net-at-source, Adjustment Type columns, a separate file, or explicitly not at all)
2. Confirm the safeguarding line reconciles under the confirmed model</t>
        </is>
      </c>
      <c r="I427" s="12" t="inlineStr">
        <is>
          <t>BLOCKED until O43 is answered. Until then, a merchant refund's value is not visibly accounted for anywhere in this workstream, which is a live risk to the safeguarding reconciliation.</t>
        </is>
      </c>
      <c r="J427" s="13" t="inlineStr">
        <is>
          <t>Not Tested</t>
        </is>
      </c>
      <c r="K427" s="13" t="inlineStr">
        <is>
          <t>Functional</t>
        </is>
      </c>
    </row>
    <row r="428" ht="36" customHeight="1">
      <c r="A428" s="12" t="inlineStr">
        <is>
          <t>PoS Transactions V6.6.0 (EMI-5914)</t>
        </is>
      </c>
      <c r="B428" s="12" t="inlineStr">
        <is>
          <t>PTS Retrieval &amp; Parsing</t>
        </is>
      </c>
      <c r="C428" s="12" t="inlineStr">
        <is>
          <t>Non-Functional</t>
        </is>
      </c>
      <c r="D428" s="13" t="inlineStr">
        <is>
          <t>TC-PTS-36</t>
        </is>
      </c>
      <c r="E428" s="12" t="inlineStr">
        <is>
          <t>Nightly Chain Fits Before the ACH Cut-Off — BLOCKED (O52)</t>
        </is>
      </c>
      <c r="F428" s="13" t="inlineStr">
        <is>
          <t>High</t>
        </is>
      </c>
      <c r="G428" s="12" t="inlineStr">
        <is>
          <t>O52 (whether the full nightly sequence — pull, parse, group, screen, match, cut off, instruct — fits inside one night and lands before ANB's ACH cut-off, O8) has not been confirmed</t>
        </is>
      </c>
      <c r="H428" s="12" t="inlineStr">
        <is>
          <t>1. Once O52 is confirmed, time the full nightly chain end to end from the 23:30 pull through to the ACH instruction
2. Confirm it completes with headroom before the ACH cut-off</t>
        </is>
      </c>
      <c r="I428" s="12" t="inlineStr">
        <is>
          <t>BLOCKED until O52 is confirmed. The schedule has to be designed backwards from the ACH cut-off, not forwards from the pull — a 23:30 pull that finishes after the outbound cut-off delays every merchant by a day.</t>
        </is>
      </c>
      <c r="J428" s="13" t="inlineStr">
        <is>
          <t>Not Tested</t>
        </is>
      </c>
      <c r="K428" s="13" t="inlineStr">
        <is>
          <t>Performance / NFR</t>
        </is>
      </c>
    </row>
    <row r="429" ht="36" customHeight="1">
      <c r="A429" s="12" t="inlineStr">
        <is>
          <t>PoS Transactions V6.6.0 (EMI-5914)</t>
        </is>
      </c>
      <c r="B429" s="12" t="inlineStr">
        <is>
          <t>ZATCA e-invoicing</t>
        </is>
      </c>
      <c r="C429" s="12" t="inlineStr">
        <is>
          <t>Functional</t>
        </is>
      </c>
      <c r="D429" s="13" t="inlineStr">
        <is>
          <t>TC-ZATCA-01</t>
        </is>
      </c>
      <c r="E429" s="12" t="inlineStr">
        <is>
          <t>Invoice Generated for Every Charged Commission Amount</t>
        </is>
      </c>
      <c r="F429" s="13" t="inlineStr">
        <is>
          <t>High</t>
        </is>
      </c>
      <c r="G429" s="12" t="inlineStr">
        <is>
          <t>BLOCKED pending Z1 (per-transaction vs aggregated) and Z4 (invoicing cadence) — MJD Pay commission has been charged to a merchant for the agreed period</t>
        </is>
      </c>
      <c r="H429" s="12" t="inlineStr">
        <is>
          <t>1. Once Z1/Z4 are answered, charge commission for the agreed period
2. Generate the corresponding tax invoice</t>
        </is>
      </c>
      <c r="I429" s="12" t="inlineStr">
        <is>
          <t>A tax invoice is produced covering every commission amount charged in the period, at the cadence Z4 settles on (per settlement / daily / monthly).</t>
        </is>
      </c>
      <c r="J429" s="13" t="inlineStr">
        <is>
          <t>NA</t>
        </is>
      </c>
      <c r="K429" s="13" t="inlineStr">
        <is>
          <t>Functional</t>
        </is>
      </c>
    </row>
    <row r="430" ht="36" customHeight="1">
      <c r="A430" s="12" t="inlineStr">
        <is>
          <t>PoS Transactions V6.6.0 (EMI-5914)</t>
        </is>
      </c>
      <c r="B430" s="12" t="inlineStr">
        <is>
          <t>ZATCA e-invoicing</t>
        </is>
      </c>
      <c r="C430" s="12" t="inlineStr">
        <is>
          <t>Financial</t>
        </is>
      </c>
      <c r="D430" s="13" t="inlineStr">
        <is>
          <t>TC-ZATCA-02</t>
        </is>
      </c>
      <c r="E430" s="12" t="inlineStr">
        <is>
          <t>Invoice Reconciles Exactly to Deducted Amounts</t>
        </is>
      </c>
      <c r="F430" s="13" t="inlineStr">
        <is>
          <t>High</t>
        </is>
      </c>
      <c r="G430" s="12" t="inlineStr">
        <is>
          <t>BLOCKED pending Z1 — commission has been deducted from a merchant via the settlement flow</t>
        </is>
      </c>
      <c r="H430" s="12" t="inlineStr">
        <is>
          <t>1. Deduct commission through EMI-5922's settlement flow
2. Generate the invoice for the same amounts
3. Compare totals</t>
        </is>
      </c>
      <c r="I430" s="12" t="inlineStr">
        <is>
          <t>The invoice total equals the amounts actually deducted exactly. If per-transaction commission is adopted (Z1), the invoice total must equal the sum of the rounded per-transaction amounts, not a re-rounded aggregate.</t>
        </is>
      </c>
      <c r="J430" s="13" t="inlineStr">
        <is>
          <t>NA</t>
        </is>
      </c>
      <c r="K430" s="13" t="inlineStr">
        <is>
          <t>Edge / Boundary</t>
        </is>
      </c>
    </row>
    <row r="431" ht="36" customHeight="1">
      <c r="A431" s="12" t="inlineStr">
        <is>
          <t>PoS Transactions V6.6.0 (EMI-5914)</t>
        </is>
      </c>
      <c r="B431" s="12" t="inlineStr">
        <is>
          <t>ZATCA e-invoicing</t>
        </is>
      </c>
      <c r="C431" s="12" t="inlineStr">
        <is>
          <t>Functional</t>
        </is>
      </c>
      <c r="D431" s="13" t="inlineStr">
        <is>
          <t>TC-ZATCA-03</t>
        </is>
      </c>
      <c r="E431" s="12" t="inlineStr">
        <is>
          <t>Credit Note Issued for Commission Reversal, Refund or Correction</t>
        </is>
      </c>
      <c r="F431" s="13" t="inlineStr">
        <is>
          <t>Medium</t>
        </is>
      </c>
      <c r="G431" s="12" t="inlineStr">
        <is>
          <t>A previously invoiced commission amount is reversed, refunded or needs correction</t>
        </is>
      </c>
      <c r="H431" s="12" t="inlineStr">
        <is>
          <t>1. Trigger a commission reversal/refund/correction against an already-invoiced amount
2. Generate the corresponding document</t>
        </is>
      </c>
      <c r="I431" s="12" t="inlineStr">
        <is>
          <t>A credit note is issued and linked to the original invoice.</t>
        </is>
      </c>
      <c r="J431" s="13" t="inlineStr">
        <is>
          <t>NA</t>
        </is>
      </c>
      <c r="K431" s="13" t="inlineStr">
        <is>
          <t>Functional</t>
        </is>
      </c>
    </row>
    <row r="432" ht="36" customHeight="1">
      <c r="A432" s="12" t="inlineStr">
        <is>
          <t>PoS Transactions V6.6.0 (EMI-5914)</t>
        </is>
      </c>
      <c r="B432" s="12" t="inlineStr">
        <is>
          <t>ZATCA e-invoicing</t>
        </is>
      </c>
      <c r="C432" s="12" t="inlineStr">
        <is>
          <t>Compliance</t>
        </is>
      </c>
      <c r="D432" s="13" t="inlineStr">
        <is>
          <t>TC-ZATCA-04</t>
        </is>
      </c>
      <c r="E432" s="12" t="inlineStr">
        <is>
          <t>Invoice Carries Mandatory ZATCA Fields</t>
        </is>
      </c>
      <c r="F432" s="13" t="inlineStr">
        <is>
          <t>High</t>
        </is>
      </c>
      <c r="G432" s="12" t="inlineStr">
        <is>
          <t>A tax invoice is generated</t>
        </is>
      </c>
      <c r="H432" s="12" t="inlineStr">
        <is>
          <t>1. Inspect the generated invoice content</t>
        </is>
      </c>
      <c r="I432" s="12" t="inlineStr">
        <is>
          <t>Invoice carries at minimum: our VAT registration number, the merchant's VAT registration number, invoice date and number, description of supply, taxable amount, VAT rate, VAT amount and total.</t>
        </is>
      </c>
      <c r="J432" s="13" t="inlineStr">
        <is>
          <t>NA</t>
        </is>
      </c>
      <c r="K432" s="13" t="inlineStr">
        <is>
          <t>Edge / Boundary</t>
        </is>
      </c>
    </row>
    <row r="433" ht="36" customHeight="1">
      <c r="A433" s="12" t="inlineStr">
        <is>
          <t>PoS Transactions V6.6.0 (EMI-5914)</t>
        </is>
      </c>
      <c r="B433" s="12" t="inlineStr">
        <is>
          <t>ZATCA e-invoicing</t>
        </is>
      </c>
      <c r="C433" s="12" t="inlineStr">
        <is>
          <t>Compliance</t>
        </is>
      </c>
      <c r="D433" s="13" t="inlineStr">
        <is>
          <t>TC-ZATCA-05</t>
        </is>
      </c>
      <c r="E433" s="12" t="inlineStr">
        <is>
          <t>ZATCA e-Invoicing Technical Compliance (XML/UUID/Hash Chain/Stamp/QR)</t>
        </is>
      </c>
      <c r="F433" s="13" t="inlineStr">
        <is>
          <t>High</t>
        </is>
      </c>
      <c r="G433" s="12" t="inlineStr">
        <is>
          <t>BLOCKED pending confirmation of which ZATCA regime applies (Z3-dependent)</t>
        </is>
      </c>
      <c r="H433" s="12" t="inlineStr">
        <is>
          <t>1. Once the applicable ZATCA category is confirmed, generate an invoice
2. Validate its XML format, UUID and hash chain, cryptographic stamp, and QR code</t>
        </is>
      </c>
      <c r="I433" s="12" t="inlineStr">
        <is>
          <t>The invoice conforms to ZATCA e-invoicing requirements for the applicable category.</t>
        </is>
      </c>
      <c r="J433" s="13" t="inlineStr">
        <is>
          <t>NA</t>
        </is>
      </c>
      <c r="K433" s="13" t="inlineStr">
        <is>
          <t>Compliance</t>
        </is>
      </c>
    </row>
    <row r="434" ht="36" customHeight="1">
      <c r="A434" s="12" t="inlineStr">
        <is>
          <t>PoS Transactions V6.6.0 (EMI-5914)</t>
        </is>
      </c>
      <c r="B434" s="12" t="inlineStr">
        <is>
          <t>ZATCA e-invoicing</t>
        </is>
      </c>
      <c r="C434" s="12" t="inlineStr">
        <is>
          <t>Compliance</t>
        </is>
      </c>
      <c r="D434" s="13" t="inlineStr">
        <is>
          <t>TC-ZATCA-06</t>
        </is>
      </c>
      <c r="E434" s="12" t="inlineStr">
        <is>
          <t>Clearance vs Reporting Model Routing — BLOCKED (Z3)</t>
        </is>
      </c>
      <c r="F434" s="13" t="inlineStr">
        <is>
          <t>High</t>
        </is>
      </c>
      <c r="G434" s="12" t="inlineStr">
        <is>
          <t>Z3 (are merchants VAT-registered B2B businesses in all cases, or can a merchant be an individual?) is unanswered</t>
        </is>
      </c>
      <c r="H434" s="12" t="inlineStr">
        <is>
          <t>1. Once Z3 is answered, confirm invoices route through the clearance model (standard tax invoices) or the reporting model (simplified invoices) as applicable</t>
        </is>
      </c>
      <c r="I434" s="12" t="inlineStr">
        <is>
          <t>BLOCKED until Z3 is confirmed with Tax — the story explicitly states this determines which ZATCA regime applies.</t>
        </is>
      </c>
      <c r="J434" s="13" t="inlineStr">
        <is>
          <t>NA</t>
        </is>
      </c>
      <c r="K434" s="13" t="inlineStr">
        <is>
          <t>Compliance</t>
        </is>
      </c>
    </row>
    <row r="435" ht="36" customHeight="1">
      <c r="A435" s="12" t="inlineStr">
        <is>
          <t>PoS Transactions V6.6.0 (EMI-5914)</t>
        </is>
      </c>
      <c r="B435" s="12" t="inlineStr">
        <is>
          <t>ZATCA e-invoicing</t>
        </is>
      </c>
      <c r="C435" s="12" t="inlineStr">
        <is>
          <t>Reliability</t>
        </is>
      </c>
      <c r="D435" s="13" t="inlineStr">
        <is>
          <t>TC-ZATCA-07</t>
        </is>
      </c>
      <c r="E435" s="12" t="inlineStr">
        <is>
          <t>Sequence Integrity Survives Failed Submission and Retry</t>
        </is>
      </c>
      <c r="F435" s="13" t="inlineStr">
        <is>
          <t>Medium</t>
        </is>
      </c>
      <c r="G435" s="12" t="inlineStr">
        <is>
          <t>An invoice submission to ZATCA fails and is retried</t>
        </is>
      </c>
      <c r="H435" s="12" t="inlineStr">
        <is>
          <t>1. Submit an invoice that fails
2. Retry the submission
3. Inspect the invoice number sequence</t>
        </is>
      </c>
      <c r="I435" s="12" t="inlineStr">
        <is>
          <t>No gaps and no reuse occur in the sequence; the chain survives the failed submission and retry intact.</t>
        </is>
      </c>
      <c r="J435" s="13" t="inlineStr">
        <is>
          <t>NA</t>
        </is>
      </c>
      <c r="K435" s="13" t="inlineStr">
        <is>
          <t>Negative</t>
        </is>
      </c>
    </row>
    <row r="436" ht="36" customHeight="1">
      <c r="A436" s="12" t="inlineStr">
        <is>
          <t>PoS Transactions V6.6.0 (EMI-5914)</t>
        </is>
      </c>
      <c r="B436" s="12" t="inlineStr">
        <is>
          <t>ZATCA e-invoicing</t>
        </is>
      </c>
      <c r="C436" s="12" t="inlineStr">
        <is>
          <t>Reliability</t>
        </is>
      </c>
      <c r="D436" s="13" t="inlineStr">
        <is>
          <t>TC-ZATCA-08</t>
        </is>
      </c>
      <c r="E436" s="12" t="inlineStr">
        <is>
          <t>Submission Failure Queued, Retried and Alarmed — Never Silently Dropped</t>
        </is>
      </c>
      <c r="F436" s="13" t="inlineStr">
        <is>
          <t>Medium</t>
        </is>
      </c>
      <c r="G436" s="12" t="inlineStr">
        <is>
          <t>ZATCA submission fails for reasons outside sequence integrity (e.g. platform outage)</t>
        </is>
      </c>
      <c r="H436" s="12" t="inlineStr">
        <is>
          <t>1. Simulate a ZATCA submission failure
2. Inspect queueing, retry and alarming behaviour
3. Confirm no operational transaction is blocked by the failure</t>
        </is>
      </c>
      <c r="I436" s="12" t="inlineStr">
        <is>
          <t>The failure is queued, retried and alarmed; it blocks nothing operationally but is never silently dropped.</t>
        </is>
      </c>
      <c r="J436" s="13" t="inlineStr">
        <is>
          <t>NA</t>
        </is>
      </c>
      <c r="K436" s="13" t="inlineStr">
        <is>
          <t>Negative</t>
        </is>
      </c>
    </row>
    <row r="437" ht="36" customHeight="1">
      <c r="A437" s="12" t="inlineStr">
        <is>
          <t>PoS Transactions V6.6.0 (EMI-5914)</t>
        </is>
      </c>
      <c r="B437" s="12" t="inlineStr">
        <is>
          <t>ZATCA e-invoicing</t>
        </is>
      </c>
      <c r="C437" s="12" t="inlineStr">
        <is>
          <t>Functional</t>
        </is>
      </c>
      <c r="D437" s="13" t="inlineStr">
        <is>
          <t>TC-ZATCA-09</t>
        </is>
      </c>
      <c r="E437" s="12" t="inlineStr">
        <is>
          <t>Merchant Portal Invoice Retrieval Linked to Settlement</t>
        </is>
      </c>
      <c r="F437" s="13" t="inlineStr">
        <is>
          <t>Medium</t>
        </is>
      </c>
      <c r="G437" s="12" t="inlineStr">
        <is>
          <t>A settlement has an associated cleared invoice</t>
        </is>
      </c>
      <c r="H437" s="12" t="inlineStr">
        <is>
          <t>1. Open the merchant portal
2. Retrieve invoices
3. Confirm the settlement statement links to the covering invoice</t>
        </is>
      </c>
      <c r="I437" s="12" t="inlineStr">
        <is>
          <t>The merchant can retrieve their invoices, and each settlement in their statement links to the invoice that covers it.</t>
        </is>
      </c>
      <c r="J437" s="13" t="inlineStr">
        <is>
          <t>NA</t>
        </is>
      </c>
      <c r="K437" s="13" t="inlineStr">
        <is>
          <t>Functional</t>
        </is>
      </c>
    </row>
    <row r="438" ht="36" customHeight="1">
      <c r="A438" s="12" t="inlineStr">
        <is>
          <t>PoS Transactions V6.6.0 (EMI-5914)</t>
        </is>
      </c>
      <c r="B438" s="12" t="inlineStr">
        <is>
          <t>ZATCA e-invoicing</t>
        </is>
      </c>
      <c r="C438" s="12" t="inlineStr">
        <is>
          <t>Functional</t>
        </is>
      </c>
      <c r="D438" s="13" t="inlineStr">
        <is>
          <t>TC-ZATCA-10</t>
        </is>
      </c>
      <c r="E438" s="12" t="inlineStr">
        <is>
          <t>Per-Transaction Breakdown Behind Invoice Total — BLOCKED (Z1)</t>
        </is>
      </c>
      <c r="F438" s="13" t="inlineStr">
        <is>
          <t>Low</t>
        </is>
      </c>
      <c r="G438" s="12" t="inlineStr">
        <is>
          <t>BLOCKED pending Z1 — commission is computed per transaction (one of the two Z1 outcomes)</t>
        </is>
      </c>
      <c r="H438" s="12" t="inlineStr">
        <is>
          <t>1. Once Z1 confirms per-transaction commission, open an invoice in the merchant portal
2. Drill into the per-transaction breakdown behind the invoice total</t>
        </is>
      </c>
      <c r="I438" s="12" t="inlineStr">
        <is>
          <t>Where commission is computed per transaction, the merchant can see the per-transaction breakdown behind the invoice total. Not applicable if Z1 resolves to a single aggregated charge.</t>
        </is>
      </c>
      <c r="J438" s="13" t="inlineStr">
        <is>
          <t>NA</t>
        </is>
      </c>
      <c r="K438" s="13" t="inlineStr">
        <is>
          <t>Functional</t>
        </is>
      </c>
    </row>
    <row r="439" ht="36" customHeight="1">
      <c r="A439" s="12" t="inlineStr">
        <is>
          <t>PoS Transactions V6.6.0 (EMI-5914)</t>
        </is>
      </c>
      <c r="B439" s="12" t="inlineStr">
        <is>
          <t>ZATCA e-invoicing</t>
        </is>
      </c>
      <c r="C439" s="12" t="inlineStr">
        <is>
          <t>Audit</t>
        </is>
      </c>
      <c r="D439" s="13" t="inlineStr">
        <is>
          <t>TC-ZATCA-11</t>
        </is>
      </c>
      <c r="E439" s="12" t="inlineStr">
        <is>
          <t>Retention and Audit Logging of Issue/Submission/Clearance/Credit Note</t>
        </is>
      </c>
      <c r="F439" s="13" t="inlineStr">
        <is>
          <t>Medium</t>
        </is>
      </c>
      <c r="G439" s="12" t="inlineStr">
        <is>
          <t>Invoices have been issued, submitted, cleared, and one credit note has been raised</t>
        </is>
      </c>
      <c r="H439" s="12" t="inlineStr">
        <is>
          <t>1. Inspect retention of the invoice and its submission receipt
2. Inspect the audit log for issue, submission, clearance and credit-note events</t>
        </is>
      </c>
      <c r="I439" s="12" t="inlineStr">
        <is>
          <t>Records are retained per ZATCA and SAMA retention requirements; every one of the four event types is audit-logged.</t>
        </is>
      </c>
      <c r="J439" s="13" t="inlineStr">
        <is>
          <t>NA</t>
        </is>
      </c>
      <c r="K439" s="13" t="inlineStr">
        <is>
          <t>Security</t>
        </is>
      </c>
    </row>
    <row r="440" ht="36" customHeight="1">
      <c r="A440" s="12" t="inlineStr">
        <is>
          <t>PoS Transactions V6.6.0 (EMI-5914)</t>
        </is>
      </c>
      <c r="B440" s="12" t="inlineStr">
        <is>
          <t>ZATCA e-invoicing</t>
        </is>
      </c>
      <c r="C440" s="12" t="inlineStr">
        <is>
          <t>Boundary</t>
        </is>
      </c>
      <c r="D440" s="13" t="inlineStr">
        <is>
          <t>TC-ZATCA-12</t>
        </is>
      </c>
      <c r="E440" s="12" t="inlineStr">
        <is>
          <t>MJD Pay Never Invoices ANB's Own Fees (Z2 Scope Separation)</t>
        </is>
      </c>
      <c r="F440" s="13" t="inlineStr">
        <is>
          <t>High</t>
        </is>
      </c>
      <c r="G440" s="12" t="inlineStr">
        <is>
          <t>A settlement includes both MJD Pay's commission and ANB's TR_COM/TR_VAT/TR_FEE deductions</t>
        </is>
      </c>
      <c r="H440" s="12" t="inlineStr">
        <is>
          <t>1. Generate the merchant invoice for the settlement period
2. Inspect what is and isn't included as MJD Pay's taxable supply</t>
        </is>
      </c>
      <c r="I440" s="12" t="inlineStr">
        <is>
          <t>Only MJD Pay's own commission appears on MJD Pay's tax invoice; ANB's commission/VAT/fee figures are recorded (per EMI-5991) but are never invoiced by MJD Pay to the merchant — they are ANB's supply, not ours.</t>
        </is>
      </c>
      <c r="J440" s="13" t="inlineStr">
        <is>
          <t>NA</t>
        </is>
      </c>
      <c r="K440" s="13" t="inlineStr">
        <is>
          <t>Edge / Boundary</t>
        </is>
      </c>
    </row>
    <row r="441" ht="36" customHeight="1">
      <c r="A441" s="12" t="inlineStr">
        <is>
          <t>PoS Transactions V6.6.0 (EMI-5914)</t>
        </is>
      </c>
      <c r="B441" s="12" t="inlineStr">
        <is>
          <t>E2E Business Flows</t>
        </is>
      </c>
      <c r="C441" s="12" t="inlineStr">
        <is>
          <t>E2E - Card Rail</t>
        </is>
      </c>
      <c r="D441" s="13" t="inlineStr">
        <is>
          <t>TC-E2E-01</t>
        </is>
      </c>
      <c r="E441" s="12" t="inlineStr">
        <is>
          <t>Full Card Sale to Cleared Merchant Wallet Credit</t>
        </is>
      </c>
      <c r="F441" s="13" t="inlineStr">
        <is>
          <t>High</t>
        </is>
      </c>
      <c r="G441" s="12" t="inlineStr">
        <is>
          <t>Terminal linked to a compliant merchant wallet; ANB PTS settlement report available for the trading date; PoS commission scheme configured</t>
        </is>
      </c>
      <c r="H441" s="12" t="inlineStr">
        <is>
          <t>1. Capture a PURCHASE callback for the terminal (EMI-5915)
2. Confirm the per-TID ledger entry and that no wallet entry exists yet
3. Retrieve and parse the ANB settlement report for the date (EMI-5991)
4. Let settlement grouping form the batch and run Gate 1 (EMI-5989)
5. Let the aggregated cash-in be priced (EMI-5921) and ACH/VIBAN prepared (EMI-5922)
6. Confirm the three-way match (EMI-5920)
7. Read the merchant wallet</t>
        </is>
      </c>
      <c r="I441" s="12" t="inlineStr">
        <is>
          <t>The sale flows callback -&gt; ledger -&gt; PTS row -&gt; batch -&gt; Gate 1 -&gt; aggregated cash-in -&gt; commission and VAT -&gt; ACH/VIBAN -&gt; cleared merchant credit. Amounts tie at every hop; the three-way match balances; the merchant is credited the batch net less MJD Pay commission and VAT, and no other fee</t>
        </is>
      </c>
      <c r="J441" s="13" t="inlineStr">
        <is>
          <t>Not Tested</t>
        </is>
      </c>
      <c r="K441" s="13" t="inlineStr">
        <is>
          <t>Functional</t>
        </is>
      </c>
    </row>
    <row r="442" ht="36" customHeight="1">
      <c r="A442" s="12" t="inlineStr">
        <is>
          <t>PoS Transactions V6.6.0 (EMI-5914)</t>
        </is>
      </c>
      <c r="B442" s="12" t="inlineStr">
        <is>
          <t>E2E Business Flows</t>
        </is>
      </c>
      <c r="C442" s="12" t="inlineStr">
        <is>
          <t>E2E - Card Rail</t>
        </is>
      </c>
      <c r="D442" s="13" t="inlineStr">
        <is>
          <t>TC-E2E-02</t>
        </is>
      </c>
      <c r="E442" s="12" t="inlineStr">
        <is>
          <t>Cleared Settlement Produces a ZATCA Tax Invoice for the Commission</t>
        </is>
      </c>
      <c r="F442" s="13" t="inlineStr">
        <is>
          <t>High</t>
        </is>
      </c>
      <c r="G442" s="12" t="inlineStr">
        <is>
          <t>A settlement batch has cleared and commission has been charged; ZATCA e-invoicing enabled (EMI-6018)</t>
        </is>
      </c>
      <c r="H442" s="12" t="inlineStr">
        <is>
          <t>1. Complete TC-E2E-01 through to the cleared credit
2. Inspect the invoice issued for the MJD Pay commission
3. Compare the invoice amounts with the posted commission and VAT entries</t>
        </is>
      </c>
      <c r="I442" s="12" t="inlineStr">
        <is>
          <t>A ZATCA-compliant tax invoice is issued to the merchant for the MJD Pay commission; its amounts reconcile exactly with the posted commission and VAT entries for that batch</t>
        </is>
      </c>
      <c r="J442" s="13" t="inlineStr">
        <is>
          <t>Not Tested</t>
        </is>
      </c>
      <c r="K442" s="13" t="inlineStr">
        <is>
          <t>Edge / Boundary</t>
        </is>
      </c>
    </row>
    <row r="443" ht="36" customHeight="1">
      <c r="A443" s="12" t="inlineStr">
        <is>
          <t>PoS Transactions V6.6.0 (EMI-5914)</t>
        </is>
      </c>
      <c r="B443" s="12" t="inlineStr">
        <is>
          <t>E2E Business Flows</t>
        </is>
      </c>
      <c r="C443" s="12" t="inlineStr">
        <is>
          <t>E2E - Card Rail</t>
        </is>
      </c>
      <c r="D443" s="13" t="inlineStr">
        <is>
          <t>TC-E2E-03</t>
        </is>
      </c>
      <c r="E443" s="12" t="inlineStr">
        <is>
          <t>Same-Day Void Leaves No Settlement Trace</t>
        </is>
      </c>
      <c r="F443" s="13" t="inlineStr">
        <is>
          <t>High</t>
        </is>
      </c>
      <c r="G443" s="12" t="inlineStr">
        <is>
          <t>A same-day PURCHASE authorization captured and not yet settled</t>
        </is>
      </c>
      <c r="H443" s="12" t="inlineStr">
        <is>
          <t>1. Capture the PURCHASE
2. Capture a VOID referencing it (EMI-5919)
3. Run settlement retrieval, grouping and reconciliation for the date
4. Inspect batches, the aggregate, the merchant wallet and the discrepancy queue</t>
        </is>
      </c>
      <c r="I443" s="12" t="inlineStr">
        <is>
          <t>The authorization is reversed; no batch member, no aggregated cash-in, no ACH item and no wallet movement is produced; reconciliation raises no discrepancy for the voided pair</t>
        </is>
      </c>
      <c r="J443" s="13" t="inlineStr">
        <is>
          <t>Not Tested</t>
        </is>
      </c>
      <c r="K443" s="13" t="inlineStr">
        <is>
          <t>Integration</t>
        </is>
      </c>
    </row>
    <row r="444" ht="36" customHeight="1">
      <c r="A444" s="12" t="inlineStr">
        <is>
          <t>PoS Transactions V6.6.0 (EMI-5914)</t>
        </is>
      </c>
      <c r="B444" s="12" t="inlineStr">
        <is>
          <t>E2E Business Flows</t>
        </is>
      </c>
      <c r="C444" s="12" t="inlineStr">
        <is>
          <t>E2E - Card Rail</t>
        </is>
      </c>
      <c r="D444" s="13" t="inlineStr">
        <is>
          <t>TC-E2E-04</t>
        </is>
      </c>
      <c r="E444" s="12" t="inlineStr">
        <is>
          <t>Settled Sale Then Refund at Terminal - Exposure Without a Debit</t>
        </is>
      </c>
      <c r="F444" s="13" t="inlineStr">
        <is>
          <t>High</t>
        </is>
      </c>
      <c r="G444" s="12" t="inlineStr">
        <is>
          <t>A sale has settled and the merchant has been credited</t>
        </is>
      </c>
      <c r="H444" s="12" t="inlineStr">
        <is>
          <t>1. Complete TC-E2E-01 for a sale
2. Capture a REFUND against it at the terminal (EMI-5918)
3. Run the next settlement, reconciliation and ACH cycles
4. Read the merchant wallet balance and the Finance safeguarding report</t>
        </is>
      </c>
      <c r="I444" s="12" t="inlineStr">
        <is>
          <t>The refund is captured and linked, the original is flagged refunded, and the merchant wallet is never debited anywhere in the chain. The value appears in the E34 exposure total as a memo line outside the reconciling total, and the reconciling line still reconciles</t>
        </is>
      </c>
      <c r="J444" s="13" t="inlineStr">
        <is>
          <t>Not Tested</t>
        </is>
      </c>
      <c r="K444" s="13" t="inlineStr">
        <is>
          <t>Functional</t>
        </is>
      </c>
    </row>
    <row r="445" ht="36" customHeight="1">
      <c r="A445" s="12" t="inlineStr">
        <is>
          <t>PoS Transactions V6.6.0 (EMI-5914)</t>
        </is>
      </c>
      <c r="B445" s="12" t="inlineStr">
        <is>
          <t>E2E Business Flows</t>
        </is>
      </c>
      <c r="C445" s="12" t="inlineStr">
        <is>
          <t>E2E - Wallet Rail</t>
        </is>
      </c>
      <c r="D445" s="13" t="inlineStr">
        <is>
          <t>TC-E2E-05</t>
        </is>
      </c>
      <c r="E445" s="12" t="inlineStr">
        <is>
          <t>Wallet Payment at Terminal, End to End and Fully Isolated</t>
        </is>
      </c>
      <c r="F445" s="13" t="inlineStr">
        <is>
          <t>High</t>
        </is>
      </c>
      <c r="G445" s="12" t="inlineStr">
        <is>
          <t>Customer and merchant wallets active, compliant and funded; terminal online</t>
        </is>
      </c>
      <c r="H445" s="12" t="inlineStr">
        <is>
          <t>1. Run a wallet payment at the terminal through to approval (EMI-5917)
2. Confirm the merchant credit is spendable at once
3. Receive the InterSoft confirmation callback
4. Search the settlement batches, PTS rows, reconciliation sets and ACH items for the payment</t>
        </is>
      </c>
      <c r="I445" s="12" t="inlineStr">
        <is>
          <t>Money moves internally and immediately from customer to merchant, spendable at once, priced by the commission engine. The payment appears in no batch, no PTS row, no reconciliation set and no ACH item, and no Gate 3 is evaluated</t>
        </is>
      </c>
      <c r="J445" s="13" t="inlineStr">
        <is>
          <t>Not Tested</t>
        </is>
      </c>
      <c r="K445" s="13" t="inlineStr">
        <is>
          <t>Functional</t>
        </is>
      </c>
    </row>
    <row r="446" ht="36" customHeight="1">
      <c r="A446" s="12" t="inlineStr">
        <is>
          <t>PoS Transactions V6.6.0 (EMI-5914)</t>
        </is>
      </c>
      <c r="B446" s="12" t="inlineStr">
        <is>
          <t>E2E Business Flows</t>
        </is>
      </c>
      <c r="C446" s="12" t="inlineStr">
        <is>
          <t>E2E - Wallet Rail</t>
        </is>
      </c>
      <c r="D446" s="13" t="inlineStr">
        <is>
          <t>TC-E2E-06</t>
        </is>
      </c>
      <c r="E446" s="12" t="inlineStr">
        <is>
          <t>Wallet Payment With No Confirmation - Full Reversal to Starting Positions</t>
        </is>
      </c>
      <c r="F446" s="13" t="inlineStr">
        <is>
          <t>High</t>
        </is>
      </c>
      <c r="G446" s="12" t="inlineStr">
        <is>
          <t>A wallet payment approved; confirmation callback suppressed</t>
        </is>
      </c>
      <c r="H446" s="12" t="inlineStr">
        <is>
          <t>1. Record both starting balances
2. Approve a wallet payment
3. Withhold the confirmation past 15 minutes
4. After the reversal, send the late confirmation
5. Re-read both balances and the commission entries</t>
        </is>
      </c>
      <c r="I446" s="12" t="inlineStr">
        <is>
          <t>The payment auto-reverses, returning both parties exactly to their starting positions including any commission; the late confirmation is recorded and alarmed but never re-applied</t>
        </is>
      </c>
      <c r="J446" s="13" t="inlineStr">
        <is>
          <t>Not Tested</t>
        </is>
      </c>
      <c r="K446" s="13" t="inlineStr">
        <is>
          <t>Edge / Boundary</t>
        </is>
      </c>
    </row>
    <row r="447" ht="36" customHeight="1">
      <c r="A447" s="12" t="inlineStr">
        <is>
          <t>PoS Transactions V6.6.0 (EMI-5914)</t>
        </is>
      </c>
      <c r="B447" s="12" t="inlineStr">
        <is>
          <t>E2E Business Flows</t>
        </is>
      </c>
      <c r="C447" s="12" t="inlineStr">
        <is>
          <t>E2E - Compliance</t>
        </is>
      </c>
      <c r="D447" s="13" t="inlineStr">
        <is>
          <t>TC-E2E-07</t>
        </is>
      </c>
      <c r="E447" s="12" t="inlineStr">
        <is>
          <t>Gate 1 Compliance Hold Blocks the Batch Credit End to End</t>
        </is>
      </c>
      <c r="F447" s="13" t="inlineStr">
        <is>
          <t>High</t>
        </is>
      </c>
      <c r="G447" s="12" t="inlineStr">
        <is>
          <t>A merchant in a compliance state that Gate 1 holds on (EMI-5923); a settlement batch due for that merchant</t>
        </is>
      </c>
      <c r="H447" s="12" t="inlineStr">
        <is>
          <t>1. Run the batch through grouping and Gate 1
2. Inspect the wallet ledger, the held-batch queue and the merchant's surfaces
3. Attempt to release or partially credit the held batch from every available surface</t>
        </is>
      </c>
      <c r="I447" s="12" t="inlineStr">
        <is>
          <t>Gate 1 produces COMPLIANCE_HOLD; no wallet ledger entry is written and no partial credit is possible; the held-batch queue offers no release or partial-credit action; the merchant sees a neutral state with no compliance detail</t>
        </is>
      </c>
      <c r="J447" s="13" t="inlineStr">
        <is>
          <t>Not Tested</t>
        </is>
      </c>
      <c r="K447" s="13" t="inlineStr">
        <is>
          <t>Compliance</t>
        </is>
      </c>
    </row>
    <row r="448" ht="36" customHeight="1">
      <c r="A448" s="12" t="inlineStr">
        <is>
          <t>PoS Transactions V6.6.0 (EMI-5914)</t>
        </is>
      </c>
      <c r="B448" s="12" t="inlineStr">
        <is>
          <t>E2E Business Flows</t>
        </is>
      </c>
      <c r="C448" s="12" t="inlineStr">
        <is>
          <t>E2E - Reconciliation</t>
        </is>
      </c>
      <c r="D448" s="13" t="inlineStr">
        <is>
          <t>TC-E2E-08</t>
        </is>
      </c>
      <c r="E448" s="12" t="inlineStr">
        <is>
          <t>Three-Way Match Across Callbacks, PTS Rows and the Batch Aggregate</t>
        </is>
      </c>
      <c r="F448" s="13" t="inlineStr">
        <is>
          <t>High</t>
        </is>
      </c>
      <c r="G448" s="12" t="inlineStr">
        <is>
          <t>A trading date with captured callbacks, a retrieved PTS report and a formed batch</t>
        </is>
      </c>
      <c r="H448" s="12" t="inlineStr">
        <is>
          <t>1. Assemble the captured callback set for the date
2. Assemble the parsed PTS settlement rows
3. Assemble the batch aggregate and its persisted member count
4. Run the three-way match (EMI-5920)</t>
        </is>
      </c>
      <c r="I448" s="12" t="inlineStr">
        <is>
          <t>All three sources agree on count and value; the persisted member count cross-checks against the matched set; the match balances with no discrepancy raised</t>
        </is>
      </c>
      <c r="J448" s="13" t="inlineStr">
        <is>
          <t>Not Tested</t>
        </is>
      </c>
      <c r="K448" s="13" t="inlineStr">
        <is>
          <t>Functional</t>
        </is>
      </c>
    </row>
    <row r="449" ht="36" customHeight="1">
      <c r="A449" s="12" t="inlineStr">
        <is>
          <t>PoS Transactions V6.6.0 (EMI-5914)</t>
        </is>
      </c>
      <c r="B449" s="12" t="inlineStr">
        <is>
          <t>E2E Business Flows</t>
        </is>
      </c>
      <c r="C449" s="12" t="inlineStr">
        <is>
          <t>E2E - Reconciliation</t>
        </is>
      </c>
      <c r="D449" s="13" t="inlineStr">
        <is>
          <t>TC-E2E-09</t>
        </is>
      </c>
      <c r="E449" s="12" t="inlineStr">
        <is>
          <t>Unknown TID on an Inbound Settlement Row Parks Without Fallback Matching</t>
        </is>
      </c>
      <c r="F449" s="13" t="inlineStr">
        <is>
          <t>High</t>
        </is>
      </c>
      <c r="G449" s="12" t="inlineStr">
        <is>
          <t>A PTS settlement row carrying a TID not linked to any wallet</t>
        </is>
      </c>
      <c r="H449" s="12" t="inlineStr">
        <is>
          <t>1. Retrieve and parse the report containing the row
2. Observe the booking pipeline and the Ops queue
3. Check whether any fallback matching by amount, date or merchant name occurred</t>
        </is>
      </c>
      <c r="I449" s="12" t="inlineStr">
        <is>
          <t>The row is accepted and parked UNMATCHED with an Ops alarm; no fallback matching is attempted and no wallet is credited speculatively; the parked row is visible and aged in the Ops queue</t>
        </is>
      </c>
      <c r="J449" s="13" t="inlineStr">
        <is>
          <t>Not Tested</t>
        </is>
      </c>
      <c r="K449" s="13" t="inlineStr">
        <is>
          <t>Negative</t>
        </is>
      </c>
    </row>
    <row r="450" ht="36" customHeight="1">
      <c r="A450" s="12" t="inlineStr">
        <is>
          <t>PoS Transactions V6.6.0 (EMI-5914)</t>
        </is>
      </c>
      <c r="B450" s="12" t="inlineStr">
        <is>
          <t>E2E Business Flows</t>
        </is>
      </c>
      <c r="C450" s="12" t="inlineStr">
        <is>
          <t>E2E - Reconciliation</t>
        </is>
      </c>
      <c r="D450" s="13" t="inlineStr">
        <is>
          <t>TC-E2E-10</t>
        </is>
      </c>
      <c r="E450" s="12" t="inlineStr">
        <is>
          <t>Recon-Originated Booking Is Identical to a Callback-Originated Booking</t>
        </is>
      </c>
      <c r="F450" s="13" t="inlineStr">
        <is>
          <t>High</t>
        </is>
      </c>
      <c r="G450" s="12" t="inlineStr">
        <is>
          <t>The shared booking pipeline exposed as a callable service entry point</t>
        </is>
      </c>
      <c r="H450" s="12" t="inlineStr">
        <is>
          <t>1. Book a transaction through the callback path with origin = TXN_CALLBACK
2. Book an equivalent transaction through the direct pipeline with origin = RECON_BACKFILL (EMI-5991)
3. Compare validation, TID resolution, Gate 1 outcome, ledger entries and downstream eligibility</t>
        </is>
      </c>
      <c r="I450" s="12" t="inlineStr">
        <is>
          <t>Both produce identical validation, resolution, Gate 1 handling, ledger entries and downstream behaviour; only the origin field differs</t>
        </is>
      </c>
      <c r="J450" s="13" t="inlineStr">
        <is>
          <t>Not Tested</t>
        </is>
      </c>
      <c r="K450" s="13" t="inlineStr">
        <is>
          <t>Functional</t>
        </is>
      </c>
    </row>
    <row r="451" ht="36" customHeight="1">
      <c r="A451" s="12" t="inlineStr">
        <is>
          <t>PoS Transactions V6.6.0 (EMI-5914)</t>
        </is>
      </c>
      <c r="B451" s="12" t="inlineStr">
        <is>
          <t>E2E Business Flows</t>
        </is>
      </c>
      <c r="C451" s="12" t="inlineStr">
        <is>
          <t>E2E - Multi-Device</t>
        </is>
      </c>
      <c r="D451" s="13" t="inlineStr">
        <is>
          <t>TC-E2E-11</t>
        </is>
      </c>
      <c r="E451" s="12" t="inlineStr">
        <is>
          <t>Multi-TID Merchant Rolls Up Correctly to One Wallet</t>
        </is>
      </c>
      <c r="F451" s="13" t="inlineStr">
        <is>
          <t>High</t>
        </is>
      </c>
      <c r="G451" s="12" t="inlineStr">
        <is>
          <t>A merchant with several terminals, each with its own per-TID ledger, all linked to one wallet</t>
        </is>
      </c>
      <c r="H451" s="12" t="inlineStr">
        <is>
          <t>1. Capture sales on each terminal across the same trading date
2. Run settlement grouping, pricing and ACH preparation
3. Compare the per-device views with the wallet-level position</t>
        </is>
      </c>
      <c r="I451" s="12" t="inlineStr">
        <is>
          <t>Each terminal keeps its own per-TID ledger; batches group per the defined scope with no member in two batches; the per-device totals roll up to exactly the wallet-level position with nothing double-counted or lost</t>
        </is>
      </c>
      <c r="J451" s="13" t="inlineStr">
        <is>
          <t>Not Tested</t>
        </is>
      </c>
      <c r="K451" s="13" t="inlineStr">
        <is>
          <t>Edge / Boundary</t>
        </is>
      </c>
    </row>
    <row r="452" ht="36" customHeight="1">
      <c r="A452" s="12" t="inlineStr">
        <is>
          <t>PoS Transactions V6.6.0 (EMI-5914)</t>
        </is>
      </c>
      <c r="B452" s="12" t="inlineStr">
        <is>
          <t>E2E Business Flows</t>
        </is>
      </c>
      <c r="C452" s="12" t="inlineStr">
        <is>
          <t>E2E - Pricing</t>
        </is>
      </c>
      <c r="D452" s="13" t="inlineStr">
        <is>
          <t>TC-E2E-12</t>
        </is>
      </c>
      <c r="E452" s="12" t="inlineStr">
        <is>
          <t>Merchant With No Commission Scheme Is Credited in Full End to End</t>
        </is>
      </c>
      <c r="F452" s="13" t="inlineStr">
        <is>
          <t>Medium</t>
        </is>
      </c>
      <c r="G452" s="12" t="inlineStr">
        <is>
          <t>Merchant with no PoS scheme at merchant, group or default level</t>
        </is>
      </c>
      <c r="H452" s="12" t="inlineStr">
        <is>
          <t>1. Run a full settlement cycle for that merchant through to the cleared credit
2. Inspect every fee entry raised anywhere in the chain</t>
        </is>
      </c>
      <c r="I452" s="12" t="inlineStr">
        <is>
          <t>The merchant is credited the full batch net; no commission, VAT or generic VIBAN cash-in fee is raised anywhere; the cycle completes normally with nothing alarmed</t>
        </is>
      </c>
      <c r="J452" s="13" t="inlineStr">
        <is>
          <t>Not Tested</t>
        </is>
      </c>
      <c r="K452" s="13" t="inlineStr">
        <is>
          <t>Functional</t>
        </is>
      </c>
    </row>
    <row r="453" ht="36" customHeight="1">
      <c r="A453" s="12" t="inlineStr">
        <is>
          <t>PoS Transactions V6.6.0 (EMI-5914)</t>
        </is>
      </c>
      <c r="B453" s="12" t="inlineStr">
        <is>
          <t>E2E Business Flows</t>
        </is>
      </c>
      <c r="C453" s="12" t="inlineStr">
        <is>
          <t>E2E - Boundaries</t>
        </is>
      </c>
      <c r="D453" s="13" t="inlineStr">
        <is>
          <t>TC-E2E-13</t>
        </is>
      </c>
      <c r="E453" s="12" t="inlineStr">
        <is>
          <t>Transactions Around the Day Cut-Off Land in the Correct Batches</t>
        </is>
      </c>
      <c r="F453" s="13" t="inlineStr">
        <is>
          <t>High</t>
        </is>
      </c>
      <c r="G453" s="12" t="inlineStr">
        <is>
          <t>Transactions captured immediately before and after the settlement day boundary</t>
        </is>
      </c>
      <c r="H453" s="12" t="inlineStr">
        <is>
          <t>1. Capture sales either side of the cut-off
2. Retrieve the settlement reports for both dates
3. Run grouping for both dates and inspect batch membership</t>
        </is>
      </c>
      <c r="I453" s="12" t="inlineStr">
        <is>
          <t>Each sale lands in the batch for its correct trading date; no sale is duplicated across batches and none is lost between them; batch member counts reconcile against the callback set for each date</t>
        </is>
      </c>
      <c r="J453" s="13" t="inlineStr">
        <is>
          <t>Not Tested</t>
        </is>
      </c>
      <c r="K453" s="13" t="inlineStr">
        <is>
          <t>Integration</t>
        </is>
      </c>
    </row>
    <row r="454" ht="36" customHeight="1">
      <c r="A454" s="12" t="inlineStr">
        <is>
          <t>PoS Transactions V6.6.0 (EMI-5914)</t>
        </is>
      </c>
      <c r="B454" s="12" t="inlineStr">
        <is>
          <t>E2E Business Flows</t>
        </is>
      </c>
      <c r="C454" s="12" t="inlineStr">
        <is>
          <t>E2E - Resilience</t>
        </is>
      </c>
      <c r="D454" s="13" t="inlineStr">
        <is>
          <t>TC-E2E-14</t>
        </is>
      </c>
      <c r="E454" s="12" t="inlineStr">
        <is>
          <t>Whole-Day Outage Recovered by Catch-Up Reaches the Same Final Positions</t>
        </is>
      </c>
      <c r="F454" s="13" t="inlineStr">
        <is>
          <t>High</t>
        </is>
      </c>
      <c r="G454" s="12" t="inlineStr">
        <is>
          <t>A full-day retrieval outage followed by a catch-up run</t>
        </is>
      </c>
      <c r="H454" s="12" t="inlineStr">
        <is>
          <t>1. Record expected final positions for the affected date
2. Suppress retrieval for the whole day
3. Run the catch-up retrieval and the full downstream chain
4. Re-run the whole chain a second time</t>
        </is>
      </c>
      <c r="I454" s="12" t="inlineStr">
        <is>
          <t>The catch-up produces the same batches, aggregates, commission and wallet positions as an uninterrupted day; the second full re-run changes nothing, confirming end-to-end idempotency</t>
        </is>
      </c>
      <c r="J454" s="13" t="inlineStr">
        <is>
          <t>Not Tested</t>
        </is>
      </c>
      <c r="K454" s="13" t="inlineStr">
        <is>
          <t>Integration</t>
        </is>
      </c>
    </row>
    <row r="455" ht="36" customHeight="1">
      <c r="A455" s="12" t="inlineStr">
        <is>
          <t>PoS Transactions V6.6.0 (EMI-5914)</t>
        </is>
      </c>
      <c r="B455" s="12" t="inlineStr">
        <is>
          <t>E2E Business Flows</t>
        </is>
      </c>
      <c r="C455" s="12" t="inlineStr">
        <is>
          <t>E2E - Resilience</t>
        </is>
      </c>
      <c r="D455" s="13" t="inlineStr">
        <is>
          <t>TC-E2E-15</t>
        </is>
      </c>
      <c r="E455" s="12" t="inlineStr">
        <is>
          <t>Duplicate Delivery at Every Stage Produces a Single Financial Effect</t>
        </is>
      </c>
      <c r="F455" s="13" t="inlineStr">
        <is>
          <t>High</t>
        </is>
      </c>
      <c r="G455" s="12" t="inlineStr">
        <is>
          <t>Ability to redeliver at ingestion, retrieval, grouping and ACH preparation</t>
        </is>
      </c>
      <c r="H455" s="12" t="inlineStr">
        <is>
          <t>1. Redeliver the same callback
2. Re-retrieve and re-parse the same settlement report
3. Re-run grouping for the same date
4. Re-run ACH preparation for the same batch
5. Inspect ledger entries, batches, fee entries and wallet movements after each</t>
        </is>
      </c>
      <c r="I455" s="12" t="inlineStr">
        <is>
          <t>Every stage absorbs its duplicate idempotently; exactly one ledger entry, one batch, one commission and VAT pair and one wallet movement exist; no figure is double-counted at any hop</t>
        </is>
      </c>
      <c r="J455" s="13" t="inlineStr">
        <is>
          <t>Not Tested</t>
        </is>
      </c>
      <c r="K455" s="13" t="inlineStr">
        <is>
          <t>Integration</t>
        </is>
      </c>
    </row>
    <row r="456" ht="36" customHeight="1">
      <c r="A456" s="12" t="inlineStr">
        <is>
          <t>PoS Transactions V6.6.0 (EMI-5914)</t>
        </is>
      </c>
      <c r="B456" s="12" t="inlineStr">
        <is>
          <t>E2E Business Flows</t>
        </is>
      </c>
      <c r="C456" s="12" t="inlineStr">
        <is>
          <t>E2E - Reporting</t>
        </is>
      </c>
      <c r="D456" s="13" t="inlineStr">
        <is>
          <t>TC-E2E-16</t>
        </is>
      </c>
      <c r="E456" s="12" t="inlineStr">
        <is>
          <t>Safeguarding Report Reconciles With Refund Exposure Present</t>
        </is>
      </c>
      <c r="F456" s="13" t="inlineStr">
        <is>
          <t>High</t>
        </is>
      </c>
      <c r="G456" s="12" t="inlineStr">
        <is>
          <t>A reporting period containing settled sales, refunds, held batches and parked items</t>
        </is>
      </c>
      <c r="H456" s="12" t="inlineStr">
        <is>
          <t>1. Generate the Finance safeguarding report for the period
2. Compare the reconciling total against the ledger
3. Confirm the treatment of refund exposure, held batches and parked items</t>
        </is>
      </c>
      <c r="I456" s="12" t="inlineStr">
        <is>
          <t>The reconciling total ties to the ledger; refund exposure is presented as a memo line outside it; held batches and parked items are disclosed separately and none of them silently enters or leaves the reconciling total</t>
        </is>
      </c>
      <c r="J456" s="13" t="inlineStr">
        <is>
          <t>Not Tested</t>
        </is>
      </c>
      <c r="K456" s="13" t="inlineStr">
        <is>
          <t>Reporting</t>
        </is>
      </c>
    </row>
    <row r="457" ht="36" customHeight="1">
      <c r="A457" s="12" t="inlineStr">
        <is>
          <t>Balances &amp; Wallet Consistency (EMI-5944)</t>
        </is>
      </c>
      <c r="B457" s="12" t="inlineStr">
        <is>
          <t>Consumer Partitioning</t>
        </is>
      </c>
      <c r="C457" s="12" t="inlineStr">
        <is>
          <t>Partitioning</t>
        </is>
      </c>
      <c r="D457" s="13" t="inlineStr">
        <is>
          <t>TC-Partition-01</t>
        </is>
      </c>
      <c r="E457" s="12" t="inlineStr">
        <is>
          <t>Every CDC Event for a Wallet Lands on the Same Partition</t>
        </is>
      </c>
      <c r="F457" s="13" t="inlineStr">
        <is>
          <t>High</t>
        </is>
      </c>
      <c r="G457" s="12" t="inlineStr">
        <is>
          <t>Balance CDC topic re-keyed on wallet_id; a wallet with postings across many ledger entries</t>
        </is>
      </c>
      <c r="H457" s="12" t="inlineStr">
        <is>
          <t>1. Generate a spread of postings for one wallet
2. Inspect the partition each resulting event was produced to</t>
        </is>
      </c>
      <c r="I457" s="12" t="inlineStr">
        <is>
          <t>Every event for that wallet is produced to a single partition; no event for the wallet appears on any other partition</t>
        </is>
      </c>
      <c r="J457" s="13" t="inlineStr">
        <is>
          <t>Not Tested</t>
        </is>
      </c>
      <c r="K457" s="13" t="inlineStr">
        <is>
          <t>Integration</t>
        </is>
      </c>
    </row>
    <row r="458" ht="36" customHeight="1">
      <c r="A458" s="12" t="inlineStr">
        <is>
          <t>Balances &amp; Wallet Consistency (EMI-5944)</t>
        </is>
      </c>
      <c r="B458" s="12" t="inlineStr">
        <is>
          <t>Consumer Partitioning</t>
        </is>
      </c>
      <c r="C458" s="12" t="inlineStr">
        <is>
          <t>Partitioning</t>
        </is>
      </c>
      <c r="D458" s="13" t="inlineStr">
        <is>
          <t>TC-Partition-02</t>
        </is>
      </c>
      <c r="E458" s="12" t="inlineStr">
        <is>
          <t>Topic Is Keyed on wallet_id, Not the Ledger Entry Primary Key</t>
        </is>
      </c>
      <c r="F458" s="13" t="inlineStr">
        <is>
          <t>High</t>
        </is>
      </c>
      <c r="G458" s="12" t="inlineStr">
        <is>
          <t>Access to the Debezium connector configuration and the produced messages</t>
        </is>
      </c>
      <c r="H458" s="12" t="inlineStr">
        <is>
          <t>1. Inspect the message key on a sample of produced events
2. Inspect the re-keying stage in the connector configuration</t>
        </is>
      </c>
      <c r="I458" s="12" t="inlineStr">
        <is>
          <t>The message key is wallet_id, applied by an SMT or equivalent re-keying stage; it is no longer the source table primary key</t>
        </is>
      </c>
      <c r="J458" s="13" t="inlineStr">
        <is>
          <t>Not Tested</t>
        </is>
      </c>
      <c r="K458" s="13" t="inlineStr">
        <is>
          <t>Integration</t>
        </is>
      </c>
    </row>
    <row r="459" ht="36" customHeight="1">
      <c r="A459" s="12" t="inlineStr">
        <is>
          <t>Balances &amp; Wallet Consistency (EMI-5944)</t>
        </is>
      </c>
      <c r="B459" s="12" t="inlineStr">
        <is>
          <t>Consumer Partitioning</t>
        </is>
      </c>
      <c r="C459" s="12" t="inlineStr">
        <is>
          <t>Partitioning</t>
        </is>
      </c>
      <c r="D459" s="13" t="inlineStr">
        <is>
          <t>TC-Partition-03</t>
        </is>
      </c>
      <c r="E459" s="12" t="inlineStr">
        <is>
          <t>Different Wallets Distribute Across Partitions</t>
        </is>
      </c>
      <c r="F459" s="13" t="inlineStr">
        <is>
          <t>Medium</t>
        </is>
      </c>
      <c r="G459" s="12" t="inlineStr">
        <is>
          <t>Many wallets producing traffic</t>
        </is>
      </c>
      <c r="H459" s="12" t="inlineStr">
        <is>
          <t>1. Generate traffic across a large set of wallets
2. Inspect the partition distribution</t>
        </is>
      </c>
      <c r="I459" s="12" t="inlineStr">
        <is>
          <t>Events spread across the available partitions by wallet, so per-wallet ordering does not collapse all traffic onto one partition</t>
        </is>
      </c>
      <c r="J459" s="13" t="inlineStr">
        <is>
          <t>Not Tested</t>
        </is>
      </c>
      <c r="K459" s="13" t="inlineStr">
        <is>
          <t>Integration</t>
        </is>
      </c>
    </row>
    <row r="460" ht="36" customHeight="1">
      <c r="A460" s="12" t="inlineStr">
        <is>
          <t>Balances &amp; Wallet Consistency (EMI-5944)</t>
        </is>
      </c>
      <c r="B460" s="12" t="inlineStr">
        <is>
          <t>Consumer Partitioning</t>
        </is>
      </c>
      <c r="C460" s="12" t="inlineStr">
        <is>
          <t>Serialisation</t>
        </is>
      </c>
      <c r="D460" s="13" t="inlineStr">
        <is>
          <t>TC-Partition-04</t>
        </is>
      </c>
      <c r="E460" s="12" t="inlineStr">
        <is>
          <t>Consumer Applies One Wallet's Events Strictly Serially</t>
        </is>
      </c>
      <c r="F460" s="13" t="inlineStr">
        <is>
          <t>High</t>
        </is>
      </c>
      <c r="G460" s="12" t="inlineStr">
        <is>
          <t>Consumer running under load with concurrent processing enabled</t>
        </is>
      </c>
      <c r="H460" s="12" t="inlineStr">
        <is>
          <t>1. Drive concurrent postings for a single wallet
2. Instrument the consumer to record concurrent application per wallet</t>
        </is>
      </c>
      <c r="I460" s="12" t="inlineStr">
        <is>
          <t>No two entries for the same wallet are ever applied concurrently; a partition is processed serially or work is hashed to threads by wallet_id</t>
        </is>
      </c>
      <c r="J460" s="13" t="inlineStr">
        <is>
          <t>Not Tested</t>
        </is>
      </c>
      <c r="K460" s="13" t="inlineStr">
        <is>
          <t>Integration</t>
        </is>
      </c>
    </row>
    <row r="461" ht="36" customHeight="1">
      <c r="A461" s="12" t="inlineStr">
        <is>
          <t>Balances &amp; Wallet Consistency (EMI-5944)</t>
        </is>
      </c>
      <c r="B461" s="12" t="inlineStr">
        <is>
          <t>Consumer Partitioning</t>
        </is>
      </c>
      <c r="C461" s="12" t="inlineStr">
        <is>
          <t>Serialisation</t>
        </is>
      </c>
      <c r="D461" s="13" t="inlineStr">
        <is>
          <t>TC-Partition-05</t>
        </is>
      </c>
      <c r="E461" s="12" t="inlineStr">
        <is>
          <t>No Configuration Permits Concurrent Application for One Wallet</t>
        </is>
      </c>
      <c r="F461" s="13" t="inlineStr">
        <is>
          <t>High</t>
        </is>
      </c>
      <c r="G461" s="12" t="inlineStr">
        <is>
          <t>Access to the consumer configuration</t>
        </is>
      </c>
      <c r="H461" s="12" t="inlineStr">
        <is>
          <t>1. Review every concurrency, threading and batching setting available
2. Attempt to configure a mode that would apply two entries for one wallet at once</t>
        </is>
      </c>
      <c r="I461" s="12" t="inlineStr">
        <is>
          <t>No reachable configuration permits it; the serial guarantee is structural rather than dependent on an operator setting it correctly</t>
        </is>
      </c>
      <c r="J461" s="13" t="inlineStr">
        <is>
          <t>Not Tested</t>
        </is>
      </c>
      <c r="K461" s="13" t="inlineStr">
        <is>
          <t>Integration</t>
        </is>
      </c>
    </row>
    <row r="462" ht="36" customHeight="1">
      <c r="A462" s="12" t="inlineStr">
        <is>
          <t>Balances &amp; Wallet Consistency (EMI-5944)</t>
        </is>
      </c>
      <c r="B462" s="12" t="inlineStr">
        <is>
          <t>Consumer Partitioning</t>
        </is>
      </c>
      <c r="C462" s="12" t="inlineStr">
        <is>
          <t>Ordering</t>
        </is>
      </c>
      <c r="D462" s="13" t="inlineStr">
        <is>
          <t>TC-Partition-06</t>
        </is>
      </c>
      <c r="E462" s="12" t="inlineStr">
        <is>
          <t>PENDING and SUCCESS for One Wallet Apply in Commit Order</t>
        </is>
      </c>
      <c r="F462" s="13" t="inlineStr">
        <is>
          <t>High</t>
        </is>
      </c>
      <c r="G462" s="12" t="inlineStr">
        <is>
          <t>A wallet with a reserve followed by a settlement</t>
        </is>
      </c>
      <c r="H462" s="12" t="inlineStr">
        <is>
          <t>1. Produce the two postings in quick succession under load
2. Inspect the order in which the consumer applied them and the resulting buckets</t>
        </is>
      </c>
      <c r="I462" s="12" t="inlineStr">
        <is>
          <t>They are applied in commit order and the buckets are correct; the settlement is never applied before its reserve on this wallet</t>
        </is>
      </c>
      <c r="J462" s="13" t="inlineStr">
        <is>
          <t>Not Tested</t>
        </is>
      </c>
      <c r="K462" s="13" t="inlineStr">
        <is>
          <t>Integration</t>
        </is>
      </c>
    </row>
    <row r="463" ht="36" customHeight="1">
      <c r="A463" s="12" t="inlineStr">
        <is>
          <t>Balances &amp; Wallet Consistency (EMI-5944)</t>
        </is>
      </c>
      <c r="B463" s="12" t="inlineStr">
        <is>
          <t>Consumer Partitioning</t>
        </is>
      </c>
      <c r="C463" s="12" t="inlineStr">
        <is>
          <t>Ordering</t>
        </is>
      </c>
      <c r="D463" s="13" t="inlineStr">
        <is>
          <t>TC-Partition-07</t>
        </is>
      </c>
      <c r="E463" s="12" t="inlineStr">
        <is>
          <t>Load Test That Previously Reproduced Out-of-Order No Longer Does</t>
        </is>
      </c>
      <c r="F463" s="13" t="inlineStr">
        <is>
          <t>High</t>
        </is>
      </c>
      <c r="G463" s="12" t="inlineStr">
        <is>
          <t>The load profile that previously produced out-of-order application</t>
        </is>
      </c>
      <c r="H463" s="12" t="inlineStr">
        <is>
          <t>1. Run the load test at the same volume and shape
2. Inspect for any out-of-order application per wallet</t>
        </is>
      </c>
      <c r="I463" s="12" t="inlineStr">
        <is>
          <t>No out-of-order application occurs for any wallet under the profile that previously reproduced it</t>
        </is>
      </c>
      <c r="J463" s="13" t="inlineStr">
        <is>
          <t>Not Tested</t>
        </is>
      </c>
      <c r="K463" s="13" t="inlineStr">
        <is>
          <t>Performance / NFR</t>
        </is>
      </c>
    </row>
    <row r="464" ht="36" customHeight="1">
      <c r="A464" s="12" t="inlineStr">
        <is>
          <t>Balances &amp; Wallet Consistency (EMI-5944)</t>
        </is>
      </c>
      <c r="B464" s="12" t="inlineStr">
        <is>
          <t>Consumer Partitioning</t>
        </is>
      </c>
      <c r="C464" s="12" t="inlineStr">
        <is>
          <t>Ordering</t>
        </is>
      </c>
      <c r="D464" s="13" t="inlineStr">
        <is>
          <t>TC-Partition-08</t>
        </is>
      </c>
      <c r="E464" s="12" t="inlineStr">
        <is>
          <t>Ordering Holds Under a Forced Consumer Rebalance</t>
        </is>
      </c>
      <c r="F464" s="13" t="inlineStr">
        <is>
          <t>High</t>
        </is>
      </c>
      <c r="G464" s="12" t="inlineStr">
        <is>
          <t>Consumer group running under sustained load</t>
        </is>
      </c>
      <c r="H464" s="12" t="inlineStr">
        <is>
          <t>1. Force a consumer group rebalance mid-stream
2. Continue the load through the rebalance
3. Verify per-wallet ordering and final balances</t>
        </is>
      </c>
      <c r="I464" s="12" t="inlineStr">
        <is>
          <t>Per-wallet ordering holds across the rebalance and final balances are correct</t>
        </is>
      </c>
      <c r="J464" s="13" t="inlineStr">
        <is>
          <t>Not Tested</t>
        </is>
      </c>
      <c r="K464" s="13" t="inlineStr">
        <is>
          <t>Integration</t>
        </is>
      </c>
    </row>
    <row r="465" ht="36" customHeight="1">
      <c r="A465" s="12" t="inlineStr">
        <is>
          <t>Balances &amp; Wallet Consistency (EMI-5944)</t>
        </is>
      </c>
      <c r="B465" s="12" t="inlineStr">
        <is>
          <t>Consumer Partitioning</t>
        </is>
      </c>
      <c r="C465" s="12" t="inlineStr">
        <is>
          <t>Ordering</t>
        </is>
      </c>
      <c r="D465" s="13" t="inlineStr">
        <is>
          <t>TC-Partition-09</t>
        </is>
      </c>
      <c r="E465" s="12" t="inlineStr">
        <is>
          <t>Ordering Holds Across a Connector Restart</t>
        </is>
      </c>
      <c r="F465" s="13" t="inlineStr">
        <is>
          <t>High</t>
        </is>
      </c>
      <c r="G465" s="12" t="inlineStr">
        <is>
          <t>Debezium connector running under load</t>
        </is>
      </c>
      <c r="H465" s="12" t="inlineStr">
        <is>
          <t>1. Restart the connector mid-stream
2. Verify per-wallet ordering and final balances after recovery</t>
        </is>
      </c>
      <c r="I465" s="12" t="inlineStr">
        <is>
          <t>Ordering holds across the restart; no wallet ends in an incorrect state</t>
        </is>
      </c>
      <c r="J465" s="13" t="inlineStr">
        <is>
          <t>Not Tested</t>
        </is>
      </c>
      <c r="K465" s="13" t="inlineStr">
        <is>
          <t>Integration</t>
        </is>
      </c>
    </row>
    <row r="466" ht="36" customHeight="1">
      <c r="A466" s="12" t="inlineStr">
        <is>
          <t>Balances &amp; Wallet Consistency (EMI-5944)</t>
        </is>
      </c>
      <c r="B466" s="12" t="inlineStr">
        <is>
          <t>Consumer Partitioning</t>
        </is>
      </c>
      <c r="C466" s="12" t="inlineStr">
        <is>
          <t>Regression</t>
        </is>
      </c>
      <c r="D466" s="13" t="inlineStr">
        <is>
          <t>TC-Partition-10</t>
        </is>
      </c>
      <c r="E466" s="12" t="inlineStr">
        <is>
          <t>EMI-2059 Sequence Replays With a Correct Cumulative Balance</t>
        </is>
      </c>
      <c r="F466" s="13" t="inlineStr">
        <is>
          <t>High</t>
        </is>
      </c>
      <c r="G466" s="12" t="inlineStr">
        <is>
          <t>The transaction sequence recorded on EMI-2059</t>
        </is>
      </c>
      <c r="H466" s="12" t="inlineStr">
        <is>
          <t>1. Replay the sequence through the re-keyed pipeline
2. Check available_balance after every entry, not only at the end</t>
        </is>
      </c>
      <c r="I466" s="12" t="inlineStr">
        <is>
          <t>The cumulative available_balance is correct at every entry; it neither jumps nor stays flat despite the debits and credits. This is the regression guard for the closed defect</t>
        </is>
      </c>
      <c r="J466" s="13" t="inlineStr">
        <is>
          <t>Not Tested</t>
        </is>
      </c>
      <c r="K466" s="13" t="inlineStr">
        <is>
          <t>Integration</t>
        </is>
      </c>
    </row>
    <row r="467" ht="36" customHeight="1">
      <c r="A467" s="12" t="inlineStr">
        <is>
          <t>Balances &amp; Wallet Consistency (EMI-5944)</t>
        </is>
      </c>
      <c r="B467" s="12" t="inlineStr">
        <is>
          <t>Consumer Partitioning</t>
        </is>
      </c>
      <c r="C467" s="12" t="inlineStr">
        <is>
          <t>Regression</t>
        </is>
      </c>
      <c r="D467" s="13" t="inlineStr">
        <is>
          <t>TC-Partition-11</t>
        </is>
      </c>
      <c r="E467" s="12" t="inlineStr">
        <is>
          <t>Balances Agree With History After Replay</t>
        </is>
      </c>
      <c r="F467" s="13" t="inlineStr">
        <is>
          <t>High</t>
        </is>
      </c>
      <c r="G467" s="12" t="inlineStr">
        <is>
          <t>A wallet replayed through the re-keyed pipeline</t>
        </is>
      </c>
      <c r="H467" s="12" t="inlineStr">
        <is>
          <t>1. Compare the projected balance against the entry history</t>
        </is>
      </c>
      <c r="I467" s="12" t="inlineStr">
        <is>
          <t>Balance and history agree; the discrepancy signature recorded in the EMI-3506 QA trail does not reproduce</t>
        </is>
      </c>
      <c r="J467" s="13" t="inlineStr">
        <is>
          <t>Not Tested</t>
        </is>
      </c>
      <c r="K467" s="13" t="inlineStr">
        <is>
          <t>Integration</t>
        </is>
      </c>
    </row>
    <row r="468" ht="36" customHeight="1">
      <c r="A468" s="12" t="inlineStr">
        <is>
          <t>Balances &amp; Wallet Consistency (EMI-5944)</t>
        </is>
      </c>
      <c r="B468" s="12" t="inlineStr">
        <is>
          <t>Consumer Partitioning</t>
        </is>
      </c>
      <c r="C468" s="12" t="inlineStr">
        <is>
          <t>Cutover</t>
        </is>
      </c>
      <c r="D468" s="13" t="inlineStr">
        <is>
          <t>TC-Partition-12</t>
        </is>
      </c>
      <c r="E468" s="12" t="inlineStr">
        <is>
          <t>Cutover Drains the Existing Topic Fully First</t>
        </is>
      </c>
      <c r="F468" s="13" t="inlineStr">
        <is>
          <t>High</t>
        </is>
      </c>
      <c r="G468" s="12" t="inlineStr">
        <is>
          <t>An existing topic with a backlog under the old keying</t>
        </is>
      </c>
      <c r="H468" s="12" t="inlineStr">
        <is>
          <t>1. Execute the documented cutover
2. Monitor consumption of old-keyed and new-keyed events throughout</t>
        </is>
      </c>
      <c r="I468" s="12" t="inlineStr">
        <is>
          <t>The existing topic drains completely before the new keying takes effect; there is no window in which old-keyed and new-keyed events are consumed together</t>
        </is>
      </c>
      <c r="J468" s="13" t="inlineStr">
        <is>
          <t>Not Tested</t>
        </is>
      </c>
      <c r="K468" s="13" t="inlineStr">
        <is>
          <t>Migration</t>
        </is>
      </c>
    </row>
    <row r="469" ht="36" customHeight="1">
      <c r="A469" s="12" t="inlineStr">
        <is>
          <t>Balances &amp; Wallet Consistency (EMI-5944)</t>
        </is>
      </c>
      <c r="B469" s="12" t="inlineStr">
        <is>
          <t>Consumer Partitioning</t>
        </is>
      </c>
      <c r="C469" s="12" t="inlineStr">
        <is>
          <t>Cutover</t>
        </is>
      </c>
      <c r="D469" s="13" t="inlineStr">
        <is>
          <t>TC-Partition-13</t>
        </is>
      </c>
      <c r="E469" s="12" t="inlineStr">
        <is>
          <t>Balances Are Unchanged Across the Cutover</t>
        </is>
      </c>
      <c r="F469" s="13" t="inlineStr">
        <is>
          <t>High</t>
        </is>
      </c>
      <c r="G469" s="12" t="inlineStr">
        <is>
          <t>A set of wallets with known balances before cutover</t>
        </is>
      </c>
      <c r="H469" s="12" t="inlineStr">
        <is>
          <t>1. Record balances before the cutover
2. Execute the cutover
3. Re-read the balances</t>
        </is>
      </c>
      <c r="I469" s="12" t="inlineStr">
        <is>
          <t>No balance changes as a result of the cutover itself; the change is to transport keying only</t>
        </is>
      </c>
      <c r="J469" s="13" t="inlineStr">
        <is>
          <t>Not Tested</t>
        </is>
      </c>
      <c r="K469" s="13" t="inlineStr">
        <is>
          <t>Migration</t>
        </is>
      </c>
    </row>
    <row r="470" ht="36" customHeight="1">
      <c r="A470" s="12" t="inlineStr">
        <is>
          <t>Balances &amp; Wallet Consistency (EMI-5944)</t>
        </is>
      </c>
      <c r="B470" s="12" t="inlineStr">
        <is>
          <t>Consumer Partitioning</t>
        </is>
      </c>
      <c r="C470" s="12" t="inlineStr">
        <is>
          <t>Cutover</t>
        </is>
      </c>
      <c r="D470" s="13" t="inlineStr">
        <is>
          <t>TC-Partition-14</t>
        </is>
      </c>
      <c r="E470" s="12" t="inlineStr">
        <is>
          <t>Rollback Plan Is Documented and Tested</t>
        </is>
      </c>
      <c r="F470" s="13" t="inlineStr">
        <is>
          <t>High</t>
        </is>
      </c>
      <c r="G470" s="12" t="inlineStr">
        <is>
          <t>A completed cutover in a test environment</t>
        </is>
      </c>
      <c r="H470" s="12" t="inlineStr">
        <is>
          <t>1. Execute the documented rollback
2. Verify consumption resumes correctly and balances stay correct</t>
        </is>
      </c>
      <c r="I470" s="12" t="inlineStr">
        <is>
          <t>The rollback completes as documented and the pipeline returns to a working state with balances intact</t>
        </is>
      </c>
      <c r="J470" s="13" t="inlineStr">
        <is>
          <t>Not Tested</t>
        </is>
      </c>
      <c r="K470" s="13" t="inlineStr">
        <is>
          <t>Migration</t>
        </is>
      </c>
    </row>
    <row r="471" ht="36" customHeight="1">
      <c r="A471" s="12" t="inlineStr">
        <is>
          <t>Balances &amp; Wallet Consistency (EMI-5944)</t>
        </is>
      </c>
      <c r="B471" s="12" t="inlineStr">
        <is>
          <t>Consumer Partitioning</t>
        </is>
      </c>
      <c r="C471" s="12" t="inlineStr">
        <is>
          <t>Throughput</t>
        </is>
      </c>
      <c r="D471" s="13" t="inlineStr">
        <is>
          <t>TC-Partition-15</t>
        </is>
      </c>
      <c r="E471" s="12" t="inlineStr">
        <is>
          <t>Consumer Throughput Meets Current Production Volume</t>
        </is>
      </c>
      <c r="F471" s="13" t="inlineStr">
        <is>
          <t>High</t>
        </is>
      </c>
      <c r="G471" s="12" t="inlineStr">
        <is>
          <t>Production-representative load</t>
        </is>
      </c>
      <c r="H471" s="12" t="inlineStr">
        <is>
          <t>1. Drive current peak production volume through the re-keyed pipeline
2. Measure consumer throughput and lag</t>
        </is>
      </c>
      <c r="I471" s="12" t="inlineStr">
        <is>
          <t>Throughput meets current production volume and lag stays bounded; per-wallet serialisation does not starve the consumer</t>
        </is>
      </c>
      <c r="J471" s="13" t="inlineStr">
        <is>
          <t>Not Tested</t>
        </is>
      </c>
      <c r="K471" s="13" t="inlineStr">
        <is>
          <t>Performance / NFR</t>
        </is>
      </c>
    </row>
    <row r="472" ht="36" customHeight="1">
      <c r="A472" s="12" t="inlineStr">
        <is>
          <t>Balances &amp; Wallet Consistency (EMI-5944)</t>
        </is>
      </c>
      <c r="B472" s="12" t="inlineStr">
        <is>
          <t>Consumer Partitioning</t>
        </is>
      </c>
      <c r="C472" s="12" t="inlineStr">
        <is>
          <t>Throughput</t>
        </is>
      </c>
      <c r="D472" s="13" t="inlineStr">
        <is>
          <t>TC-Partition-16</t>
        </is>
      </c>
      <c r="E472" s="12" t="inlineStr">
        <is>
          <t>Partition Count Sizing Reviewed Against the Ordering Constraint</t>
        </is>
      </c>
      <c r="F472" s="13" t="inlineStr">
        <is>
          <t>Medium</t>
        </is>
      </c>
      <c r="G472" s="12" t="inlineStr">
        <is>
          <t>The chosen partition count and the wallet traffic distribution</t>
        </is>
      </c>
      <c r="H472" s="12" t="inlineStr">
        <is>
          <t>1. Review the partition count against peak throughput and wallet distribution
2. Identify any hot wallet that would bound a single partition</t>
        </is>
      </c>
      <c r="I472" s="12" t="inlineStr">
        <is>
          <t>The partition count is sized for production volume given that per-wallet ordering constrains parallelism; any increase needed is included in the change</t>
        </is>
      </c>
      <c r="J472" s="13" t="inlineStr">
        <is>
          <t>Not Tested</t>
        </is>
      </c>
      <c r="K472" s="13" t="inlineStr">
        <is>
          <t>Performance / NFR</t>
        </is>
      </c>
    </row>
    <row r="473" ht="36" customHeight="1">
      <c r="A473" s="12" t="inlineStr">
        <is>
          <t>Balances &amp; Wallet Consistency (EMI-5944)</t>
        </is>
      </c>
      <c r="B473" s="12" t="inlineStr">
        <is>
          <t>Consumer Partitioning</t>
        </is>
      </c>
      <c r="C473" s="12" t="inlineStr">
        <is>
          <t>Scope</t>
        </is>
      </c>
      <c r="D473" s="13" t="inlineStr">
        <is>
          <t>TC-Partition-17</t>
        </is>
      </c>
      <c r="E473" s="12" t="inlineStr">
        <is>
          <t>No Ledger Schema Change Was Made</t>
        </is>
      </c>
      <c r="F473" s="13" t="inlineStr">
        <is>
          <t>High</t>
        </is>
      </c>
      <c r="G473" s="12" t="inlineStr">
        <is>
          <t>The ledger schema before and after the change</t>
        </is>
      </c>
      <c r="H473" s="12" t="inlineStr">
        <is>
          <t>1. Compare the transaction_log schema before and after</t>
        </is>
      </c>
      <c r="I473" s="12" t="inlineStr">
        <is>
          <t>The schema is unchanged; the guarantee is achieved entirely in the transport and consumer layers</t>
        </is>
      </c>
      <c r="J473" s="13" t="inlineStr">
        <is>
          <t>Not Tested</t>
        </is>
      </c>
      <c r="K473" s="13" t="inlineStr">
        <is>
          <t>Architecture</t>
        </is>
      </c>
    </row>
    <row r="474" ht="36" customHeight="1">
      <c r="A474" s="12" t="inlineStr">
        <is>
          <t>Balances &amp; Wallet Consistency (EMI-5944)</t>
        </is>
      </c>
      <c r="B474" s="12" t="inlineStr">
        <is>
          <t>Consumer Partitioning</t>
        </is>
      </c>
      <c r="C474" s="12" t="inlineStr">
        <is>
          <t>Scope</t>
        </is>
      </c>
      <c r="D474" s="13" t="inlineStr">
        <is>
          <t>TC-Partition-18</t>
        </is>
      </c>
      <c r="E474" s="12" t="inlineStr">
        <is>
          <t>Bucket Mapping Behaviour Is Unchanged</t>
        </is>
      </c>
      <c r="F474" s="13" t="inlineStr">
        <is>
          <t>High</t>
        </is>
      </c>
      <c r="G474" s="12" t="inlineStr">
        <is>
          <t>A representative set of transaction types</t>
        </is>
      </c>
      <c r="H474" s="12" t="inlineStr">
        <is>
          <t>1. Compare the resulting bucket movements before and after the re-keying for the same postings</t>
        </is>
      </c>
      <c r="I474" s="12" t="inlineStr">
        <is>
          <t>Bucket mapping behaviour is identical; this task changes ordering only and touches no consumer business logic</t>
        </is>
      </c>
      <c r="J474" s="13" t="inlineStr">
        <is>
          <t>Not Tested</t>
        </is>
      </c>
      <c r="K474" s="13" t="inlineStr">
        <is>
          <t>Architecture</t>
        </is>
      </c>
    </row>
    <row r="475" ht="36" customHeight="1">
      <c r="A475" s="12" t="inlineStr">
        <is>
          <t>Balances &amp; Wallet Consistency (EMI-5944)</t>
        </is>
      </c>
      <c r="B475" s="12" t="inlineStr">
        <is>
          <t>Consumer Partitioning</t>
        </is>
      </c>
      <c r="C475" s="12" t="inlineStr">
        <is>
          <t>Limits</t>
        </is>
      </c>
      <c r="D475" s="13" t="inlineStr">
        <is>
          <t>TC-Partition-19</t>
        </is>
      </c>
      <c r="E475" s="12" t="inlineStr">
        <is>
          <t>Per-Wallet Ordering Does Not Order Across Wallets</t>
        </is>
      </c>
      <c r="F475" s="13" t="inlineStr">
        <is>
          <t>High</t>
        </is>
      </c>
      <c r="G475" s="12" t="inlineStr">
        <is>
          <t>One transaction posting to source, destination, commission and VAT wallets</t>
        </is>
      </c>
      <c r="H475" s="12" t="inlineStr">
        <is>
          <t>1. Produce the transaction's postings
2. Observe the order in which the four wallets' events are consumed</t>
        </is>
      </c>
      <c r="I475" s="12" t="inlineStr">
        <is>
          <t>Events for different wallets may still be consumed in any relative order, because they sit on different partitions. This is expected and is precisely why EMI-5949's per-transaction guard is still required</t>
        </is>
      </c>
      <c r="J475" s="13" t="inlineStr">
        <is>
          <t>Not Tested</t>
        </is>
      </c>
      <c r="K475" s="13" t="inlineStr">
        <is>
          <t>Edge / Boundary</t>
        </is>
      </c>
    </row>
    <row r="476" ht="36" customHeight="1">
      <c r="A476" s="12" t="inlineStr">
        <is>
          <t>Balances &amp; Wallet Consistency (EMI-5944)</t>
        </is>
      </c>
      <c r="B476" s="12" t="inlineStr">
        <is>
          <t>Consumer Partitioning</t>
        </is>
      </c>
      <c r="C476" s="12" t="inlineStr">
        <is>
          <t>Observability</t>
        </is>
      </c>
      <c r="D476" s="13" t="inlineStr">
        <is>
          <t>TC-Partition-20</t>
        </is>
      </c>
      <c r="E476" s="12" t="inlineStr">
        <is>
          <t>Per-Partition Lag Is Observable</t>
        </is>
      </c>
      <c r="F476" s="13" t="inlineStr">
        <is>
          <t>Medium</t>
        </is>
      </c>
      <c r="G476" s="12" t="inlineStr">
        <is>
          <t>The re-keyed pipeline under load</t>
        </is>
      </c>
      <c r="H476" s="12" t="inlineStr">
        <is>
          <t>1. Inspect the exposed consumer metrics</t>
        </is>
      </c>
      <c r="I476" s="12" t="inlineStr">
        <is>
          <t>Per-partition lag is visible so a hot partition caused by the ordering constraint can be identified before it becomes an incident</t>
        </is>
      </c>
      <c r="J476" s="13" t="inlineStr">
        <is>
          <t>Not Tested</t>
        </is>
      </c>
      <c r="K476" s="13" t="inlineStr">
        <is>
          <t>Observability</t>
        </is>
      </c>
    </row>
    <row r="477" ht="36" customHeight="1">
      <c r="A477" s="12" t="inlineStr">
        <is>
          <t>Balances &amp; Wallet Consistency (EMI-5944)</t>
        </is>
      </c>
      <c r="B477" s="12" t="inlineStr">
        <is>
          <t>Consumer Idempotency</t>
        </is>
      </c>
      <c r="C477" s="12" t="inlineStr">
        <is>
          <t>Idempotency</t>
        </is>
      </c>
      <c r="D477" s="13" t="inlineStr">
        <is>
          <t>TC-Idem-01</t>
        </is>
      </c>
      <c r="E477" s="12" t="inlineStr">
        <is>
          <t>Applying the Same Ledger Entry Twice Has One Effect</t>
        </is>
      </c>
      <c r="F477" s="13" t="inlineStr">
        <is>
          <t>High</t>
        </is>
      </c>
      <c r="G477" s="12" t="inlineStr">
        <is>
          <t>Consumer running with the uniqueness guard in place</t>
        </is>
      </c>
      <c r="H477" s="12" t="inlineStr">
        <is>
          <t>1. Deliver the same ledger entry event twice
2. Count projection rows and inspect the balance</t>
        </is>
      </c>
      <c r="I477" s="12" t="inlineStr">
        <is>
          <t>Exactly one projection row exists and exactly one balance effect is applied</t>
        </is>
      </c>
      <c r="J477" s="13" t="inlineStr">
        <is>
          <t>Not Tested</t>
        </is>
      </c>
      <c r="K477" s="13" t="inlineStr">
        <is>
          <t>Edge / Boundary</t>
        </is>
      </c>
    </row>
    <row r="478" ht="36" customHeight="1">
      <c r="A478" s="12" t="inlineStr">
        <is>
          <t>Balances &amp; Wallet Consistency (EMI-5944)</t>
        </is>
      </c>
      <c r="B478" s="12" t="inlineStr">
        <is>
          <t>Consumer Idempotency</t>
        </is>
      </c>
      <c r="C478" s="12" t="inlineStr">
        <is>
          <t>Idempotency</t>
        </is>
      </c>
      <c r="D478" s="13" t="inlineStr">
        <is>
          <t>TC-Idem-02</t>
        </is>
      </c>
      <c r="E478" s="12" t="inlineStr">
        <is>
          <t>Uniqueness Is Enforced by Constraint on Ledger Entry Identity</t>
        </is>
      </c>
      <c r="F478" s="13" t="inlineStr">
        <is>
          <t>High</t>
        </is>
      </c>
      <c r="G478" s="12" t="inlineStr">
        <is>
          <t>Direct database access</t>
        </is>
      </c>
      <c r="H478" s="12" t="inlineStr">
        <is>
          <t>1. Attempt to insert a second projection row for the same ledger entry identity, bypassing the application</t>
        </is>
      </c>
      <c r="I478" s="12" t="inlineStr">
        <is>
          <t>The database rejects it; uniqueness is a constraint, not an application-level check</t>
        </is>
      </c>
      <c r="J478" s="13" t="inlineStr">
        <is>
          <t>Not Tested</t>
        </is>
      </c>
      <c r="K478" s="13" t="inlineStr">
        <is>
          <t>Integration</t>
        </is>
      </c>
    </row>
    <row r="479" ht="36" customHeight="1">
      <c r="A479" s="12" t="inlineStr">
        <is>
          <t>Balances &amp; Wallet Consistency (EMI-5944)</t>
        </is>
      </c>
      <c r="B479" s="12" t="inlineStr">
        <is>
          <t>Consumer Idempotency</t>
        </is>
      </c>
      <c r="C479" s="12" t="inlineStr">
        <is>
          <t>Idempotency</t>
        </is>
      </c>
      <c r="D479" s="13" t="inlineStr">
        <is>
          <t>TC-Idem-03</t>
        </is>
      </c>
      <c r="E479" s="12" t="inlineStr">
        <is>
          <t>Duplicate Is Discarded, Not Errored</t>
        </is>
      </c>
      <c r="F479" s="13" t="inlineStr">
        <is>
          <t>High</t>
        </is>
      </c>
      <c r="G479" s="12" t="inlineStr">
        <is>
          <t>A duplicate event delivered to the consumer</t>
        </is>
      </c>
      <c r="H479" s="12" t="inlineStr">
        <is>
          <t>1. Deliver the duplicate
2. Observe the consumer outcome and the error channel</t>
        </is>
      </c>
      <c r="I479" s="12" t="inlineStr">
        <is>
          <t>The duplicate is detected and discarded through a conflict-tolerant insert path; it is neither applied nor raised as a processing error that would stall the consumer</t>
        </is>
      </c>
      <c r="J479" s="13" t="inlineStr">
        <is>
          <t>Not Tested</t>
        </is>
      </c>
      <c r="K479" s="13" t="inlineStr">
        <is>
          <t>Integration</t>
        </is>
      </c>
    </row>
    <row r="480" ht="36" customHeight="1">
      <c r="A480" s="12" t="inlineStr">
        <is>
          <t>Balances &amp; Wallet Consistency (EMI-5944)</t>
        </is>
      </c>
      <c r="B480" s="12" t="inlineStr">
        <is>
          <t>Consumer Idempotency</t>
        </is>
      </c>
      <c r="C480" s="12" t="inlineStr">
        <is>
          <t>Idempotency</t>
        </is>
      </c>
      <c r="D480" s="13" t="inlineStr">
        <is>
          <t>TC-Idem-04</t>
        </is>
      </c>
      <c r="E480" s="12" t="inlineStr">
        <is>
          <t>Duplicate Detection Introduces No Read-Modify-Write Race</t>
        </is>
      </c>
      <c r="F480" s="13" t="inlineStr">
        <is>
          <t>High</t>
        </is>
      </c>
      <c r="G480" s="12" t="inlineStr">
        <is>
          <t>High concurrency on the same wallet</t>
        </is>
      </c>
      <c r="H480" s="12" t="inlineStr">
        <is>
          <t>1. Deliver duplicates concurrently under load
2. Inspect projection rows and balances</t>
        </is>
      </c>
      <c r="I480" s="12" t="inlineStr">
        <is>
          <t>Detection does not depend on a read-then-write round trip; concurrent duplicates cannot both pass the check and be applied</t>
        </is>
      </c>
      <c r="J480" s="13" t="inlineStr">
        <is>
          <t>Not Tested</t>
        </is>
      </c>
      <c r="K480" s="13" t="inlineStr">
        <is>
          <t>Integration</t>
        </is>
      </c>
    </row>
    <row r="481" ht="36" customHeight="1">
      <c r="A481" s="12" t="inlineStr">
        <is>
          <t>Balances &amp; Wallet Consistency (EMI-5944)</t>
        </is>
      </c>
      <c r="B481" s="12" t="inlineStr">
        <is>
          <t>Consumer Idempotency</t>
        </is>
      </c>
      <c r="C481" s="12" t="inlineStr">
        <is>
          <t>Position</t>
        </is>
      </c>
      <c r="D481" s="13" t="inlineStr">
        <is>
          <t>TC-Idem-05</t>
        </is>
      </c>
      <c r="E481" s="12" t="inlineStr">
        <is>
          <t>last_applied_position Is Recorded on the Wallet Snapshot</t>
        </is>
      </c>
      <c r="F481" s="13" t="inlineStr">
        <is>
          <t>High</t>
        </is>
      </c>
      <c r="G481" s="12" t="inlineStr">
        <is>
          <t>Consumer applying events for a wallet</t>
        </is>
      </c>
      <c r="H481" s="12" t="inlineStr">
        <is>
          <t>1. Apply a series of events
2. Read last_applied_position on the wallet snapshot</t>
        </is>
      </c>
      <c r="I481" s="12" t="inlineStr">
        <is>
          <t>The position is recorded and advances monotonically in commit order, taken from the CDC commit position</t>
        </is>
      </c>
      <c r="J481" s="13" t="inlineStr">
        <is>
          <t>Not Tested</t>
        </is>
      </c>
      <c r="K481" s="13" t="inlineStr">
        <is>
          <t>Functional</t>
        </is>
      </c>
    </row>
    <row r="482" ht="36" customHeight="1">
      <c r="A482" s="12" t="inlineStr">
        <is>
          <t>Balances &amp; Wallet Consistency (EMI-5944)</t>
        </is>
      </c>
      <c r="B482" s="12" t="inlineStr">
        <is>
          <t>Consumer Idempotency</t>
        </is>
      </c>
      <c r="C482" s="12" t="inlineStr">
        <is>
          <t>Position</t>
        </is>
      </c>
      <c r="D482" s="13" t="inlineStr">
        <is>
          <t>TC-Idem-06</t>
        </is>
      </c>
      <c r="E482" s="12" t="inlineStr">
        <is>
          <t>Commit Position Requires No Ledger Schema Change</t>
        </is>
      </c>
      <c r="F482" s="13" t="inlineStr">
        <is>
          <t>High</t>
        </is>
      </c>
      <c r="G482" s="12" t="inlineStr">
        <is>
          <t>The ledger schema and a sample of Debezium events</t>
        </is>
      </c>
      <c r="H482" s="12" t="inlineStr">
        <is>
          <t>1. Confirm the commit position is present on every Debezium event
2. Compare the transaction_log schema before and after</t>
        </is>
      </c>
      <c r="I482" s="12" t="inlineStr">
        <is>
          <t>The position is available on every event (Postgres source.lsn or MySQL binlog file and pos) and the ledger schema is unchanged</t>
        </is>
      </c>
      <c r="J482" s="13" t="inlineStr">
        <is>
          <t>Not Tested</t>
        </is>
      </c>
      <c r="K482" s="13" t="inlineStr">
        <is>
          <t>Functional</t>
        </is>
      </c>
    </row>
    <row r="483" ht="36" customHeight="1">
      <c r="A483" s="12" t="inlineStr">
        <is>
          <t>Balances &amp; Wallet Consistency (EMI-5944)</t>
        </is>
      </c>
      <c r="B483" s="12" t="inlineStr">
        <is>
          <t>Consumer Idempotency</t>
        </is>
      </c>
      <c r="C483" s="12" t="inlineStr">
        <is>
          <t>Position</t>
        </is>
      </c>
      <c r="D483" s="13" t="inlineStr">
        <is>
          <t>TC-Idem-07</t>
        </is>
      </c>
      <c r="E483" s="12" t="inlineStr">
        <is>
          <t>Stale Event Behind the Recorded Position Is Discarded</t>
        </is>
      </c>
      <c r="F483" s="13" t="inlineStr">
        <is>
          <t>High</t>
        </is>
      </c>
      <c r="G483" s="12" t="inlineStr">
        <is>
          <t>A wallet with an advanced last_applied_position</t>
        </is>
      </c>
      <c r="H483" s="12" t="inlineStr">
        <is>
          <t>1. Deliver an event whose commit position is behind the recorded position
2. Inspect the balance, the discard counter and the log</t>
        </is>
      </c>
      <c r="I483" s="12" t="inlineStr">
        <is>
          <t>The event is discarded, counted and logged; it is never applied and never dropped without record</t>
        </is>
      </c>
      <c r="J483" s="13" t="inlineStr">
        <is>
          <t>Not Tested</t>
        </is>
      </c>
      <c r="K483" s="13" t="inlineStr">
        <is>
          <t>Functional</t>
        </is>
      </c>
    </row>
    <row r="484" ht="36" customHeight="1">
      <c r="A484" s="12" t="inlineStr">
        <is>
          <t>Balances &amp; Wallet Consistency (EMI-5944)</t>
        </is>
      </c>
      <c r="B484" s="12" t="inlineStr">
        <is>
          <t>Consumer Idempotency</t>
        </is>
      </c>
      <c r="C484" s="12" t="inlineStr">
        <is>
          <t>Position</t>
        </is>
      </c>
      <c r="D484" s="13" t="inlineStr">
        <is>
          <t>TC-Idem-08</t>
        </is>
      </c>
      <c r="E484" s="12" t="inlineStr">
        <is>
          <t>Event Exactly At the Recorded Position Is Discarded</t>
        </is>
      </c>
      <c r="F484" s="13" t="inlineStr">
        <is>
          <t>High</t>
        </is>
      </c>
      <c r="G484" s="12" t="inlineStr">
        <is>
          <t>A wallet whose last_applied_position matches an incoming event</t>
        </is>
      </c>
      <c r="H484" s="12" t="inlineStr">
        <is>
          <t>1. Deliver an event whose commit position equals the recorded position</t>
        </is>
      </c>
      <c r="I484" s="12" t="inlineStr">
        <is>
          <t>It is discarded on the same path as a behind-position event; the comparison is at-or-behind, not strictly behind</t>
        </is>
      </c>
      <c r="J484" s="13" t="inlineStr">
        <is>
          <t>Not Tested</t>
        </is>
      </c>
      <c r="K484" s="13" t="inlineStr">
        <is>
          <t>Edge / Boundary</t>
        </is>
      </c>
    </row>
    <row r="485" ht="36" customHeight="1">
      <c r="A485" s="12" t="inlineStr">
        <is>
          <t>Balances &amp; Wallet Consistency (EMI-5944)</t>
        </is>
      </c>
      <c r="B485" s="12" t="inlineStr">
        <is>
          <t>Consumer Idempotency</t>
        </is>
      </c>
      <c r="C485" s="12" t="inlineStr">
        <is>
          <t>Position</t>
        </is>
      </c>
      <c r="D485" s="13" t="inlineStr">
        <is>
          <t>TC-Idem-09</t>
        </is>
      </c>
      <c r="E485" s="12" t="inlineStr">
        <is>
          <t>Conditional Write Is Enforced on the Write Path</t>
        </is>
      </c>
      <c r="F485" s="13" t="inlineStr">
        <is>
          <t>High</t>
        </is>
      </c>
      <c r="G485" s="12" t="inlineStr">
        <is>
          <t>Concurrent delivery of an in-order and a stale event</t>
        </is>
      </c>
      <c r="H485" s="12" t="inlineStr">
        <is>
          <t>1. Deliver both concurrently
2. Inspect which was applied</t>
        </is>
      </c>
      <c r="I485" s="12" t="inlineStr">
        <is>
          <t>The position check is enforced on the conditional balance write itself, so a stale event cannot slip through between a check and a write</t>
        </is>
      </c>
      <c r="J485" s="13" t="inlineStr">
        <is>
          <t>Not Tested</t>
        </is>
      </c>
      <c r="K485" s="13" t="inlineStr">
        <is>
          <t>Integration</t>
        </is>
      </c>
    </row>
    <row r="486" ht="36" customHeight="1">
      <c r="A486" s="12" t="inlineStr">
        <is>
          <t>Balances &amp; Wallet Consistency (EMI-5944)</t>
        </is>
      </c>
      <c r="B486" s="12" t="inlineStr">
        <is>
          <t>Consumer Idempotency</t>
        </is>
      </c>
      <c r="C486" s="12" t="inlineStr">
        <is>
          <t>Replay</t>
        </is>
      </c>
      <c r="D486" s="13" t="inlineStr">
        <is>
          <t>TC-Idem-10</t>
        </is>
      </c>
      <c r="E486" s="12" t="inlineStr">
        <is>
          <t>Replaying an Arbitrary Topic Window Leaves Balances Unchanged</t>
        </is>
      </c>
      <c r="F486" s="13" t="inlineStr">
        <is>
          <t>High</t>
        </is>
      </c>
      <c r="G486" s="12" t="inlineStr">
        <is>
          <t>A set of wallets with known balances</t>
        </is>
      </c>
      <c r="H486" s="12" t="inlineStr">
        <is>
          <t>1. Record all balances
2. Replay an arbitrary window of the topic
3. Re-read the balances</t>
        </is>
      </c>
      <c r="I486" s="12" t="inlineStr">
        <is>
          <t>Every balance is unchanged; the replay produces zero net effect</t>
        </is>
      </c>
      <c r="J486" s="13" t="inlineStr">
        <is>
          <t>Not Tested</t>
        </is>
      </c>
      <c r="K486" s="13" t="inlineStr">
        <is>
          <t>Integration</t>
        </is>
      </c>
    </row>
    <row r="487" ht="36" customHeight="1">
      <c r="A487" s="12" t="inlineStr">
        <is>
          <t>Balances &amp; Wallet Consistency (EMI-5944)</t>
        </is>
      </c>
      <c r="B487" s="12" t="inlineStr">
        <is>
          <t>Consumer Idempotency</t>
        </is>
      </c>
      <c r="C487" s="12" t="inlineStr">
        <is>
          <t>Replay</t>
        </is>
      </c>
      <c r="D487" s="13" t="inlineStr">
        <is>
          <t>TC-Idem-11</t>
        </is>
      </c>
      <c r="E487" s="12" t="inlineStr">
        <is>
          <t>Replaying a Full 24-Hour Window Produces Zero Net Balance Change</t>
        </is>
      </c>
      <c r="F487" s="13" t="inlineStr">
        <is>
          <t>High</t>
        </is>
      </c>
      <c r="G487" s="12" t="inlineStr">
        <is>
          <t>A day of consumed traffic and recorded balances</t>
        </is>
      </c>
      <c r="H487" s="12" t="inlineStr">
        <is>
          <t>1. Deliberately replay the whole 24-hour window
2. Compare balances and projection row counts before and after</t>
        </is>
      </c>
      <c r="I487" s="12" t="inlineStr">
        <is>
          <t>Balances and row counts are identical; no money is moved by the replay</t>
        </is>
      </c>
      <c r="J487" s="13" t="inlineStr">
        <is>
          <t>Not Tested</t>
        </is>
      </c>
      <c r="K487" s="13" t="inlineStr">
        <is>
          <t>Integration</t>
        </is>
      </c>
    </row>
    <row r="488" ht="36" customHeight="1">
      <c r="A488" s="12" t="inlineStr">
        <is>
          <t>Balances &amp; Wallet Consistency (EMI-5944)</t>
        </is>
      </c>
      <c r="B488" s="12" t="inlineStr">
        <is>
          <t>Consumer Idempotency</t>
        </is>
      </c>
      <c r="C488" s="12" t="inlineStr">
        <is>
          <t>Resilience</t>
        </is>
      </c>
      <c r="D488" s="13" t="inlineStr">
        <is>
          <t>TC-Idem-12</t>
        </is>
      </c>
      <c r="E488" s="12" t="inlineStr">
        <is>
          <t>Connector Restart Mid-Stream Changes Nothing</t>
        </is>
      </c>
      <c r="F488" s="13" t="inlineStr">
        <is>
          <t>High</t>
        </is>
      </c>
      <c r="G488" s="12" t="inlineStr">
        <is>
          <t>Connector consuming under load</t>
        </is>
      </c>
      <c r="H488" s="12" t="inlineStr">
        <is>
          <t>1. Record balances and projection row counts
2. Force a connector restart mid-stream
3. Re-check both after recovery</t>
        </is>
      </c>
      <c r="I488" s="12" t="inlineStr">
        <is>
          <t>Balances and projection row counts are unchanged by the restart; redelivered events are absorbed</t>
        </is>
      </c>
      <c r="J488" s="13" t="inlineStr">
        <is>
          <t>Not Tested</t>
        </is>
      </c>
      <c r="K488" s="13" t="inlineStr">
        <is>
          <t>Integration</t>
        </is>
      </c>
    </row>
    <row r="489" ht="36" customHeight="1">
      <c r="A489" s="12" t="inlineStr">
        <is>
          <t>Balances &amp; Wallet Consistency (EMI-5944)</t>
        </is>
      </c>
      <c r="B489" s="12" t="inlineStr">
        <is>
          <t>Consumer Idempotency</t>
        </is>
      </c>
      <c r="C489" s="12" t="inlineStr">
        <is>
          <t>Resilience</t>
        </is>
      </c>
      <c r="D489" s="13" t="inlineStr">
        <is>
          <t>TC-Idem-13</t>
        </is>
      </c>
      <c r="E489" s="12" t="inlineStr">
        <is>
          <t>Consumer Group Rebalance Under Load Changes Nothing</t>
        </is>
      </c>
      <c r="F489" s="13" t="inlineStr">
        <is>
          <t>High</t>
        </is>
      </c>
      <c r="G489" s="12" t="inlineStr">
        <is>
          <t>Consumer group under sustained load</t>
        </is>
      </c>
      <c r="H489" s="12" t="inlineStr">
        <is>
          <t>1. Force a rebalance under load
2. Compare balances and row counts against the expected values</t>
        </is>
      </c>
      <c r="I489" s="12" t="inlineStr">
        <is>
          <t>No double-counting occurs; redelivery caused by the rebalance is absorbed idempotently</t>
        </is>
      </c>
      <c r="J489" s="13" t="inlineStr">
        <is>
          <t>Not Tested</t>
        </is>
      </c>
      <c r="K489" s="13" t="inlineStr">
        <is>
          <t>Integration</t>
        </is>
      </c>
    </row>
    <row r="490" ht="36" customHeight="1">
      <c r="A490" s="12" t="inlineStr">
        <is>
          <t>Balances &amp; Wallet Consistency (EMI-5944)</t>
        </is>
      </c>
      <c r="B490" s="12" t="inlineStr">
        <is>
          <t>Consumer Idempotency</t>
        </is>
      </c>
      <c r="C490" s="12" t="inlineStr">
        <is>
          <t>Resilience</t>
        </is>
      </c>
      <c r="D490" s="13" t="inlineStr">
        <is>
          <t>TC-Idem-14</t>
        </is>
      </c>
      <c r="E490" s="12" t="inlineStr">
        <is>
          <t>Offset-Commit Failure Does Not Move Money</t>
        </is>
      </c>
      <c r="F490" s="13" t="inlineStr">
        <is>
          <t>High</t>
        </is>
      </c>
      <c r="G490" s="12" t="inlineStr">
        <is>
          <t>Consumer with an induced offset-commit failure</t>
        </is>
      </c>
      <c r="H490" s="12" t="inlineStr">
        <is>
          <t>1. Induce the failure so events are redelivered
2. Inspect balances</t>
        </is>
      </c>
      <c r="I490" s="12" t="inlineStr">
        <is>
          <t>Redelivered events are discarded; balances are unaffected. At-least-once delivery is routine, not an incident</t>
        </is>
      </c>
      <c r="J490" s="13" t="inlineStr">
        <is>
          <t>Not Tested</t>
        </is>
      </c>
      <c r="K490" s="13" t="inlineStr">
        <is>
          <t>Integration</t>
        </is>
      </c>
    </row>
    <row r="491" ht="36" customHeight="1">
      <c r="A491" s="12" t="inlineStr">
        <is>
          <t>Balances &amp; Wallet Consistency (EMI-5944)</t>
        </is>
      </c>
      <c r="B491" s="12" t="inlineStr">
        <is>
          <t>Consumer Idempotency</t>
        </is>
      </c>
      <c r="C491" s="12" t="inlineStr">
        <is>
          <t>Regression</t>
        </is>
      </c>
      <c r="D491" s="13" t="inlineStr">
        <is>
          <t>TC-Idem-15</t>
        </is>
      </c>
      <c r="E491" s="12" t="inlineStr">
        <is>
          <t>No Two Projection Rows Share a Ledger Entry Identity</t>
        </is>
      </c>
      <c r="F491" s="13" t="inlineStr">
        <is>
          <t>High</t>
        </is>
      </c>
      <c r="G491" s="12" t="inlineStr">
        <is>
          <t>A populated projection</t>
        </is>
      </c>
      <c r="H491" s="12" t="inlineStr">
        <is>
          <t>1. Query the projection for rows sharing a ledger entry identity</t>
        </is>
      </c>
      <c r="I491" s="12" t="inlineStr">
        <is>
          <t>None exist. This is the direct regression guard for EMI-2059, which recorded multiple running_balance_entry rows sharing one transaction_id</t>
        </is>
      </c>
      <c r="J491" s="13" t="inlineStr">
        <is>
          <t>Not Tested</t>
        </is>
      </c>
      <c r="K491" s="13" t="inlineStr">
        <is>
          <t>Regression</t>
        </is>
      </c>
    </row>
    <row r="492" ht="36" customHeight="1">
      <c r="A492" s="12" t="inlineStr">
        <is>
          <t>Balances &amp; Wallet Consistency (EMI-5944)</t>
        </is>
      </c>
      <c r="B492" s="12" t="inlineStr">
        <is>
          <t>Consumer Idempotency</t>
        </is>
      </c>
      <c r="C492" s="12" t="inlineStr">
        <is>
          <t>Regression</t>
        </is>
      </c>
      <c r="D492" s="13" t="inlineStr">
        <is>
          <t>TC-Idem-16</t>
        </is>
      </c>
      <c r="E492" s="12" t="inlineStr">
        <is>
          <t>Cumulative Balance Is Correct After a Redelivery Storm</t>
        </is>
      </c>
      <c r="F492" s="13" t="inlineStr">
        <is>
          <t>High</t>
        </is>
      </c>
      <c r="G492" s="12" t="inlineStr">
        <is>
          <t>A wallet subjected to heavy redelivery</t>
        </is>
      </c>
      <c r="H492" s="12" t="inlineStr">
        <is>
          <t>1. Drive a redelivery storm for one wallet
2. Check available_balance after every entry</t>
        </is>
      </c>
      <c r="I492" s="12" t="inlineStr">
        <is>
          <t>The cumulative balance remains correct throughout and does not drift upward with redelivery volume</t>
        </is>
      </c>
      <c r="J492" s="13" t="inlineStr">
        <is>
          <t>Not Tested</t>
        </is>
      </c>
      <c r="K492" s="13" t="inlineStr">
        <is>
          <t>Integration</t>
        </is>
      </c>
    </row>
    <row r="493" ht="36" customHeight="1">
      <c r="A493" s="12" t="inlineStr">
        <is>
          <t>Balances &amp; Wallet Consistency (EMI-5944)</t>
        </is>
      </c>
      <c r="B493" s="12" t="inlineStr">
        <is>
          <t>Consumer Idempotency</t>
        </is>
      </c>
      <c r="C493" s="12" t="inlineStr">
        <is>
          <t>Metrics</t>
        </is>
      </c>
      <c r="D493" s="13" t="inlineStr">
        <is>
          <t>TC-Idem-17</t>
        </is>
      </c>
      <c r="E493" s="12" t="inlineStr">
        <is>
          <t>Discarded-Event Count Is Exposed as a Metric</t>
        </is>
      </c>
      <c r="F493" s="13" t="inlineStr">
        <is>
          <t>Medium</t>
        </is>
      </c>
      <c r="G493" s="12" t="inlineStr">
        <is>
          <t>Discards occurring</t>
        </is>
      </c>
      <c r="H493" s="12" t="inlineStr">
        <is>
          <t>1. Cause discards
2. Inspect the exposed metrics</t>
        </is>
      </c>
      <c r="I493" s="12" t="inlineStr">
        <is>
          <t>The discarded-event counter is exposed and increments correctly, so silent suppression is visible</t>
        </is>
      </c>
      <c r="J493" s="13" t="inlineStr">
        <is>
          <t>Not Tested</t>
        </is>
      </c>
      <c r="K493" s="13" t="inlineStr">
        <is>
          <t>Observability</t>
        </is>
      </c>
    </row>
    <row r="494" ht="36" customHeight="1">
      <c r="A494" s="12" t="inlineStr">
        <is>
          <t>Balances &amp; Wallet Consistency (EMI-5944)</t>
        </is>
      </c>
      <c r="B494" s="12" t="inlineStr">
        <is>
          <t>Consumer Idempotency</t>
        </is>
      </c>
      <c r="C494" s="12" t="inlineStr">
        <is>
          <t>Metrics</t>
        </is>
      </c>
      <c r="D494" s="13" t="inlineStr">
        <is>
          <t>TC-Idem-18</t>
        </is>
      </c>
      <c r="E494" s="12" t="inlineStr">
        <is>
          <t>Per-Wallet Consumer Lag Is Derivable and Alerted</t>
        </is>
      </c>
      <c r="F494" s="13" t="inlineStr">
        <is>
          <t>High</t>
        </is>
      </c>
      <c r="G494" s="12" t="inlineStr">
        <is>
          <t>A wallet whose consumer has fallen behind</t>
        </is>
      </c>
      <c r="H494" s="12" t="inlineStr">
        <is>
          <t>1. Induce lag for the wallet
2. Derive lag from last_applied_position against the ledger's current position
3. Cross the alert threshold</t>
        </is>
      </c>
      <c r="I494" s="12" t="inlineStr">
        <is>
          <t>Lag is derivable per wallet, exposed as a metric, and crossing the configured threshold raises an alert</t>
        </is>
      </c>
      <c r="J494" s="13" t="inlineStr">
        <is>
          <t>Not Tested</t>
        </is>
      </c>
      <c r="K494" s="13" t="inlineStr">
        <is>
          <t>Observability</t>
        </is>
      </c>
    </row>
    <row r="495" ht="36" customHeight="1">
      <c r="A495" s="12" t="inlineStr">
        <is>
          <t>Balances &amp; Wallet Consistency (EMI-5944)</t>
        </is>
      </c>
      <c r="B495" s="12" t="inlineStr">
        <is>
          <t>Consumer Idempotency</t>
        </is>
      </c>
      <c r="C495" s="12" t="inlineStr">
        <is>
          <t>Integration</t>
        </is>
      </c>
      <c r="D495" s="13" t="inlineStr">
        <is>
          <t>TC-Idem-19</t>
        </is>
      </c>
      <c r="E495" s="12" t="inlineStr">
        <is>
          <t>Recompute Depends on Entries Counted Exactly Once</t>
        </is>
      </c>
      <c r="F495" s="13" t="inlineStr">
        <is>
          <t>High</t>
        </is>
      </c>
      <c r="G495" s="12" t="inlineStr">
        <is>
          <t>A wallet that has experienced redelivery</t>
        </is>
      </c>
      <c r="H495" s="12" t="inlineStr">
        <is>
          <t>1. Run an EMI-5946 recompute
2. Compare against the projected balance</t>
        </is>
      </c>
      <c r="I495" s="12" t="inlineStr">
        <is>
          <t>Both agree; recompute's ledger aggregate and the projection match because each entry was counted exactly once</t>
        </is>
      </c>
      <c r="J495" s="13" t="inlineStr">
        <is>
          <t>Not Tested</t>
        </is>
      </c>
      <c r="K495" s="13" t="inlineStr">
        <is>
          <t>Edge / Boundary</t>
        </is>
      </c>
    </row>
    <row r="496" ht="36" customHeight="1">
      <c r="A496" s="12" t="inlineStr">
        <is>
          <t>Balances &amp; Wallet Consistency (EMI-5944)</t>
        </is>
      </c>
      <c r="B496" s="12" t="inlineStr">
        <is>
          <t>Consumer Idempotency</t>
        </is>
      </c>
      <c r="C496" s="12" t="inlineStr">
        <is>
          <t>Scope</t>
        </is>
      </c>
      <c r="D496" s="13" t="inlineStr">
        <is>
          <t>TC-Idem-20</t>
        </is>
      </c>
      <c r="E496" s="12" t="inlineStr">
        <is>
          <t>Idempotency Does Not Substitute for Ordering</t>
        </is>
      </c>
      <c r="F496" s="13" t="inlineStr">
        <is>
          <t>High</t>
        </is>
      </c>
      <c r="G496" s="12" t="inlineStr">
        <is>
          <t>Out-of-order delivery for one wallet with idempotency in place</t>
        </is>
      </c>
      <c r="H496" s="12" t="inlineStr">
        <is>
          <t>1. Deliver a wallet's events out of order without duplicates
2. Inspect the outcome</t>
        </is>
      </c>
      <c r="I496" s="12" t="inlineStr">
        <is>
          <t>Idempotency suppresses no out-of-order application; duplicates and ordering are distinct failures handled by separate guarantees (EMI-5947 and EMI-5949)</t>
        </is>
      </c>
      <c r="J496" s="13" t="inlineStr">
        <is>
          <t>Not Tested</t>
        </is>
      </c>
      <c r="K496" s="13" t="inlineStr">
        <is>
          <t>Integration</t>
        </is>
      </c>
    </row>
    <row r="497" ht="36" customHeight="1">
      <c r="A497" s="12" t="inlineStr">
        <is>
          <t>Balances &amp; Wallet Consistency (EMI-5944)</t>
        </is>
      </c>
      <c r="B497" s="12" t="inlineStr">
        <is>
          <t>Lifecycle Ordering Guard</t>
        </is>
      </c>
      <c r="C497" s="12" t="inlineStr">
        <is>
          <t>Guard</t>
        </is>
      </c>
      <c r="D497" s="13" t="inlineStr">
        <is>
          <t>TC-Lifecycle-01</t>
        </is>
      </c>
      <c r="E497" s="12" t="inlineStr">
        <is>
          <t>SUCCESS Is Applied Only After Its PENDING</t>
        </is>
      </c>
      <c r="F497" s="13" t="inlineStr">
        <is>
          <t>High</t>
        </is>
      </c>
      <c r="G497" s="12" t="inlineStr">
        <is>
          <t>A transaction whose SUCCESS posting can be injected ahead of its PENDING</t>
        </is>
      </c>
      <c r="H497" s="12" t="inlineStr">
        <is>
          <t>1. Inject the SUCCESS posting first
2. Inspect the wallet buckets and the parked queue
3. Deliver the PENDING
4. Re-inspect</t>
        </is>
      </c>
      <c r="I497" s="12" t="inlineStr">
        <is>
          <t>The SUCCESS is parked and the wallet is unchanged; once the PENDING arrives both apply and all four buckets are correct</t>
        </is>
      </c>
      <c r="J497" s="13" t="inlineStr">
        <is>
          <t>Not Tested</t>
        </is>
      </c>
      <c r="K497" s="13" t="inlineStr">
        <is>
          <t>Negative</t>
        </is>
      </c>
    </row>
    <row r="498" ht="36" customHeight="1">
      <c r="A498" s="12" t="inlineStr">
        <is>
          <t>Balances &amp; Wallet Consistency (EMI-5944)</t>
        </is>
      </c>
      <c r="B498" s="12" t="inlineStr">
        <is>
          <t>Lifecycle Ordering Guard</t>
        </is>
      </c>
      <c r="C498" s="12" t="inlineStr">
        <is>
          <t>Guard</t>
        </is>
      </c>
      <c r="D498" s="13" t="inlineStr">
        <is>
          <t>TC-Lifecycle-02</t>
        </is>
      </c>
      <c r="E498" s="12" t="inlineStr">
        <is>
          <t>FAILED Is Applied Only After Its PENDING</t>
        </is>
      </c>
      <c r="F498" s="13" t="inlineStr">
        <is>
          <t>High</t>
        </is>
      </c>
      <c r="G498" s="12" t="inlineStr">
        <is>
          <t>A transaction that reserved, with its FAILED posting injectable ahead of the PENDING</t>
        </is>
      </c>
      <c r="H498" s="12" t="inlineStr">
        <is>
          <t>1. Inject the FAILED posting first
2. Inspect buckets and the parked queue
3. Deliver the PENDING
4. Re-inspect</t>
        </is>
      </c>
      <c r="I498" s="12" t="inlineStr">
        <is>
          <t>The FAILED is parked and nothing moves; once the PENDING arrives both apply and the reserve is correctly released back to available</t>
        </is>
      </c>
      <c r="J498" s="13" t="inlineStr">
        <is>
          <t>Not Tested</t>
        </is>
      </c>
      <c r="K498" s="13" t="inlineStr">
        <is>
          <t>Negative</t>
        </is>
      </c>
    </row>
    <row r="499" ht="36" customHeight="1">
      <c r="A499" s="12" t="inlineStr">
        <is>
          <t>Balances &amp; Wallet Consistency (EMI-5944)</t>
        </is>
      </c>
      <c r="B499" s="12" t="inlineStr">
        <is>
          <t>Lifecycle Ordering Guard</t>
        </is>
      </c>
      <c r="C499" s="12" t="inlineStr">
        <is>
          <t>Guard</t>
        </is>
      </c>
      <c r="D499" s="13" t="inlineStr">
        <is>
          <t>TC-Lifecycle-03</t>
        </is>
      </c>
      <c r="E499" s="12" t="inlineStr">
        <is>
          <t>Guard Is Enforced on the Write Path, Not as a Pre-Read Check</t>
        </is>
      </c>
      <c r="F499" s="13" t="inlineStr">
        <is>
          <t>High</t>
        </is>
      </c>
      <c r="G499" s="12" t="inlineStr">
        <is>
          <t>Concurrent delivery of a predecessor and its dependent posting</t>
        </is>
      </c>
      <c r="H499" s="12" t="inlineStr">
        <is>
          <t>1. Deliver both concurrently under load
2. Inspect whether the dependent could be applied before the predecessor committed</t>
        </is>
      </c>
      <c r="I499" s="12" t="inlineStr">
        <is>
          <t>The condition is enforced on the write path itself; there is no window between a read-time check and the write in which a dependent posting can slip through</t>
        </is>
      </c>
      <c r="J499" s="13" t="inlineStr">
        <is>
          <t>Not Tested</t>
        </is>
      </c>
      <c r="K499" s="13" t="inlineStr">
        <is>
          <t>Integration</t>
        </is>
      </c>
    </row>
    <row r="500" ht="36" customHeight="1">
      <c r="A500" s="12" t="inlineStr">
        <is>
          <t>Balances &amp; Wallet Consistency (EMI-5944)</t>
        </is>
      </c>
      <c r="B500" s="12" t="inlineStr">
        <is>
          <t>Lifecycle Ordering Guard</t>
        </is>
      </c>
      <c r="C500" s="12" t="inlineStr">
        <is>
          <t>Guard</t>
        </is>
      </c>
      <c r="D500" s="13" t="inlineStr">
        <is>
          <t>TC-Lifecycle-04</t>
        </is>
      </c>
      <c r="E500" s="12" t="inlineStr">
        <is>
          <t>Lifecycle Stage Applied Is Recorded Per Transaction</t>
        </is>
      </c>
      <c r="F500" s="13" t="inlineStr">
        <is>
          <t>High</t>
        </is>
      </c>
      <c r="G500" s="12" t="inlineStr">
        <is>
          <t>A transaction part-way through its lifecycle</t>
        </is>
      </c>
      <c r="H500" s="12" t="inlineStr">
        <is>
          <t>1. Apply the PENDING posting
2. Inspect the recorded applied stage for that transaction</t>
        </is>
      </c>
      <c r="I500" s="12" t="inlineStr">
        <is>
          <t>The stage already applied is recorded per transaction, so the guard does not have to infer it at read time</t>
        </is>
      </c>
      <c r="J500" s="13" t="inlineStr">
        <is>
          <t>Not Tested</t>
        </is>
      </c>
      <c r="K500" s="13" t="inlineStr">
        <is>
          <t>Negative</t>
        </is>
      </c>
    </row>
    <row r="501" ht="36" customHeight="1">
      <c r="A501" s="12" t="inlineStr">
        <is>
          <t>Balances &amp; Wallet Consistency (EMI-5944)</t>
        </is>
      </c>
      <c r="B501" s="12" t="inlineStr">
        <is>
          <t>Lifecycle Ordering Guard</t>
        </is>
      </c>
      <c r="C501" s="12" t="inlineStr">
        <is>
          <t>Never Reserved</t>
        </is>
      </c>
      <c r="D501" s="13" t="inlineStr">
        <is>
          <t>TC-Lifecycle-05</t>
        </is>
      </c>
      <c r="E501" s="12" t="inlineStr">
        <is>
          <t>FAILED for a Never-Reserved Transaction Is a No-Op, Not a Park</t>
        </is>
      </c>
      <c r="F501" s="13" t="inlineStr">
        <is>
          <t>High</t>
        </is>
      </c>
      <c r="G501" s="12" t="inlineStr">
        <is>
          <t>A transaction that never reserved, with a FAILED posting</t>
        </is>
      </c>
      <c r="H501" s="12" t="inlineStr">
        <is>
          <t>1. Deliver the FAILED posting
2. Inspect the buckets, the entry log and the parked queue</t>
        </is>
      </c>
      <c r="I501" s="12" t="inlineStr">
        <is>
          <t>No balance change occurs and the entry is logged with change type only; it is not parked, because its predecessor never existed. This is the EMI-2013 regression guard</t>
        </is>
      </c>
      <c r="J501" s="13" t="inlineStr">
        <is>
          <t>Not Tested</t>
        </is>
      </c>
      <c r="K501" s="13" t="inlineStr">
        <is>
          <t>Negative</t>
        </is>
      </c>
    </row>
    <row r="502" ht="36" customHeight="1">
      <c r="A502" s="12" t="inlineStr">
        <is>
          <t>Balances &amp; Wallet Consistency (EMI-5944)</t>
        </is>
      </c>
      <c r="B502" s="12" t="inlineStr">
        <is>
          <t>Lifecycle Ordering Guard</t>
        </is>
      </c>
      <c r="C502" s="12" t="inlineStr">
        <is>
          <t>Never Reserved</t>
        </is>
      </c>
      <c r="D502" s="13" t="inlineStr">
        <is>
          <t>TC-Lifecycle-06</t>
        </is>
      </c>
      <c r="E502" s="12" t="inlineStr">
        <is>
          <t>Never Reserved Is Distinguished From Predecessor Not Yet Arrived</t>
        </is>
      </c>
      <c r="F502" s="13" t="inlineStr">
        <is>
          <t>High</t>
        </is>
      </c>
      <c r="G502" s="12" t="inlineStr">
        <is>
          <t>One transaction whose PENDING is delayed and one that never reserved</t>
        </is>
      </c>
      <c r="H502" s="12" t="inlineStr">
        <is>
          <t>1. Deliver the dependent posting for each
2. Inspect how each is classified in the data</t>
        </is>
      </c>
      <c r="I502" s="12" t="inlineStr">
        <is>
          <t>The two are distinguished in the data rather than inferred at read time. Conflating them is exactly the EMI-2013 defect and must not be possible</t>
        </is>
      </c>
      <c r="J502" s="13" t="inlineStr">
        <is>
          <t>Not Tested</t>
        </is>
      </c>
      <c r="K502" s="13" t="inlineStr">
        <is>
          <t>Edge / Boundary</t>
        </is>
      </c>
    </row>
    <row r="503" ht="36" customHeight="1">
      <c r="A503" s="12" t="inlineStr">
        <is>
          <t>Balances &amp; Wallet Consistency (EMI-5944)</t>
        </is>
      </c>
      <c r="B503" s="12" t="inlineStr">
        <is>
          <t>Lifecycle Ordering Guard</t>
        </is>
      </c>
      <c r="C503" s="12" t="inlineStr">
        <is>
          <t>Never Reserved</t>
        </is>
      </c>
      <c r="D503" s="13" t="inlineStr">
        <is>
          <t>TC-Lifecycle-07</t>
        </is>
      </c>
      <c r="E503" s="12" t="inlineStr">
        <is>
          <t>A Reservation That Never Happened Is Never Reversed</t>
        </is>
      </c>
      <c r="F503" s="13" t="inlineStr">
        <is>
          <t>High</t>
        </is>
      </c>
      <c r="G503" s="12" t="inlineStr">
        <is>
          <t>The EMI-2013 scenario reproduced</t>
        </is>
      </c>
      <c r="H503" s="12" t="inlineStr">
        <is>
          <t>1. Reproduce the scenario end to end
2. Check available before and after</t>
        </is>
      </c>
      <c r="I503" s="12" t="inlineStr">
        <is>
          <t>available is not deducted twice; no reversal is applied for a reservation that never took place</t>
        </is>
      </c>
      <c r="J503" s="13" t="inlineStr">
        <is>
          <t>Not Tested</t>
        </is>
      </c>
      <c r="K503" s="13" t="inlineStr">
        <is>
          <t>Negative</t>
        </is>
      </c>
    </row>
    <row r="504" ht="36" customHeight="1">
      <c r="A504" s="12" t="inlineStr">
        <is>
          <t>Balances &amp; Wallet Consistency (EMI-5944)</t>
        </is>
      </c>
      <c r="B504" s="12" t="inlineStr">
        <is>
          <t>Lifecycle Ordering Guard</t>
        </is>
      </c>
      <c r="C504" s="12" t="inlineStr">
        <is>
          <t>Parking</t>
        </is>
      </c>
      <c r="D504" s="13" t="inlineStr">
        <is>
          <t>TC-Lifecycle-08</t>
        </is>
      </c>
      <c r="E504" s="12" t="inlineStr">
        <is>
          <t>Parked Posting Is Never Applied and Never Silently Dropped</t>
        </is>
      </c>
      <c r="F504" s="13" t="inlineStr">
        <is>
          <t>High</t>
        </is>
      </c>
      <c r="G504" s="12" t="inlineStr">
        <is>
          <t>A posting whose predecessor has not arrived</t>
        </is>
      </c>
      <c r="H504" s="12" t="inlineStr">
        <is>
          <t>1. Deliver it
2. Inspect the balance, the parked queue and the log</t>
        </is>
      </c>
      <c r="I504" s="12" t="inlineStr">
        <is>
          <t>The posting is parked with a record and an alert; it is neither applied nor discarded without trace</t>
        </is>
      </c>
      <c r="J504" s="13" t="inlineStr">
        <is>
          <t>Not Tested</t>
        </is>
      </c>
      <c r="K504" s="13" t="inlineStr">
        <is>
          <t>Integration</t>
        </is>
      </c>
    </row>
    <row r="505" ht="36" customHeight="1">
      <c r="A505" s="12" t="inlineStr">
        <is>
          <t>Balances &amp; Wallet Consistency (EMI-5944)</t>
        </is>
      </c>
      <c r="B505" s="12" t="inlineStr">
        <is>
          <t>Lifecycle Ordering Guard</t>
        </is>
      </c>
      <c r="C505" s="12" t="inlineStr">
        <is>
          <t>Parking</t>
        </is>
      </c>
      <c r="D505" s="13" t="inlineStr">
        <is>
          <t>TC-Lifecycle-09</t>
        </is>
      </c>
      <c r="E505" s="12" t="inlineStr">
        <is>
          <t>Parked Posting Resolves Automatically on Predecessor Arrival</t>
        </is>
      </c>
      <c r="F505" s="13" t="inlineStr">
        <is>
          <t>High</t>
        </is>
      </c>
      <c r="G505" s="12" t="inlineStr">
        <is>
          <t>A parked posting awaiting its predecessor</t>
        </is>
      </c>
      <c r="H505" s="12" t="inlineStr">
        <is>
          <t>1. Deliver the missing predecessor
2. Observe the parked posting</t>
        </is>
      </c>
      <c r="I505" s="12" t="inlineStr">
        <is>
          <t>It resolves and applies automatically with no manual intervention, and the resulting buckets are correct</t>
        </is>
      </c>
      <c r="J505" s="13" t="inlineStr">
        <is>
          <t>Not Tested</t>
        </is>
      </c>
      <c r="K505" s="13" t="inlineStr">
        <is>
          <t>Negative</t>
        </is>
      </c>
    </row>
    <row r="506" ht="36" customHeight="1">
      <c r="A506" s="12" t="inlineStr">
        <is>
          <t>Balances &amp; Wallet Consistency (EMI-5944)</t>
        </is>
      </c>
      <c r="B506" s="12" t="inlineStr">
        <is>
          <t>Lifecycle Ordering Guard</t>
        </is>
      </c>
      <c r="C506" s="12" t="inlineStr">
        <is>
          <t>Parking</t>
        </is>
      </c>
      <c r="D506" s="13" t="inlineStr">
        <is>
          <t>TC-Lifecycle-10</t>
        </is>
      </c>
      <c r="E506" s="12" t="inlineStr">
        <is>
          <t>Posting Parked Beyond the Configured Age Is Escalated</t>
        </is>
      </c>
      <c r="F506" s="13" t="inlineStr">
        <is>
          <t>High</t>
        </is>
      </c>
      <c r="G506" s="12" t="inlineStr">
        <is>
          <t>A parked posting whose predecessor never arrives</t>
        </is>
      </c>
      <c r="H506" s="12" t="inlineStr">
        <is>
          <t>1. Leave it parked past the configured escalation age
2. Inspect the alert channel</t>
        </is>
      </c>
      <c r="I506" s="12" t="inlineStr">
        <is>
          <t>It is escalated with an alert; a predecessor that is never coming is a genuine incident rather than a transient</t>
        </is>
      </c>
      <c r="J506" s="13" t="inlineStr">
        <is>
          <t>Not Tested</t>
        </is>
      </c>
      <c r="K506" s="13" t="inlineStr">
        <is>
          <t>Negative</t>
        </is>
      </c>
    </row>
    <row r="507" ht="36" customHeight="1">
      <c r="A507" s="12" t="inlineStr">
        <is>
          <t>Balances &amp; Wallet Consistency (EMI-5944)</t>
        </is>
      </c>
      <c r="B507" s="12" t="inlineStr">
        <is>
          <t>Lifecycle Ordering Guard</t>
        </is>
      </c>
      <c r="C507" s="12" t="inlineStr">
        <is>
          <t>Parking</t>
        </is>
      </c>
      <c r="D507" s="13" t="inlineStr">
        <is>
          <t>TC-Lifecycle-11</t>
        </is>
      </c>
      <c r="E507" s="12" t="inlineStr">
        <is>
          <t>Parked-Posting Count and Age Are Exposed as Metrics</t>
        </is>
      </c>
      <c r="F507" s="13" t="inlineStr">
        <is>
          <t>Medium</t>
        </is>
      </c>
      <c r="G507" s="12" t="inlineStr">
        <is>
          <t>Parked postings of varying ages</t>
        </is>
      </c>
      <c r="H507" s="12" t="inlineStr">
        <is>
          <t>1. Inspect the exposed metrics and the alert threshold</t>
        </is>
      </c>
      <c r="I507" s="12" t="inlineStr">
        <is>
          <t>Count and age are exposed with a configurable alert threshold, so a systemic ordering failure is visible before it becomes an incident</t>
        </is>
      </c>
      <c r="J507" s="13" t="inlineStr">
        <is>
          <t>Not Tested</t>
        </is>
      </c>
      <c r="K507" s="13" t="inlineStr">
        <is>
          <t>Negative</t>
        </is>
      </c>
    </row>
    <row r="508" ht="36" customHeight="1">
      <c r="A508" s="12" t="inlineStr">
        <is>
          <t>Balances &amp; Wallet Consistency (EMI-5944)</t>
        </is>
      </c>
      <c r="B508" s="12" t="inlineStr">
        <is>
          <t>Lifecycle Ordering Guard</t>
        </is>
      </c>
      <c r="C508" s="12" t="inlineStr">
        <is>
          <t>Convergence</t>
        </is>
      </c>
      <c r="D508" s="13" t="inlineStr">
        <is>
          <t>TC-Lifecycle-12</t>
        </is>
      </c>
      <c r="E508" s="12" t="inlineStr">
        <is>
          <t>Reverse-Order Delivery Across All Four Wallets Converges Correctly</t>
        </is>
      </c>
      <c r="F508" s="13" t="inlineStr">
        <is>
          <t>High</t>
        </is>
      </c>
      <c r="G508" s="12" t="inlineStr">
        <is>
          <t>A transaction posting to source, destination, commission and VAT wallets</t>
        </is>
      </c>
      <c r="H508" s="12" t="inlineStr">
        <is>
          <t>1. Deliver the full lifecycle across all four wallets in reverse order
2. Once every posting has been applied, inspect all four wallets</t>
        </is>
      </c>
      <c r="I508" s="12" t="inlineStr">
        <is>
          <t>All four buckets are correct on every wallet once all postings are applied, regardless of the order in which they arrived</t>
        </is>
      </c>
      <c r="J508" s="13" t="inlineStr">
        <is>
          <t>Not Tested</t>
        </is>
      </c>
      <c r="K508" s="13" t="inlineStr">
        <is>
          <t>Integration</t>
        </is>
      </c>
    </row>
    <row r="509" ht="36" customHeight="1">
      <c r="A509" s="12" t="inlineStr">
        <is>
          <t>Balances &amp; Wallet Consistency (EMI-5944)</t>
        </is>
      </c>
      <c r="B509" s="12" t="inlineStr">
        <is>
          <t>Lifecycle Ordering Guard</t>
        </is>
      </c>
      <c r="C509" s="12" t="inlineStr">
        <is>
          <t>Convergence</t>
        </is>
      </c>
      <c r="D509" s="13" t="inlineStr">
        <is>
          <t>TC-Lifecycle-13</t>
        </is>
      </c>
      <c r="E509" s="12" t="inlineStr">
        <is>
          <t>Cross-Wallet Invariant Holds After Convergence</t>
        </is>
      </c>
      <c r="F509" s="13" t="inlineStr">
        <is>
          <t>High</t>
        </is>
      </c>
      <c r="G509" s="12" t="inlineStr">
        <is>
          <t>A transaction delivered out of order and then converged</t>
        </is>
      </c>
      <c r="H509" s="12" t="inlineStr">
        <is>
          <t>1. Let all postings apply
2. Assert sender.reserve_debit equals the sum of reserve_credit across receiver, commission and VAT</t>
        </is>
      </c>
      <c r="I509" s="12" t="inlineStr">
        <is>
          <t>The EMI-602 cross-wallet invariant holds after convergence; no leg is left unapplied or double-applied</t>
        </is>
      </c>
      <c r="J509" s="13" t="inlineStr">
        <is>
          <t>Not Tested</t>
        </is>
      </c>
      <c r="K509" s="13" t="inlineStr">
        <is>
          <t>Integration</t>
        </is>
      </c>
    </row>
    <row r="510" ht="36" customHeight="1">
      <c r="A510" s="12" t="inlineStr">
        <is>
          <t>Balances &amp; Wallet Consistency (EMI-5944)</t>
        </is>
      </c>
      <c r="B510" s="12" t="inlineStr">
        <is>
          <t>Lifecycle Ordering Guard</t>
        </is>
      </c>
      <c r="C510" s="12" t="inlineStr">
        <is>
          <t>Convergence</t>
        </is>
      </c>
      <c r="D510" s="13" t="inlineStr">
        <is>
          <t>TC-Lifecycle-14</t>
        </is>
      </c>
      <c r="E510" s="12" t="inlineStr">
        <is>
          <t>Partial Convergence Leaves the Wallet in a Consistent State</t>
        </is>
      </c>
      <c r="F510" s="13" t="inlineStr">
        <is>
          <t>High</t>
        </is>
      </c>
      <c r="G510" s="12" t="inlineStr">
        <is>
          <t>A transaction where some postings have applied and others are parked</t>
        </is>
      </c>
      <c r="H510" s="12" t="inlineStr">
        <is>
          <t>1. Inspect the participating wallets while postings remain parked</t>
        </is>
      </c>
      <c r="I510" s="12" t="inlineStr">
        <is>
          <t>Each wallet satisfies the per-wallet identity at every point; a partially-converged transaction never leaves a wallet internally inconsistent</t>
        </is>
      </c>
      <c r="J510" s="13" t="inlineStr">
        <is>
          <t>Not Tested</t>
        </is>
      </c>
      <c r="K510" s="13" t="inlineStr">
        <is>
          <t>Integration</t>
        </is>
      </c>
    </row>
    <row r="511" ht="36" customHeight="1">
      <c r="A511" s="12" t="inlineStr">
        <is>
          <t>Balances &amp; Wallet Consistency (EMI-5944)</t>
        </is>
      </c>
      <c r="B511" s="12" t="inlineStr">
        <is>
          <t>Lifecycle Ordering Guard</t>
        </is>
      </c>
      <c r="C511" s="12" t="inlineStr">
        <is>
          <t>Scope</t>
        </is>
      </c>
      <c r="D511" s="13" t="inlineStr">
        <is>
          <t>TC-Lifecycle-15</t>
        </is>
      </c>
      <c r="E511" s="12" t="inlineStr">
        <is>
          <t>No Before-Image or REPLICA IDENTITY FULL Is Required</t>
        </is>
      </c>
      <c r="F511" s="13" t="inlineStr">
        <is>
          <t>High</t>
        </is>
      </c>
      <c r="G511" s="12" t="inlineStr">
        <is>
          <t>The Debezium connector configuration</t>
        </is>
      </c>
      <c r="H511" s="12" t="inlineStr">
        <is>
          <t>1. Inspect the connector configuration and the guard implementation</t>
        </is>
      </c>
      <c r="I511" s="12" t="inlineStr">
        <is>
          <t>No before-image is used and REPLICA IDENTITY FULL is not configured. The ledger is append-only so there is no UPDATE to compare against; the guard tracks applied lifecycle stage instead</t>
        </is>
      </c>
      <c r="J511" s="13" t="inlineStr">
        <is>
          <t>Not Tested</t>
        </is>
      </c>
      <c r="K511" s="13" t="inlineStr">
        <is>
          <t>Architecture</t>
        </is>
      </c>
    </row>
    <row r="512" ht="36" customHeight="1">
      <c r="A512" s="12" t="inlineStr">
        <is>
          <t>Balances &amp; Wallet Consistency (EMI-5944)</t>
        </is>
      </c>
      <c r="B512" s="12" t="inlineStr">
        <is>
          <t>Lifecycle Ordering Guard</t>
        </is>
      </c>
      <c r="C512" s="12" t="inlineStr">
        <is>
          <t>Scope</t>
        </is>
      </c>
      <c r="D512" s="13" t="inlineStr">
        <is>
          <t>TC-Lifecycle-16</t>
        </is>
      </c>
      <c r="E512" s="12" t="inlineStr">
        <is>
          <t>Guard Is Not Made Redundant by Per-Wallet Partitioning</t>
        </is>
      </c>
      <c r="F512" s="13" t="inlineStr">
        <is>
          <t>High</t>
        </is>
      </c>
      <c r="G512" s="12" t="inlineStr">
        <is>
          <t>EMI-5947 partitioning in place; a transaction spanning four wallets</t>
        </is>
      </c>
      <c r="H512" s="12" t="inlineStr">
        <is>
          <t>1. Deliver the source wallet's SUCCESS before the destination wallet's PENDING
2. Observe the guard</t>
        </is>
      </c>
      <c r="I512" s="12" t="inlineStr">
        <is>
          <t>The guard fires and parks the SUCCESS. Per-wallet partitioning orders within a wallet, but a transaction spans four partitions and Kafka does not order across them, so this guarantee is still required</t>
        </is>
      </c>
      <c r="J512" s="13" t="inlineStr">
        <is>
          <t>Not Tested</t>
        </is>
      </c>
      <c r="K512" s="13" t="inlineStr">
        <is>
          <t>Architecture</t>
        </is>
      </c>
    </row>
    <row r="513" ht="36" customHeight="1">
      <c r="A513" s="12" t="inlineStr">
        <is>
          <t>Balances &amp; Wallet Consistency (EMI-5944)</t>
        </is>
      </c>
      <c r="B513" s="12" t="inlineStr">
        <is>
          <t>Lifecycle Ordering Guard</t>
        </is>
      </c>
      <c r="C513" s="12" t="inlineStr">
        <is>
          <t>Adjustments</t>
        </is>
      </c>
      <c r="D513" s="13" t="inlineStr">
        <is>
          <t>TC-Lifecycle-17</t>
        </is>
      </c>
      <c r="E513" s="12" t="inlineStr">
        <is>
          <t>Adjustment Postings Pass the Guard as Ordinary Lifecycle Events</t>
        </is>
      </c>
      <c r="F513" s="13" t="inlineStr">
        <is>
          <t>High</t>
        </is>
      </c>
      <c r="G513" s="12" t="inlineStr">
        <is>
          <t>A settled transaction corrected through the four-step pair-adjustment unwind</t>
        </is>
      </c>
      <c r="H513" s="12" t="inlineStr">
        <is>
          <t>1. Deliver the four appended adjustment postings
2. Observe the guard and the resulting buckets</t>
        </is>
      </c>
      <c r="I513" s="12" t="inlineStr">
        <is>
          <t>They pass the guard as ordinary lifecycle events with no special-casing, and the corrected position is reached</t>
        </is>
      </c>
      <c r="J513" s="13" t="inlineStr">
        <is>
          <t>Not Tested</t>
        </is>
      </c>
      <c r="K513" s="13" t="inlineStr">
        <is>
          <t>Functional</t>
        </is>
      </c>
    </row>
    <row r="514" ht="36" customHeight="1">
      <c r="A514" s="12" t="inlineStr">
        <is>
          <t>Balances &amp; Wallet Consistency (EMI-5944)</t>
        </is>
      </c>
      <c r="B514" s="12" t="inlineStr">
        <is>
          <t>Lifecycle Ordering Guard</t>
        </is>
      </c>
      <c r="C514" s="12" t="inlineStr">
        <is>
          <t>Adjustments</t>
        </is>
      </c>
      <c r="D514" s="13" t="inlineStr">
        <is>
          <t>TC-Lifecycle-18</t>
        </is>
      </c>
      <c r="E514" s="12" t="inlineStr">
        <is>
          <t>Out-of-Order Adjustment Postings Are Parked and Converge</t>
        </is>
      </c>
      <c r="F514" s="13" t="inlineStr">
        <is>
          <t>Medium</t>
        </is>
      </c>
      <c r="G514" s="12" t="inlineStr">
        <is>
          <t>The four adjustment postings deliverable out of order</t>
        </is>
      </c>
      <c r="H514" s="12" t="inlineStr">
        <is>
          <t>1. Deliver them out of order
2. Observe parking and eventual convergence</t>
        </is>
      </c>
      <c r="I514" s="12" t="inlineStr">
        <is>
          <t>Postings whose predecessor has not applied are parked, then resolve on arrival, and the final position is correct</t>
        </is>
      </c>
      <c r="J514" s="13" t="inlineStr">
        <is>
          <t>Not Tested</t>
        </is>
      </c>
      <c r="K514" s="13" t="inlineStr">
        <is>
          <t>Functional</t>
        </is>
      </c>
    </row>
    <row r="515" ht="36" customHeight="1">
      <c r="A515" s="12" t="inlineStr">
        <is>
          <t>Balances &amp; Wallet Consistency (EMI-5944)</t>
        </is>
      </c>
      <c r="B515" s="12" t="inlineStr">
        <is>
          <t>Lifecycle Ordering Guard</t>
        </is>
      </c>
      <c r="C515" s="12" t="inlineStr">
        <is>
          <t>Regression</t>
        </is>
      </c>
      <c r="D515" s="13" t="inlineStr">
        <is>
          <t>TC-Lifecycle-19</t>
        </is>
      </c>
      <c r="E515" s="12" t="inlineStr">
        <is>
          <t>Reserve Not Released After a Failed EOD Bank Statement</t>
        </is>
      </c>
      <c r="F515" s="13" t="inlineStr">
        <is>
          <t>High</t>
        </is>
      </c>
      <c r="G515" s="12" t="inlineStr">
        <is>
          <t>The EMI-5771 scenario reproduced</t>
        </is>
      </c>
      <c r="H515" s="12" t="inlineStr">
        <is>
          <t>1. Reproduce the failed EOD bank statement
2. Inspect reserve_debit and available</t>
        </is>
      </c>
      <c r="I515" s="12" t="inlineStr">
        <is>
          <t>reserve_debit is correctly returned to available; the four-occurrence recurring failure signature does not reproduce</t>
        </is>
      </c>
      <c r="J515" s="13" t="inlineStr">
        <is>
          <t>Not Tested</t>
        </is>
      </c>
      <c r="K515" s="13" t="inlineStr">
        <is>
          <t>Negative</t>
        </is>
      </c>
    </row>
    <row r="516" ht="36" customHeight="1">
      <c r="A516" s="12" t="inlineStr">
        <is>
          <t>Balances &amp; Wallet Consistency (EMI-5944)</t>
        </is>
      </c>
      <c r="B516" s="12" t="inlineStr">
        <is>
          <t>Lifecycle Ordering Guard</t>
        </is>
      </c>
      <c r="C516" s="12" t="inlineStr">
        <is>
          <t>Regression</t>
        </is>
      </c>
      <c r="D516" s="13" t="inlineStr">
        <is>
          <t>TC-Lifecycle-20</t>
        </is>
      </c>
      <c r="E516" s="12" t="inlineStr">
        <is>
          <t>Reserved Funds Not Released on Failure or Refund</t>
        </is>
      </c>
      <c r="F516" s="13" t="inlineStr">
        <is>
          <t>High</t>
        </is>
      </c>
      <c r="G516" s="12" t="inlineStr">
        <is>
          <t>The EMI-4591 scenario reproduced</t>
        </is>
      </c>
      <c r="H516" s="12" t="inlineStr">
        <is>
          <t>1. Reproduce the failure and the refund paths
2. Inspect the reserve buckets on every participating wallet</t>
        </is>
      </c>
      <c r="I516" s="12" t="inlineStr">
        <is>
          <t>Reserved funds are released on both paths and no reserve is left stranded</t>
        </is>
      </c>
      <c r="J516" s="13" t="inlineStr">
        <is>
          <t>Not Tested</t>
        </is>
      </c>
      <c r="K516" s="13" t="inlineStr">
        <is>
          <t>Negative</t>
        </is>
      </c>
    </row>
    <row r="517" ht="36" customHeight="1">
      <c r="A517" s="12" t="inlineStr">
        <is>
          <t>Balances &amp; Wallet Consistency (EMI-5944)</t>
        </is>
      </c>
      <c r="B517" s="12" t="inlineStr">
        <is>
          <t>Lifecycle Ordering Guard</t>
        </is>
      </c>
      <c r="C517" s="12" t="inlineStr">
        <is>
          <t>Integration</t>
        </is>
      </c>
      <c r="D517" s="13" t="inlineStr">
        <is>
          <t>TC-Lifecycle-21</t>
        </is>
      </c>
      <c r="E517" s="12" t="inlineStr">
        <is>
          <t>Guard Reduces but Does Not Replace Detection</t>
        </is>
      </c>
      <c r="F517" s="13" t="inlineStr">
        <is>
          <t>High</t>
        </is>
      </c>
      <c r="G517" s="12" t="inlineStr">
        <is>
          <t>The guard active, with a leg deliberately never produced</t>
        </is>
      </c>
      <c r="H517" s="12" t="inlineStr">
        <is>
          <t>1. Let the guard run
2. Run the EMI-5950 cross-wallet conservation check</t>
        </is>
      </c>
      <c r="I517" s="12" t="inlineStr">
        <is>
          <t>The guard cannot prevent a leg that was never produced at all; conservation still detects it as a shortfall. Prevention and detection are complementary and both are required</t>
        </is>
      </c>
      <c r="J517" s="13" t="inlineStr">
        <is>
          <t>Not Tested</t>
        </is>
      </c>
      <c r="K517" s="13" t="inlineStr">
        <is>
          <t>Integration</t>
        </is>
      </c>
    </row>
    <row r="518" ht="36" customHeight="1">
      <c r="A518" s="12" t="inlineStr">
        <is>
          <t>Balances &amp; Wallet Consistency (EMI-5944)</t>
        </is>
      </c>
      <c r="B518" s="12" t="inlineStr">
        <is>
          <t>Lifecycle Ordering Guard</t>
        </is>
      </c>
      <c r="C518" s="12" t="inlineStr">
        <is>
          <t>Integration</t>
        </is>
      </c>
      <c r="D518" s="13" t="inlineStr">
        <is>
          <t>TC-Lifecycle-22</t>
        </is>
      </c>
      <c r="E518" s="12" t="inlineStr">
        <is>
          <t>Guard Reduces the Stuck-Reserve Population</t>
        </is>
      </c>
      <c r="F518" s="13" t="inlineStr">
        <is>
          <t>Medium</t>
        </is>
      </c>
      <c r="G518" s="12" t="inlineStr">
        <is>
          <t>A period of traffic with the guard active</t>
        </is>
      </c>
      <c r="H518" s="12" t="inlineStr">
        <is>
          <t>1. Run EMI-5951 stuck reserve detection over the period
2. Compare against a comparable period without the guard</t>
        </is>
      </c>
      <c r="I518" s="12" t="inlineStr">
        <is>
          <t>The stuck-reserve population is materially reduced; detection continues to find the residue the guard cannot prevent</t>
        </is>
      </c>
      <c r="J518" s="13" t="inlineStr">
        <is>
          <t>Not Tested</t>
        </is>
      </c>
      <c r="K518" s="13" t="inlineStr">
        <is>
          <t>Integration</t>
        </is>
      </c>
    </row>
    <row r="519" ht="36" customHeight="1">
      <c r="A519" s="12" t="inlineStr">
        <is>
          <t>Balances &amp; Wallet Consistency (EMI-5944)</t>
        </is>
      </c>
      <c r="B519" s="12" t="inlineStr">
        <is>
          <t>Lifecycle Ordering Guard</t>
        </is>
      </c>
      <c r="C519" s="12" t="inlineStr">
        <is>
          <t>Non-Functional</t>
        </is>
      </c>
      <c r="D519" s="13" t="inlineStr">
        <is>
          <t>TC-Lifecycle-23</t>
        </is>
      </c>
      <c r="E519" s="12" t="inlineStr">
        <is>
          <t>Guard Does Not Materially Slow the Consumer</t>
        </is>
      </c>
      <c r="F519" s="13" t="inlineStr">
        <is>
          <t>High</t>
        </is>
      </c>
      <c r="G519" s="12" t="inlineStr">
        <is>
          <t>Production-representative load</t>
        </is>
      </c>
      <c r="H519" s="12" t="inlineStr">
        <is>
          <t>1. Measure consumer throughput and lag with the guard enabled and disabled</t>
        </is>
      </c>
      <c r="I519" s="12" t="inlineStr">
        <is>
          <t>Throughput meets production volume with the guard enabled and lag stays bounded</t>
        </is>
      </c>
      <c r="J519" s="13" t="inlineStr">
        <is>
          <t>Not Tested</t>
        </is>
      </c>
      <c r="K519" s="13" t="inlineStr">
        <is>
          <t>Performance / NFR</t>
        </is>
      </c>
    </row>
    <row r="520" ht="36" customHeight="1">
      <c r="A520" s="12" t="inlineStr">
        <is>
          <t>Balances &amp; Wallet Consistency (EMI-5944)</t>
        </is>
      </c>
      <c r="B520" s="12" t="inlineStr">
        <is>
          <t>Lifecycle Ordering Guard</t>
        </is>
      </c>
      <c r="C520" s="12" t="inlineStr">
        <is>
          <t>Non-Functional</t>
        </is>
      </c>
      <c r="D520" s="13" t="inlineStr">
        <is>
          <t>TC-Lifecycle-24</t>
        </is>
      </c>
      <c r="E520" s="12" t="inlineStr">
        <is>
          <t>Parked Postings Are Retained and Auditable</t>
        </is>
      </c>
      <c r="F520" s="13" t="inlineStr">
        <is>
          <t>Medium</t>
        </is>
      </c>
      <c r="G520" s="12" t="inlineStr">
        <is>
          <t>Parked and resolved postings present</t>
        </is>
      </c>
      <c r="H520" s="12" t="inlineStr">
        <is>
          <t>1. Attempt to update or delete a parked-posting record
2. Query resolved ones</t>
        </is>
      </c>
      <c r="I520" s="12" t="inlineStr">
        <is>
          <t>Records are immutable and retained, so the ordering behaviour of the pipeline is auditable after the fact</t>
        </is>
      </c>
      <c r="J520" s="13" t="inlineStr">
        <is>
          <t>Not Tested</t>
        </is>
      </c>
      <c r="K520" s="13" t="inlineStr">
        <is>
          <t>Performance / NFR</t>
        </is>
      </c>
    </row>
    <row r="521" ht="36" customHeight="1">
      <c r="A521" s="12" t="inlineStr">
        <is>
          <t>Balances &amp; Wallet Consistency (EMI-5944)</t>
        </is>
      </c>
      <c r="B521" s="12" t="inlineStr">
        <is>
          <t>Statement History Rebuild</t>
        </is>
      </c>
      <c r="C521" s="12" t="inlineStr">
        <is>
          <t>Preflight</t>
        </is>
      </c>
      <c r="D521" s="13" t="inlineStr">
        <is>
          <t>TC-Rebuild-01</t>
        </is>
      </c>
      <c r="E521" s="12" t="inlineStr">
        <is>
          <t>No-Op When Running Balance Already Matches the Ledger</t>
        </is>
      </c>
      <c r="F521" s="13" t="inlineStr">
        <is>
          <t>High</t>
        </is>
      </c>
      <c r="G521" s="12" t="inlineStr">
        <is>
          <t>A date range whose running_balance agrees with the ledger and no ledger postings created since the last successful rebuild</t>
        </is>
      </c>
      <c r="H521" s="12" t="inlineStr">
        <is>
          <t>1. Trigger a rebuild for the range
2. Inspect running_balance, the archive table and every wallet balance in scope</t>
        </is>
      </c>
      <c r="I521" s="12" t="inlineStr">
        <is>
          <t>Run completes as NO_OP; nothing archived, no entry rewritten, no wallet balance changed; the run is still recorded in reconciliation_runs with its variance result</t>
        </is>
      </c>
      <c r="J521" s="13" t="inlineStr">
        <is>
          <t>Not Tested</t>
        </is>
      </c>
      <c r="K521" s="13" t="inlineStr">
        <is>
          <t>Functional</t>
        </is>
      </c>
    </row>
    <row r="522" ht="36" customHeight="1">
      <c r="A522" s="12" t="inlineStr">
        <is>
          <t>Balances &amp; Wallet Consistency (EMI-5944)</t>
        </is>
      </c>
      <c r="B522" s="12" t="inlineStr">
        <is>
          <t>Statement History Rebuild</t>
        </is>
      </c>
      <c r="C522" s="12" t="inlineStr">
        <is>
          <t>Preflight</t>
        </is>
      </c>
      <c r="D522" s="13" t="inlineStr">
        <is>
          <t>TC-Rebuild-02</t>
        </is>
      </c>
      <c r="E522" s="12" t="inlineStr">
        <is>
          <t>Variance Computed Before Any Mutation</t>
        </is>
      </c>
      <c r="F522" s="13" t="inlineStr">
        <is>
          <t>High</t>
        </is>
      </c>
      <c r="G522" s="12" t="inlineStr">
        <is>
          <t>A range where running_balance has drifted from the ledger</t>
        </is>
      </c>
      <c r="H522" s="12" t="inlineStr">
        <is>
          <t>1. Trigger a rebuild
2. Trace the order of operations</t>
        </is>
      </c>
      <c r="I522" s="12" t="inlineStr">
        <is>
          <t>Variance between running_balance and the ledger-derived balance is computed before any archive or write occurs</t>
        </is>
      </c>
      <c r="J522" s="13" t="inlineStr">
        <is>
          <t>Not Tested</t>
        </is>
      </c>
      <c r="K522" s="13" t="inlineStr">
        <is>
          <t>Integration</t>
        </is>
      </c>
    </row>
    <row r="523" ht="36" customHeight="1">
      <c r="A523" s="12" t="inlineStr">
        <is>
          <t>Balances &amp; Wallet Consistency (EMI-5944)</t>
        </is>
      </c>
      <c r="B523" s="12" t="inlineStr">
        <is>
          <t>Statement History Rebuild</t>
        </is>
      </c>
      <c r="C523" s="12" t="inlineStr">
        <is>
          <t>Functional</t>
        </is>
      </c>
      <c r="D523" s="13" t="inlineStr">
        <is>
          <t>TC-Rebuild-03</t>
        </is>
      </c>
      <c r="E523" s="12" t="inlineStr">
        <is>
          <t>Rebuild Corrects a Drifted Range</t>
        </is>
      </c>
      <c r="F523" s="13" t="inlineStr">
        <is>
          <t>High</t>
        </is>
      </c>
      <c r="G523" s="12" t="inlineStr">
        <is>
          <t>A range where running_balance has drifted from the ledger</t>
        </is>
      </c>
      <c r="H523" s="12" t="inlineStr">
        <is>
          <t>1. Trigger a rebuild for the range
2. Compare regenerated entries against ledger-derived values</t>
        </is>
      </c>
      <c r="I523" s="12" t="inlineStr">
        <is>
          <t>Entries are regenerated; all four buckets match the ledger-derived values; variance is reported per wallet and per bucket</t>
        </is>
      </c>
      <c r="J523" s="13" t="inlineStr">
        <is>
          <t>Not Tested</t>
        </is>
      </c>
      <c r="K523" s="13" t="inlineStr">
        <is>
          <t>Functional</t>
        </is>
      </c>
    </row>
    <row r="524" ht="36" customHeight="1">
      <c r="A524" s="12" t="inlineStr">
        <is>
          <t>Balances &amp; Wallet Consistency (EMI-5944)</t>
        </is>
      </c>
      <c r="B524" s="12" t="inlineStr">
        <is>
          <t>Statement History Rebuild</t>
        </is>
      </c>
      <c r="C524" s="12" t="inlineStr">
        <is>
          <t>Idempotency</t>
        </is>
      </c>
      <c r="D524" s="13" t="inlineStr">
        <is>
          <t>TC-Rebuild-04</t>
        </is>
      </c>
      <c r="E524" s="12" t="inlineStr">
        <is>
          <t>Repeated Rebuild Over an Unchanged Ledger</t>
        </is>
      </c>
      <c r="F524" s="13" t="inlineStr">
        <is>
          <t>High</t>
        </is>
      </c>
      <c r="G524" s="12" t="inlineStr">
        <is>
          <t>A completed rebuild over a range whose ledger has not changed since</t>
        </is>
      </c>
      <c r="H524" s="12" t="inlineStr">
        <is>
          <t>1. Run the identical rebuild a second time
2. Compare the resulting running_balance state</t>
        </is>
      </c>
      <c r="I524" s="12" t="inlineStr">
        <is>
          <t>Second run completes as NO_OP; final state is identical to the state after the first run</t>
        </is>
      </c>
      <c r="J524" s="13" t="inlineStr">
        <is>
          <t>Not Tested</t>
        </is>
      </c>
      <c r="K524" s="13" t="inlineStr">
        <is>
          <t>Integration</t>
        </is>
      </c>
    </row>
    <row r="525" ht="36" customHeight="1">
      <c r="A525" s="12" t="inlineStr">
        <is>
          <t>Balances &amp; Wallet Consistency (EMI-5944)</t>
        </is>
      </c>
      <c r="B525" s="12" t="inlineStr">
        <is>
          <t>Statement History Rebuild</t>
        </is>
      </c>
      <c r="C525" s="12" t="inlineStr">
        <is>
          <t>Anchor</t>
        </is>
      </c>
      <c r="D525" s="13" t="inlineStr">
        <is>
          <t>TC-Rebuild-05</t>
        </is>
      </c>
      <c r="E525" s="12" t="inlineStr">
        <is>
          <t>Genesis Wallet Opens at Zero Across All Four Buckets</t>
        </is>
      </c>
      <c r="F525" s="13" t="inlineStr">
        <is>
          <t>Medium</t>
        </is>
      </c>
      <c r="G525" s="12" t="inlineStr">
        <is>
          <t>A wallet with no running_balance entries before from_date</t>
        </is>
      </c>
      <c r="H525" s="12" t="inlineStr">
        <is>
          <t>1. Rebuild a range for that wallet
2. Inspect the opening balance and the run record</t>
        </is>
      </c>
      <c r="I525" s="12" t="inlineStr">
        <is>
          <t>Wallet opens at zero on available, reserve_debit, reserve_credit and current; the genesis condition is recorded on the run</t>
        </is>
      </c>
      <c r="J525" s="13" t="inlineStr">
        <is>
          <t>Not Tested</t>
        </is>
      </c>
      <c r="K525" s="13" t="inlineStr">
        <is>
          <t>Edge / Boundary</t>
        </is>
      </c>
    </row>
    <row r="526" ht="36" customHeight="1">
      <c r="A526" s="12" t="inlineStr">
        <is>
          <t>Balances &amp; Wallet Consistency (EMI-5944)</t>
        </is>
      </c>
      <c r="B526" s="12" t="inlineStr">
        <is>
          <t>Statement History Rebuild</t>
        </is>
      </c>
      <c r="C526" s="12" t="inlineStr">
        <is>
          <t>Anchor</t>
        </is>
      </c>
      <c r="D526" s="13" t="inlineStr">
        <is>
          <t>TC-Rebuild-06</t>
        </is>
      </c>
      <c r="E526" s="12" t="inlineStr">
        <is>
          <t>Mid-History Window Anchors on the Last Valid Prior Entry</t>
        </is>
      </c>
      <c r="F526" s="13" t="inlineStr">
        <is>
          <t>High</t>
        </is>
      </c>
      <c r="G526" s="12" t="inlineStr">
        <is>
          <t>A wallet with entries both before and after the chosen range</t>
        </is>
      </c>
      <c r="H526" s="12" t="inlineStr">
        <is>
          <t>1. Rebuild only the mid-history window
2. Compare the opening balance with the after-values of the last entry strictly before from_date
3. Inspect entries after to_date</t>
        </is>
      </c>
      <c r="I526" s="12" t="inlineStr">
        <is>
          <t>Opening balance equals the after-values of the last valid entry before from_date across all four buckets; entries after to_date are untouched</t>
        </is>
      </c>
      <c r="J526" s="13" t="inlineStr">
        <is>
          <t>Not Tested</t>
        </is>
      </c>
      <c r="K526" s="13" t="inlineStr">
        <is>
          <t>Functional</t>
        </is>
      </c>
    </row>
    <row r="527" ht="36" customHeight="1">
      <c r="A527" s="12" t="inlineStr">
        <is>
          <t>Balances &amp; Wallet Consistency (EMI-5944)</t>
        </is>
      </c>
      <c r="B527" s="12" t="inlineStr">
        <is>
          <t>Statement History Rebuild</t>
        </is>
      </c>
      <c r="C527" s="12" t="inlineStr">
        <is>
          <t>Replay</t>
        </is>
      </c>
      <c r="D527" s="13" t="inlineStr">
        <is>
          <t>TC-Rebuild-07</t>
        </is>
      </c>
      <c r="E527" s="12" t="inlineStr">
        <is>
          <t>PENDING on the Source Moves Available to Reserve Debit</t>
        </is>
      </c>
      <c r="F527" s="13" t="inlineStr">
        <is>
          <t>High</t>
        </is>
      </c>
      <c r="G527" s="12" t="inlineStr">
        <is>
          <t>A range containing an outgoing PENDING posting</t>
        </is>
      </c>
      <c r="H527" s="12" t="inlineStr">
        <is>
          <t>1. Rebuild the range
2. Inspect the replayed entry for the source wallet</t>
        </is>
      </c>
      <c r="I527" s="12" t="inlineStr">
        <is>
          <t>available decreases, reserve_debit increases by the same amount, and current is unchanged</t>
        </is>
      </c>
      <c r="J527" s="13" t="inlineStr">
        <is>
          <t>Not Tested</t>
        </is>
      </c>
      <c r="K527" s="13" t="inlineStr">
        <is>
          <t>Integration</t>
        </is>
      </c>
    </row>
    <row r="528" ht="36" customHeight="1">
      <c r="A528" s="12" t="inlineStr">
        <is>
          <t>Balances &amp; Wallet Consistency (EMI-5944)</t>
        </is>
      </c>
      <c r="B528" s="12" t="inlineStr">
        <is>
          <t>Statement History Rebuild</t>
        </is>
      </c>
      <c r="C528" s="12" t="inlineStr">
        <is>
          <t>Replay</t>
        </is>
      </c>
      <c r="D528" s="13" t="inlineStr">
        <is>
          <t>TC-Rebuild-08</t>
        </is>
      </c>
      <c r="E528" s="12" t="inlineStr">
        <is>
          <t>PENDING on the Destination Populates Reserve Credit Only</t>
        </is>
      </c>
      <c r="F528" s="13" t="inlineStr">
        <is>
          <t>High</t>
        </is>
      </c>
      <c r="G528" s="12" t="inlineStr">
        <is>
          <t>A range containing an incoming PENDING posting</t>
        </is>
      </c>
      <c r="H528" s="12" t="inlineStr">
        <is>
          <t>1. Rebuild the range
2. Inspect the replayed entry for the destination wallet</t>
        </is>
      </c>
      <c r="I528" s="12" t="inlineStr">
        <is>
          <t>reserve_credit increases; available and current are both unchanged. This is the most commonly misread rule in the model</t>
        </is>
      </c>
      <c r="J528" s="13" t="inlineStr">
        <is>
          <t>Not Tested</t>
        </is>
      </c>
      <c r="K528" s="13" t="inlineStr">
        <is>
          <t>Integration</t>
        </is>
      </c>
    </row>
    <row r="529" ht="36" customHeight="1">
      <c r="A529" s="12" t="inlineStr">
        <is>
          <t>Balances &amp; Wallet Consistency (EMI-5944)</t>
        </is>
      </c>
      <c r="B529" s="12" t="inlineStr">
        <is>
          <t>Statement History Rebuild</t>
        </is>
      </c>
      <c r="C529" s="12" t="inlineStr">
        <is>
          <t>Replay</t>
        </is>
      </c>
      <c r="D529" s="13" t="inlineStr">
        <is>
          <t>TC-Rebuild-09</t>
        </is>
      </c>
      <c r="E529" s="12" t="inlineStr">
        <is>
          <t>SUCCESS Settles Both Sides Correctly</t>
        </is>
      </c>
      <c r="F529" s="13" t="inlineStr">
        <is>
          <t>High</t>
        </is>
      </c>
      <c r="G529" s="12" t="inlineStr">
        <is>
          <t>A range containing a PENDING followed by its SUCCESS</t>
        </is>
      </c>
      <c r="H529" s="12" t="inlineStr">
        <is>
          <t>1. Rebuild the range
2. Inspect the source and destination entries at settlement</t>
        </is>
      </c>
      <c r="I529" s="12" t="inlineStr">
        <is>
          <t>Source: reserve_debit decreases and current decreases. Destination: reserve_credit decreases, available increases and current increases</t>
        </is>
      </c>
      <c r="J529" s="13" t="inlineStr">
        <is>
          <t>Not Tested</t>
        </is>
      </c>
      <c r="K529" s="13" t="inlineStr">
        <is>
          <t>Integration</t>
        </is>
      </c>
    </row>
    <row r="530" ht="36" customHeight="1">
      <c r="A530" s="12" t="inlineStr">
        <is>
          <t>Balances &amp; Wallet Consistency (EMI-5944)</t>
        </is>
      </c>
      <c r="B530" s="12" t="inlineStr">
        <is>
          <t>Statement History Rebuild</t>
        </is>
      </c>
      <c r="C530" s="12" t="inlineStr">
        <is>
          <t>Replay</t>
        </is>
      </c>
      <c r="D530" s="13" t="inlineStr">
        <is>
          <t>TC-Rebuild-10</t>
        </is>
      </c>
      <c r="E530" s="12" t="inlineStr">
        <is>
          <t>FAILED After a Reserve Returns the Money to Available</t>
        </is>
      </c>
      <c r="F530" s="13" t="inlineStr">
        <is>
          <t>High</t>
        </is>
      </c>
      <c r="G530" s="12" t="inlineStr">
        <is>
          <t>A range containing a PENDING followed by a FAILED where the amount was reserved</t>
        </is>
      </c>
      <c r="H530" s="12" t="inlineStr">
        <is>
          <t>1. Rebuild the range
2. Inspect the source entry at failure</t>
        </is>
      </c>
      <c r="I530" s="12" t="inlineStr">
        <is>
          <t>reserve_debit decreases, available increases by the same amount, and current is unchanged</t>
        </is>
      </c>
      <c r="J530" s="13" t="inlineStr">
        <is>
          <t>Not Tested</t>
        </is>
      </c>
      <c r="K530" s="13" t="inlineStr">
        <is>
          <t>Negative</t>
        </is>
      </c>
    </row>
    <row r="531" ht="36" customHeight="1">
      <c r="A531" s="12" t="inlineStr">
        <is>
          <t>Balances &amp; Wallet Consistency (EMI-5944)</t>
        </is>
      </c>
      <c r="B531" s="12" t="inlineStr">
        <is>
          <t>Statement History Rebuild</t>
        </is>
      </c>
      <c r="C531" s="12" t="inlineStr">
        <is>
          <t>Replay</t>
        </is>
      </c>
      <c r="D531" s="13" t="inlineStr">
        <is>
          <t>TC-Rebuild-11</t>
        </is>
      </c>
      <c r="E531" s="12" t="inlineStr">
        <is>
          <t>FAILED on a Pending Credit Releases the Destination</t>
        </is>
      </c>
      <c r="F531" s="13" t="inlineStr">
        <is>
          <t>Medium</t>
        </is>
      </c>
      <c r="G531" s="12" t="inlineStr">
        <is>
          <t>A range containing a failed incoming payment that had populated reserve_credit</t>
        </is>
      </c>
      <c r="H531" s="12" t="inlineStr">
        <is>
          <t>1. Rebuild the range
2. Inspect the destination entry at failure</t>
        </is>
      </c>
      <c r="I531" s="12" t="inlineStr">
        <is>
          <t>reserve_credit decreases; available and current are both unchanged</t>
        </is>
      </c>
      <c r="J531" s="13" t="inlineStr">
        <is>
          <t>Not Tested</t>
        </is>
      </c>
      <c r="K531" s="13" t="inlineStr">
        <is>
          <t>Negative</t>
        </is>
      </c>
    </row>
    <row r="532" ht="36" customHeight="1">
      <c r="A532" s="12" t="inlineStr">
        <is>
          <t>Balances &amp; Wallet Consistency (EMI-5944)</t>
        </is>
      </c>
      <c r="B532" s="12" t="inlineStr">
        <is>
          <t>Statement History Rebuild</t>
        </is>
      </c>
      <c r="C532" s="12" t="inlineStr">
        <is>
          <t>Replay</t>
        </is>
      </c>
      <c r="D532" s="13" t="inlineStr">
        <is>
          <t>TC-Rebuild-12</t>
        </is>
      </c>
      <c r="E532" s="12" t="inlineStr">
        <is>
          <t>FAILED With No Prior Reserve Changes No Balance</t>
        </is>
      </c>
      <c r="F532" s="13" t="inlineStr">
        <is>
          <t>Medium</t>
        </is>
      </c>
      <c r="G532" s="12" t="inlineStr">
        <is>
          <t>A range containing a FAILED posting for a transaction that never reserved</t>
        </is>
      </c>
      <c r="H532" s="12" t="inlineStr">
        <is>
          <t>1. Rebuild the range
2. Inspect the replayed entry</t>
        </is>
      </c>
      <c r="I532" s="12" t="inlineStr">
        <is>
          <t>No balance change on either side; an entry is logged carrying the change type only</t>
        </is>
      </c>
      <c r="J532" s="13" t="inlineStr">
        <is>
          <t>Not Tested</t>
        </is>
      </c>
      <c r="K532" s="13" t="inlineStr">
        <is>
          <t>Integration</t>
        </is>
      </c>
    </row>
    <row r="533" ht="36" customHeight="1">
      <c r="A533" s="12" t="inlineStr">
        <is>
          <t>Balances &amp; Wallet Consistency (EMI-5944)</t>
        </is>
      </c>
      <c r="B533" s="12" t="inlineStr">
        <is>
          <t>Statement History Rebuild</t>
        </is>
      </c>
      <c r="C533" s="12" t="inlineStr">
        <is>
          <t>Invariant</t>
        </is>
      </c>
      <c r="D533" s="13" t="inlineStr">
        <is>
          <t>TC-Rebuild-13</t>
        </is>
      </c>
      <c r="E533" s="12" t="inlineStr">
        <is>
          <t>Identity Holds After Every Replayed Entry, Not Only at the Endpoint</t>
        </is>
      </c>
      <c r="F533" s="13" t="inlineStr">
        <is>
          <t>High</t>
        </is>
      </c>
      <c r="G533" s="12" t="inlineStr">
        <is>
          <t>Any non-trivial range</t>
        </is>
      </c>
      <c r="H533" s="12" t="inlineStr">
        <is>
          <t>1. Rebuild the range
2. Assert current = available + reserve_debit on every regenerated entry in sequence</t>
        </is>
      </c>
      <c r="I533" s="12" t="inlineStr">
        <is>
          <t>The identity holds after each entry individually; a range whose endpoint is correct but whose intermediate entries are not must fail this test</t>
        </is>
      </c>
      <c r="J533" s="13" t="inlineStr">
        <is>
          <t>Not Tested</t>
        </is>
      </c>
      <c r="K533" s="13" t="inlineStr">
        <is>
          <t>Integration</t>
        </is>
      </c>
    </row>
    <row r="534" ht="36" customHeight="1">
      <c r="A534" s="12" t="inlineStr">
        <is>
          <t>Balances &amp; Wallet Consistency (EMI-5944)</t>
        </is>
      </c>
      <c r="B534" s="12" t="inlineStr">
        <is>
          <t>Statement History Rebuild</t>
        </is>
      </c>
      <c r="C534" s="12" t="inlineStr">
        <is>
          <t>Invariant</t>
        </is>
      </c>
      <c r="D534" s="13" t="inlineStr">
        <is>
          <t>TC-Rebuild-14</t>
        </is>
      </c>
      <c r="E534" s="12" t="inlineStr">
        <is>
          <t>Reserve Credit Excluded From Current Throughout Replay</t>
        </is>
      </c>
      <c r="F534" s="13" t="inlineStr">
        <is>
          <t>High</t>
        </is>
      </c>
      <c r="G534" s="12" t="inlineStr">
        <is>
          <t>A destination wallet carrying an unsettled reserve across several entries</t>
        </is>
      </c>
      <c r="H534" s="12" t="inlineStr">
        <is>
          <t>1. Rebuild the range
2. Check current at every entry while reserve_credit is non-zero</t>
        </is>
      </c>
      <c r="I534" s="12" t="inlineStr">
        <is>
          <t>current never includes reserve_credit at any point in the replayed sequence</t>
        </is>
      </c>
      <c r="J534" s="13" t="inlineStr">
        <is>
          <t>Not Tested</t>
        </is>
      </c>
      <c r="K534" s="13" t="inlineStr">
        <is>
          <t>Integration</t>
        </is>
      </c>
    </row>
    <row r="535" ht="36" customHeight="1">
      <c r="A535" s="12" t="inlineStr">
        <is>
          <t>Balances &amp; Wallet Consistency (EMI-5944)</t>
        </is>
      </c>
      <c r="B535" s="12" t="inlineStr">
        <is>
          <t>Statement History Rebuild</t>
        </is>
      </c>
      <c r="C535" s="12" t="inlineStr">
        <is>
          <t>Invariant</t>
        </is>
      </c>
      <c r="D535" s="13" t="inlineStr">
        <is>
          <t>TC-Rebuild-15</t>
        </is>
      </c>
      <c r="E535" s="12" t="inlineStr">
        <is>
          <t>Commission and VAT Wallets Replay as Ordinary Destinations</t>
        </is>
      </c>
      <c r="F535" s="13" t="inlineStr">
        <is>
          <t>High</t>
        </is>
      </c>
      <c r="G535" s="12" t="inlineStr">
        <is>
          <t>A range containing a transaction with commission and VAT legs during an open reserve window</t>
        </is>
      </c>
      <c r="H535" s="12" t="inlineStr">
        <is>
          <t>1. Rebuild the range
2. Inspect the commission and VAT wallet entries</t>
        </is>
      </c>
      <c r="I535" s="12" t="inlineStr">
        <is>
          <t>Both are treated as ordinary destination wallets with no special-casing; amounts land in reserve_credit, not available</t>
        </is>
      </c>
      <c r="J535" s="13" t="inlineStr">
        <is>
          <t>Not Tested</t>
        </is>
      </c>
      <c r="K535" s="13" t="inlineStr">
        <is>
          <t>Integration</t>
        </is>
      </c>
    </row>
    <row r="536" ht="36" customHeight="1">
      <c r="A536" s="12" t="inlineStr">
        <is>
          <t>Balances &amp; Wallet Consistency (EMI-5944)</t>
        </is>
      </c>
      <c r="B536" s="12" t="inlineStr">
        <is>
          <t>Statement History Rebuild</t>
        </is>
      </c>
      <c r="C536" s="12" t="inlineStr">
        <is>
          <t>Ordering</t>
        </is>
      </c>
      <c r="D536" s="13" t="inlineStr">
        <is>
          <t>TC-Rebuild-16</t>
        </is>
      </c>
      <c r="E536" s="12" t="inlineStr">
        <is>
          <t>Entry Sequence Is Reproducible Across Repeated Runs</t>
        </is>
      </c>
      <c r="F536" s="13" t="inlineStr">
        <is>
          <t>High</t>
        </is>
      </c>
      <c r="G536" s="12" t="inlineStr">
        <is>
          <t>A range containing many postings</t>
        </is>
      </c>
      <c r="H536" s="12" t="inlineStr">
        <is>
          <t>1. Rebuild the range
2. Capture the full entry sequence
3. Rebuild again and capture the sequence</t>
        </is>
      </c>
      <c r="I536" s="12" t="inlineStr">
        <is>
          <t>The entry sequence is identical between runs, not merely the endpoint. This is the D1 regression guard</t>
        </is>
      </c>
      <c r="J536" s="13" t="inlineStr">
        <is>
          <t>Not Tested</t>
        </is>
      </c>
      <c r="K536" s="13" t="inlineStr">
        <is>
          <t>Integration</t>
        </is>
      </c>
    </row>
    <row r="537" ht="36" customHeight="1">
      <c r="A537" s="12" t="inlineStr">
        <is>
          <t>Balances &amp; Wallet Consistency (EMI-5944)</t>
        </is>
      </c>
      <c r="B537" s="12" t="inlineStr">
        <is>
          <t>Statement History Rebuild</t>
        </is>
      </c>
      <c r="C537" s="12" t="inlineStr">
        <is>
          <t>Ordering</t>
        </is>
      </c>
      <c r="D537" s="13" t="inlineStr">
        <is>
          <t>TC-Rebuild-17</t>
        </is>
      </c>
      <c r="E537" s="12" t="inlineStr">
        <is>
          <t>Postings Sharing a Timestamp Order Deterministically</t>
        </is>
      </c>
      <c r="F537" s="13" t="inlineStr">
        <is>
          <t>High</t>
        </is>
      </c>
      <c r="G537" s="12" t="inlineStr">
        <is>
          <t>Two postings for the same wallet carrying an identical ledger_posting_time</t>
        </is>
      </c>
      <c r="H537" s="12" t="inlineStr">
        <is>
          <t>1. Rebuild the range repeatedly
2. Compare the relative order of the two postings each time</t>
        </is>
      </c>
      <c r="I537" s="12" t="inlineStr">
        <is>
          <t>Order is broken deterministically by the CDC commit position tiebreak and is identical across every run. This is the D7 regression guard</t>
        </is>
      </c>
      <c r="J537" s="13" t="inlineStr">
        <is>
          <t>Not Tested</t>
        </is>
      </c>
      <c r="K537" s="13" t="inlineStr">
        <is>
          <t>Integration</t>
        </is>
      </c>
    </row>
    <row r="538" ht="36" customHeight="1">
      <c r="A538" s="12" t="inlineStr">
        <is>
          <t>Balances &amp; Wallet Consistency (EMI-5944)</t>
        </is>
      </c>
      <c r="B538" s="12" t="inlineStr">
        <is>
          <t>Statement History Rebuild</t>
        </is>
      </c>
      <c r="C538" s="12" t="inlineStr">
        <is>
          <t>Ordering</t>
        </is>
      </c>
      <c r="D538" s="13" t="inlineStr">
        <is>
          <t>TC-Rebuild-18</t>
        </is>
      </c>
      <c r="E538" s="12" t="inlineStr">
        <is>
          <t>Sort Key Uses the CDC Commit Position, Not a Non-Existent Ledger Sequence</t>
        </is>
      </c>
      <c r="F538" s="13" t="inlineStr">
        <is>
          <t>Medium</t>
        </is>
      </c>
      <c r="G538" s="12" t="inlineStr">
        <is>
          <t>Access to the replay implementation</t>
        </is>
      </c>
      <c r="H538" s="12" t="inlineStr">
        <is>
          <t>1. Inspect the sort key used for replay</t>
        </is>
      </c>
      <c r="I538" s="12" t="inlineStr">
        <is>
          <t>The key is (wallet_id, ledger_posting_time, CDC commit position, transaction_id). No ledger_sequence column is referenced, because none exists</t>
        </is>
      </c>
      <c r="J538" s="13" t="inlineStr">
        <is>
          <t>Not Tested</t>
        </is>
      </c>
      <c r="K538" s="13" t="inlineStr">
        <is>
          <t>Integration</t>
        </is>
      </c>
    </row>
    <row r="539" ht="36" customHeight="1">
      <c r="A539" s="12" t="inlineStr">
        <is>
          <t>Balances &amp; Wallet Consistency (EMI-5944)</t>
        </is>
      </c>
      <c r="B539" s="12" t="inlineStr">
        <is>
          <t>Statement History Rebuild</t>
        </is>
      </c>
      <c r="C539" s="12" t="inlineStr">
        <is>
          <t>Replay</t>
        </is>
      </c>
      <c r="D539" s="13" t="inlineStr">
        <is>
          <t>TC-Rebuild-19</t>
        </is>
      </c>
      <c r="E539" s="12" t="inlineStr">
        <is>
          <t>Adjustment Postings Replay With No Special-Casing</t>
        </is>
      </c>
      <c r="F539" s="13" t="inlineStr">
        <is>
          <t>High</t>
        </is>
      </c>
      <c r="G539" s="12" t="inlineStr">
        <is>
          <t>A range containing an adjustment of an already-settled transaction</t>
        </is>
      </c>
      <c r="H539" s="12" t="inlineStr">
        <is>
          <t>1. Rebuild the range
2. Inspect how the four pair-adjustment postings are handled</t>
        </is>
      </c>
      <c r="I539" s="12" t="inlineStr">
        <is>
          <t>The four appended postings replay in order as ordinary postings; no row is edited in place and no special-case branch is taken</t>
        </is>
      </c>
      <c r="J539" s="13" t="inlineStr">
        <is>
          <t>Not Tested</t>
        </is>
      </c>
      <c r="K539" s="13" t="inlineStr">
        <is>
          <t>Integration</t>
        </is>
      </c>
    </row>
    <row r="540" ht="36" customHeight="1">
      <c r="A540" s="12" t="inlineStr">
        <is>
          <t>Balances &amp; Wallet Consistency (EMI-5944)</t>
        </is>
      </c>
      <c r="B540" s="12" t="inlineStr">
        <is>
          <t>Statement History Rebuild</t>
        </is>
      </c>
      <c r="C540" s="12" t="inlineStr">
        <is>
          <t>Filtering</t>
        </is>
      </c>
      <c r="D540" s="13" t="inlineStr">
        <is>
          <t>TC-Rebuild-20</t>
        </is>
      </c>
      <c r="E540" s="12" t="inlineStr">
        <is>
          <t>Balance-Neutral Transaction Types Are Excluded</t>
        </is>
      </c>
      <c r="F540" s="13" t="inlineStr">
        <is>
          <t>Medium</t>
        </is>
      </c>
      <c r="G540" s="12" t="inlineStr">
        <is>
          <t>A range containing transaction types that do not affect balance</t>
        </is>
      </c>
      <c r="H540" s="12" t="inlineStr">
        <is>
          <t>1. Rebuild the range
2. Inspect the regenerated entries</t>
        </is>
      </c>
      <c r="I540" s="12" t="inlineStr">
        <is>
          <t>Balance-neutral types generate no running_balance entries</t>
        </is>
      </c>
      <c r="J540" s="13" t="inlineStr">
        <is>
          <t>Not Tested</t>
        </is>
      </c>
      <c r="K540" s="13" t="inlineStr">
        <is>
          <t>Functional</t>
        </is>
      </c>
    </row>
    <row r="541" ht="36" customHeight="1">
      <c r="A541" s="12" t="inlineStr">
        <is>
          <t>Balances &amp; Wallet Consistency (EMI-5944)</t>
        </is>
      </c>
      <c r="B541" s="12" t="inlineStr">
        <is>
          <t>Statement History Rebuild</t>
        </is>
      </c>
      <c r="C541" s="12" t="inlineStr">
        <is>
          <t>Filtering</t>
        </is>
      </c>
      <c r="D541" s="13" t="inlineStr">
        <is>
          <t>TC-Rebuild-21</t>
        </is>
      </c>
      <c r="E541" s="12" t="inlineStr">
        <is>
          <t>DRAFT-Table Validation Failures Are Never Replayed</t>
        </is>
      </c>
      <c r="F541" s="13" t="inlineStr">
        <is>
          <t>High</t>
        </is>
      </c>
      <c r="G541" s="12" t="inlineStr">
        <is>
          <t>Validation-failure transactions present in DRAFT tables for the range</t>
        </is>
      </c>
      <c r="H541" s="12" t="inlineStr">
        <is>
          <t>1. Rebuild the range
2. Search the regenerated entries for those transactions</t>
        </is>
      </c>
      <c r="I541" s="12" t="inlineStr">
        <is>
          <t>No DRAFT validation failure appears in running_balance</t>
        </is>
      </c>
      <c r="J541" s="13" t="inlineStr">
        <is>
          <t>Not Tested</t>
        </is>
      </c>
      <c r="K541" s="13" t="inlineStr">
        <is>
          <t>Integration</t>
        </is>
      </c>
    </row>
    <row r="542" ht="36" customHeight="1">
      <c r="A542" s="12" t="inlineStr">
        <is>
          <t>Balances &amp; Wallet Consistency (EMI-5944)</t>
        </is>
      </c>
      <c r="B542" s="12" t="inlineStr">
        <is>
          <t>Statement History Rebuild</t>
        </is>
      </c>
      <c r="C542" s="12" t="inlineStr">
        <is>
          <t>Filtering</t>
        </is>
      </c>
      <c r="D542" s="13" t="inlineStr">
        <is>
          <t>TC-Rebuild-22</t>
        </is>
      </c>
      <c r="E542" s="12" t="inlineStr">
        <is>
          <t>Only Postings Where the Wallet Is a Party Are Written</t>
        </is>
      </c>
      <c r="F542" s="13" t="inlineStr">
        <is>
          <t>Medium</t>
        </is>
      </c>
      <c r="G542" s="12" t="inlineStr">
        <is>
          <t>A range with transactions involving several wallets</t>
        </is>
      </c>
      <c r="H542" s="12" t="inlineStr">
        <is>
          <t>1. Rebuild the range
2. Inspect each wallet's regenerated entries</t>
        </is>
      </c>
      <c r="I542" s="12" t="inlineStr">
        <is>
          <t>A wallet's running balance contains only postings where that wallet is a party</t>
        </is>
      </c>
      <c r="J542" s="13" t="inlineStr">
        <is>
          <t>Not Tested</t>
        </is>
      </c>
      <c r="K542" s="13" t="inlineStr">
        <is>
          <t>Functional</t>
        </is>
      </c>
    </row>
    <row r="543" ht="36" customHeight="1">
      <c r="A543" s="12" t="inlineStr">
        <is>
          <t>Balances &amp; Wallet Consistency (EMI-5944)</t>
        </is>
      </c>
      <c r="B543" s="12" t="inlineStr">
        <is>
          <t>Statement History Rebuild</t>
        </is>
      </c>
      <c r="C543" s="12" t="inlineStr">
        <is>
          <t>Archive</t>
        </is>
      </c>
      <c r="D543" s="13" t="inlineStr">
        <is>
          <t>TC-Rebuild-23</t>
        </is>
      </c>
      <c r="E543" s="12" t="inlineStr">
        <is>
          <t>Every Displaced Row Is Archived Before Removal</t>
        </is>
      </c>
      <c r="F543" s="13" t="inlineStr">
        <is>
          <t>High</t>
        </is>
      </c>
      <c r="G543" s="12" t="inlineStr">
        <is>
          <t>A non-empty range</t>
        </is>
      </c>
      <c r="H543" s="12" t="inlineStr">
        <is>
          <t>1. Trigger a rebuild
2. Trace the archive and removal order
3. Inspect running_balance_history</t>
        </is>
      </c>
      <c r="I543" s="12" t="inlineStr">
        <is>
          <t>Every displaced row exists in running_balance_history with the correct recon_id before it is removed from the live table</t>
        </is>
      </c>
      <c r="J543" s="13" t="inlineStr">
        <is>
          <t>Not Tested</t>
        </is>
      </c>
      <c r="K543" s="13" t="inlineStr">
        <is>
          <t>Integration</t>
        </is>
      </c>
    </row>
    <row r="544" ht="36" customHeight="1">
      <c r="A544" s="12" t="inlineStr">
        <is>
          <t>Balances &amp; Wallet Consistency (EMI-5944)</t>
        </is>
      </c>
      <c r="B544" s="12" t="inlineStr">
        <is>
          <t>Statement History Rebuild</t>
        </is>
      </c>
      <c r="C544" s="12" t="inlineStr">
        <is>
          <t>Archive</t>
        </is>
      </c>
      <c r="D544" s="13" t="inlineStr">
        <is>
          <t>TC-Rebuild-24</t>
        </is>
      </c>
      <c r="E544" s="12" t="inlineStr">
        <is>
          <t>Archived History Is Immutable</t>
        </is>
      </c>
      <c r="F544" s="13" t="inlineStr">
        <is>
          <t>High</t>
        </is>
      </c>
      <c r="G544" s="12" t="inlineStr">
        <is>
          <t>Archived rows present</t>
        </is>
      </c>
      <c r="H544" s="12" t="inlineStr">
        <is>
          <t>1. Attempt to update an archived row
2. Attempt to delete one</t>
        </is>
      </c>
      <c r="I544" s="12" t="inlineStr">
        <is>
          <t>Both are rejected; no update or delete path exists for running_balance_history</t>
        </is>
      </c>
      <c r="J544" s="13" t="inlineStr">
        <is>
          <t>Not Tested</t>
        </is>
      </c>
      <c r="K544" s="13" t="inlineStr">
        <is>
          <t>Negative</t>
        </is>
      </c>
    </row>
    <row r="545" ht="36" customHeight="1">
      <c r="A545" s="12" t="inlineStr">
        <is>
          <t>Balances &amp; Wallet Consistency (EMI-5944)</t>
        </is>
      </c>
      <c r="B545" s="12" t="inlineStr">
        <is>
          <t>Statement History Rebuild</t>
        </is>
      </c>
      <c r="C545" s="12" t="inlineStr">
        <is>
          <t>Archive</t>
        </is>
      </c>
      <c r="D545" s="13" t="inlineStr">
        <is>
          <t>TC-Rebuild-25</t>
        </is>
      </c>
      <c r="E545" s="12" t="inlineStr">
        <is>
          <t>Repeated Rebuilds Retain Distinct Archive Generations</t>
        </is>
      </c>
      <c r="F545" s="13" t="inlineStr">
        <is>
          <t>Medium</t>
        </is>
      </c>
      <c r="G545" s="12" t="inlineStr">
        <is>
          <t>The same range rebuilt twice</t>
        </is>
      </c>
      <c r="H545" s="12" t="inlineStr">
        <is>
          <t>1. Inspect running_balance_history after both runs</t>
        </is>
      </c>
      <c r="I545" s="12" t="inlineStr">
        <is>
          <t>Two distinct generations are retained, each attributable to its own recon_id</t>
        </is>
      </c>
      <c r="J545" s="13" t="inlineStr">
        <is>
          <t>Not Tested</t>
        </is>
      </c>
      <c r="K545" s="13" t="inlineStr">
        <is>
          <t>Functional</t>
        </is>
      </c>
    </row>
    <row r="546" ht="36" customHeight="1">
      <c r="A546" s="12" t="inlineStr">
        <is>
          <t>Balances &amp; Wallet Consistency (EMI-5944)</t>
        </is>
      </c>
      <c r="B546" s="12" t="inlineStr">
        <is>
          <t>Statement History Rebuild</t>
        </is>
      </c>
      <c r="C546" s="12" t="inlineStr">
        <is>
          <t>Archive</t>
        </is>
      </c>
      <c r="D546" s="13" t="inlineStr">
        <is>
          <t>TC-Rebuild-26</t>
        </is>
      </c>
      <c r="E546" s="12" t="inlineStr">
        <is>
          <t>Auditor Can Reconstruct Pre-Rebuild State From the Archive Alone</t>
        </is>
      </c>
      <c r="F546" s="13" t="inlineStr">
        <is>
          <t>High</t>
        </is>
      </c>
      <c r="G546" s="12" t="inlineStr">
        <is>
          <t>A completed rebuild that changed values</t>
        </is>
      </c>
      <c r="H546" s="12" t="inlineStr">
        <is>
          <t>1. Using only running_balance_history, reconstruct the wallet's pre-rebuild state</t>
        </is>
      </c>
      <c r="I546" s="12" t="inlineStr">
        <is>
          <t>Fully recoverable across all four buckets without reference to any other source</t>
        </is>
      </c>
      <c r="J546" s="13" t="inlineStr">
        <is>
          <t>Not Tested</t>
        </is>
      </c>
      <c r="K546" s="13" t="inlineStr">
        <is>
          <t>Functional</t>
        </is>
      </c>
    </row>
    <row r="547" ht="36" customHeight="1">
      <c r="A547" s="12" t="inlineStr">
        <is>
          <t>Balances &amp; Wallet Consistency (EMI-5944)</t>
        </is>
      </c>
      <c r="B547" s="12" t="inlineStr">
        <is>
          <t>Statement History Rebuild</t>
        </is>
      </c>
      <c r="C547" s="12" t="inlineStr">
        <is>
          <t>Archive</t>
        </is>
      </c>
      <c r="D547" s="13" t="inlineStr">
        <is>
          <t>TC-Rebuild-27</t>
        </is>
      </c>
      <c r="E547" s="12" t="inlineStr">
        <is>
          <t>Archiving Is Checkpointed Per Wallet</t>
        </is>
      </c>
      <c r="F547" s="13" t="inlineStr">
        <is>
          <t>High</t>
        </is>
      </c>
      <c r="G547" s="12" t="inlineStr">
        <is>
          <t>A rebuild interrupted part-way through the archive phase</t>
        </is>
      </c>
      <c r="H547" s="12" t="inlineStr">
        <is>
          <t>1. Fail the service mid-archive
2. Resume the run</t>
        </is>
      </c>
      <c r="I547" s="12" t="inlineStr">
        <is>
          <t>The run is marked PARTIAL with the last completed wallet checkpoint and resumes without re-querying the whole table to discover progress</t>
        </is>
      </c>
      <c r="J547" s="13" t="inlineStr">
        <is>
          <t>Not Tested</t>
        </is>
      </c>
      <c r="K547" s="13" t="inlineStr">
        <is>
          <t>Functional</t>
        </is>
      </c>
    </row>
    <row r="548" ht="36" customHeight="1">
      <c r="A548" s="12" t="inlineStr">
        <is>
          <t>Balances &amp; Wallet Consistency (EMI-5944)</t>
        </is>
      </c>
      <c r="B548" s="12" t="inlineStr">
        <is>
          <t>Statement History Rebuild</t>
        </is>
      </c>
      <c r="C548" s="12" t="inlineStr">
        <is>
          <t>Concurrency</t>
        </is>
      </c>
      <c r="D548" s="13" t="inlineStr">
        <is>
          <t>TC-Rebuild-28</t>
        </is>
      </c>
      <c r="E548" s="12" t="inlineStr">
        <is>
          <t>Overlapping Rebuild Is Rejected, Not Queued</t>
        </is>
      </c>
      <c r="F548" s="13" t="inlineStr">
        <is>
          <t>High</t>
        </is>
      </c>
      <c r="G548" s="12" t="inlineStr">
        <is>
          <t>A rebuild in flight</t>
        </is>
      </c>
      <c r="H548" s="12" t="inlineStr">
        <is>
          <t>1. Request a second rebuild whose scope overlaps the first</t>
        </is>
      </c>
      <c r="I548" s="12" t="inlineStr">
        <is>
          <t>Rejected with a 409 conflict naming the in-flight recon_id; it is not queued</t>
        </is>
      </c>
      <c r="J548" s="13" t="inlineStr">
        <is>
          <t>Not Tested</t>
        </is>
      </c>
      <c r="K548" s="13" t="inlineStr">
        <is>
          <t>Negative</t>
        </is>
      </c>
    </row>
    <row r="549" ht="36" customHeight="1">
      <c r="A549" s="12" t="inlineStr">
        <is>
          <t>Balances &amp; Wallet Consistency (EMI-5944)</t>
        </is>
      </c>
      <c r="B549" s="12" t="inlineStr">
        <is>
          <t>Statement History Rebuild</t>
        </is>
      </c>
      <c r="C549" s="12" t="inlineStr">
        <is>
          <t>Concurrency</t>
        </is>
      </c>
      <c r="D549" s="13" t="inlineStr">
        <is>
          <t>TC-Rebuild-29</t>
        </is>
      </c>
      <c r="E549" s="12" t="inlineStr">
        <is>
          <t>Non-Overlapping Rebuilds Run in Parallel</t>
        </is>
      </c>
      <c r="F549" s="13" t="inlineStr">
        <is>
          <t>Medium</t>
        </is>
      </c>
      <c r="G549" s="12" t="inlineStr">
        <is>
          <t>Two disjoint wallet scopes</t>
        </is>
      </c>
      <c r="H549" s="12" t="inlineStr">
        <is>
          <t>1. Trigger both rebuilds concurrently</t>
        </is>
      </c>
      <c r="I549" s="12" t="inlineStr">
        <is>
          <t>Both complete correctly with no interference</t>
        </is>
      </c>
      <c r="J549" s="13" t="inlineStr">
        <is>
          <t>Not Tested</t>
        </is>
      </c>
      <c r="K549" s="13" t="inlineStr">
        <is>
          <t>Integration</t>
        </is>
      </c>
    </row>
    <row r="550" ht="36" customHeight="1">
      <c r="A550" s="12" t="inlineStr">
        <is>
          <t>Balances &amp; Wallet Consistency (EMI-5944)</t>
        </is>
      </c>
      <c r="B550" s="12" t="inlineStr">
        <is>
          <t>Statement History Rebuild</t>
        </is>
      </c>
      <c r="C550" s="12" t="inlineStr">
        <is>
          <t>Concurrency</t>
        </is>
      </c>
      <c r="D550" s="13" t="inlineStr">
        <is>
          <t>TC-Rebuild-30</t>
        </is>
      </c>
      <c r="E550" s="12" t="inlineStr">
        <is>
          <t>Rebuild and Recompute Are Mutually Exclusive Per Wallet</t>
        </is>
      </c>
      <c r="F550" s="13" t="inlineStr">
        <is>
          <t>High</t>
        </is>
      </c>
      <c r="G550" s="12" t="inlineStr">
        <is>
          <t>An EMI-5946 recompute in flight for a wallet</t>
        </is>
      </c>
      <c r="H550" s="12" t="inlineStr">
        <is>
          <t>1. Request a rebuild covering that wallet</t>
        </is>
      </c>
      <c r="I550" s="12" t="inlineStr">
        <is>
          <t>Rejected with a conflict error; the two repair modes never run concurrently on one wallet</t>
        </is>
      </c>
      <c r="J550" s="13" t="inlineStr">
        <is>
          <t>Not Tested</t>
        </is>
      </c>
      <c r="K550" s="13" t="inlineStr">
        <is>
          <t>Integration</t>
        </is>
      </c>
    </row>
    <row r="551" ht="36" customHeight="1">
      <c r="A551" s="12" t="inlineStr">
        <is>
          <t>Balances &amp; Wallet Consistency (EMI-5944)</t>
        </is>
      </c>
      <c r="B551" s="12" t="inlineStr">
        <is>
          <t>Statement History Rebuild</t>
        </is>
      </c>
      <c r="C551" s="12" t="inlineStr">
        <is>
          <t>Concurrency</t>
        </is>
      </c>
      <c r="D551" s="13" t="inlineStr">
        <is>
          <t>TC-Rebuild-31</t>
        </is>
      </c>
      <c r="E551" s="12" t="inlineStr">
        <is>
          <t>Live Traffic During a Wallet's Rebuild</t>
        </is>
      </c>
      <c r="F551" s="13" t="inlineStr">
        <is>
          <t>High</t>
        </is>
      </c>
      <c r="G551" s="12" t="inlineStr">
        <is>
          <t>A wallet being rebuilt while transactions post to it</t>
        </is>
      </c>
      <c r="H551" s="12" t="inlineStr">
        <is>
          <t>1. Post live transactions during the rebuild
2. Reconcile the final state against the ledger</t>
        </is>
      </c>
      <c r="I551" s="12" t="inlineStr">
        <is>
          <t>Either the postings serialise behind the rebuild or the rebuild fails cleanly; no posting is lost or double-counted</t>
        </is>
      </c>
      <c r="J551" s="13" t="inlineStr">
        <is>
          <t>Not Tested</t>
        </is>
      </c>
      <c r="K551" s="13" t="inlineStr">
        <is>
          <t>Negative</t>
        </is>
      </c>
    </row>
    <row r="552" ht="36" customHeight="1">
      <c r="A552" s="12" t="inlineStr">
        <is>
          <t>Balances &amp; Wallet Consistency (EMI-5944)</t>
        </is>
      </c>
      <c r="B552" s="12" t="inlineStr">
        <is>
          <t>Statement History Rebuild</t>
        </is>
      </c>
      <c r="C552" s="12" t="inlineStr">
        <is>
          <t>Concurrency</t>
        </is>
      </c>
      <c r="D552" s="13" t="inlineStr">
        <is>
          <t>TC-Rebuild-32</t>
        </is>
      </c>
      <c r="E552" s="12" t="inlineStr">
        <is>
          <t>Stale Scope Lock Is Reclaimable After TTL</t>
        </is>
      </c>
      <c r="F552" s="13" t="inlineStr">
        <is>
          <t>Medium</t>
        </is>
      </c>
      <c r="G552" s="12" t="inlineStr">
        <is>
          <t>A crashed run holding a scope lock</t>
        </is>
      </c>
      <c r="H552" s="12" t="inlineStr">
        <is>
          <t>1. Wait past the configured TTL
2. Reclaim the lock as an administrator</t>
        </is>
      </c>
      <c r="I552" s="12" t="inlineStr">
        <is>
          <t>The lock is reclaimable; a crashed run cannot block the scope indefinitely</t>
        </is>
      </c>
      <c r="J552" s="13" t="inlineStr">
        <is>
          <t>Not Tested</t>
        </is>
      </c>
      <c r="K552" s="13" t="inlineStr">
        <is>
          <t>Integration</t>
        </is>
      </c>
    </row>
    <row r="553" ht="36" customHeight="1">
      <c r="A553" s="12" t="inlineStr">
        <is>
          <t>Balances &amp; Wallet Consistency (EMI-5944)</t>
        </is>
      </c>
      <c r="B553" s="12" t="inlineStr">
        <is>
          <t>Statement History Rebuild</t>
        </is>
      </c>
      <c r="C553" s="12" t="inlineStr">
        <is>
          <t>Validation</t>
        </is>
      </c>
      <c r="D553" s="13" t="inlineStr">
        <is>
          <t>TC-Rebuild-33</t>
        </is>
      </c>
      <c r="E553" s="12" t="inlineStr">
        <is>
          <t>Open-Ended or Reversed Date Range Is Rejected</t>
        </is>
      </c>
      <c r="F553" s="13" t="inlineStr">
        <is>
          <t>Medium</t>
        </is>
      </c>
      <c r="G553" s="12" t="inlineStr">
        <is>
          <t>Rebuild endpoint available</t>
        </is>
      </c>
      <c r="H553" s="12" t="inlineStr">
        <is>
          <t>1. Submit a request omitting from_date
2. Submit one omitting to_date
3. Submit one where to_date precedes from_date</t>
        </is>
      </c>
      <c r="I553" s="12" t="inlineStr">
        <is>
          <t>Each is rejected with a 400 validation error; both bounds are mandatory</t>
        </is>
      </c>
      <c r="J553" s="13" t="inlineStr">
        <is>
          <t>Not Tested</t>
        </is>
      </c>
      <c r="K553" s="13" t="inlineStr">
        <is>
          <t>Negative</t>
        </is>
      </c>
    </row>
    <row r="554" ht="36" customHeight="1">
      <c r="A554" s="12" t="inlineStr">
        <is>
          <t>Balances &amp; Wallet Consistency (EMI-5944)</t>
        </is>
      </c>
      <c r="B554" s="12" t="inlineStr">
        <is>
          <t>Statement History Rebuild</t>
        </is>
      </c>
      <c r="C554" s="12" t="inlineStr">
        <is>
          <t>Validation</t>
        </is>
      </c>
      <c r="D554" s="13" t="inlineStr">
        <is>
          <t>TC-Rebuild-34</t>
        </is>
      </c>
      <c r="E554" s="12" t="inlineStr">
        <is>
          <t>Range Exceeding the Maximum Span Is Rejected</t>
        </is>
      </c>
      <c r="F554" s="13" t="inlineStr">
        <is>
          <t>Medium</t>
        </is>
      </c>
      <c r="G554" s="12" t="inlineStr">
        <is>
          <t>Maximum span configured (default 31 days)</t>
        </is>
      </c>
      <c r="H554" s="12" t="inlineStr">
        <is>
          <t>1. Submit a rebuild whose span exceeds the maximum</t>
        </is>
      </c>
      <c r="I554" s="12" t="inlineStr">
        <is>
          <t>Rejected with a 400 and guidance to run consecutive windows</t>
        </is>
      </c>
      <c r="J554" s="13" t="inlineStr">
        <is>
          <t>Not Tested</t>
        </is>
      </c>
      <c r="K554" s="13" t="inlineStr">
        <is>
          <t>Negative</t>
        </is>
      </c>
    </row>
    <row r="555" ht="36" customHeight="1">
      <c r="A555" s="12" t="inlineStr">
        <is>
          <t>Balances &amp; Wallet Consistency (EMI-5944)</t>
        </is>
      </c>
      <c r="B555" s="12" t="inlineStr">
        <is>
          <t>Statement History Rebuild</t>
        </is>
      </c>
      <c r="C555" s="12" t="inlineStr">
        <is>
          <t>Validation</t>
        </is>
      </c>
      <c r="D555" s="13" t="inlineStr">
        <is>
          <t>TC-Rebuild-35</t>
        </is>
      </c>
      <c r="E555" s="12" t="inlineStr">
        <is>
          <t>Unknown Wallet in Scope Starts No Partial Run</t>
        </is>
      </c>
      <c r="F555" s="13" t="inlineStr">
        <is>
          <t>Medium</t>
        </is>
      </c>
      <c r="G555" s="12" t="inlineStr">
        <is>
          <t>Rebuild endpoint available</t>
        </is>
      </c>
      <c r="H555" s="12" t="inlineStr">
        <is>
          <t>1. Submit a rebuild whose wallet_scope names an unknown wallet</t>
        </is>
      </c>
      <c r="I555" s="12" t="inlineStr">
        <is>
          <t>Rejected with a 400; no partial run is started and nothing is archived</t>
        </is>
      </c>
      <c r="J555" s="13" t="inlineStr">
        <is>
          <t>Not Tested</t>
        </is>
      </c>
      <c r="K555" s="13" t="inlineStr">
        <is>
          <t>Negative</t>
        </is>
      </c>
    </row>
    <row r="556" ht="36" customHeight="1">
      <c r="A556" s="12" t="inlineStr">
        <is>
          <t>Balances &amp; Wallet Consistency (EMI-5944)</t>
        </is>
      </c>
      <c r="B556" s="12" t="inlineStr">
        <is>
          <t>Statement History Rebuild</t>
        </is>
      </c>
      <c r="C556" s="12" t="inlineStr">
        <is>
          <t>Authorization</t>
        </is>
      </c>
      <c r="D556" s="13" t="inlineStr">
        <is>
          <t>TC-Rebuild-36</t>
        </is>
      </c>
      <c r="E556" s="12" t="inlineStr">
        <is>
          <t>Only the Finance Lead May Trigger a Manual Rebuild</t>
        </is>
      </c>
      <c r="F556" s="13" t="inlineStr">
        <is>
          <t>High</t>
        </is>
      </c>
      <c r="G556" s="12" t="inlineStr">
        <is>
          <t>Users with and without the REBUILD_RUNNING_BALANCE privilege</t>
        </is>
      </c>
      <c r="H556" s="12" t="inlineStr">
        <is>
          <t>1. Trigger a manual rebuild as a Finance Lead
2. Attempt the same as a user without the privilege</t>
        </is>
      </c>
      <c r="I556" s="12" t="inlineStr">
        <is>
          <t>Finance Lead succeeds and the run starts; the other receives 403 and no run is created</t>
        </is>
      </c>
      <c r="J556" s="13" t="inlineStr">
        <is>
          <t>Not Tested</t>
        </is>
      </c>
      <c r="K556" s="13" t="inlineStr">
        <is>
          <t>Security</t>
        </is>
      </c>
    </row>
    <row r="557" ht="36" customHeight="1">
      <c r="A557" s="12" t="inlineStr">
        <is>
          <t>Balances &amp; Wallet Consistency (EMI-5944)</t>
        </is>
      </c>
      <c r="B557" s="12" t="inlineStr">
        <is>
          <t>Statement History Rebuild</t>
        </is>
      </c>
      <c r="C557" s="12" t="inlineStr">
        <is>
          <t>Authorization</t>
        </is>
      </c>
      <c r="D557" s="13" t="inlineStr">
        <is>
          <t>TC-Rebuild-37</t>
        </is>
      </c>
      <c r="E557" s="12" t="inlineStr">
        <is>
          <t>triggered_by Is Resolved From the Principal, Never Client-Supplied</t>
        </is>
      </c>
      <c r="F557" s="13" t="inlineStr">
        <is>
          <t>High</t>
        </is>
      </c>
      <c r="G557" s="12" t="inlineStr">
        <is>
          <t>API access to the rebuild endpoint</t>
        </is>
      </c>
      <c r="H557" s="12" t="inlineStr">
        <is>
          <t>1. Submit a rebuild request carrying a triggered_by value in the payload
2. Inspect the recorded run</t>
        </is>
      </c>
      <c r="I557" s="12" t="inlineStr">
        <is>
          <t>The recorded triggered_by comes from the authenticated principal; the client-supplied value is ignored</t>
        </is>
      </c>
      <c r="J557" s="13" t="inlineStr">
        <is>
          <t>Not Tested</t>
        </is>
      </c>
      <c r="K557" s="13" t="inlineStr">
        <is>
          <t>Security</t>
        </is>
      </c>
    </row>
    <row r="558" ht="36" customHeight="1">
      <c r="A558" s="12" t="inlineStr">
        <is>
          <t>Balances &amp; Wallet Consistency (EMI-5944)</t>
        </is>
      </c>
      <c r="B558" s="12" t="inlineStr">
        <is>
          <t>Statement History Rebuild</t>
        </is>
      </c>
      <c r="C558" s="12" t="inlineStr">
        <is>
          <t>Scheduling</t>
        </is>
      </c>
      <c r="D558" s="13" t="inlineStr">
        <is>
          <t>TC-Rebuild-38</t>
        </is>
      </c>
      <c r="E558" s="12" t="inlineStr">
        <is>
          <t>Nightly Scheduled Rebuild Runs on the Configured Window</t>
        </is>
      </c>
      <c r="F558" s="13" t="inlineStr">
        <is>
          <t>Medium</t>
        </is>
      </c>
      <c r="G558" s="12" t="inlineStr">
        <is>
          <t>Nightly schedule configured</t>
        </is>
      </c>
      <c r="H558" s="12" t="inlineStr">
        <is>
          <t>1. Let the scheduled run fire
2. Inspect the run record</t>
        </is>
      </c>
      <c r="I558" s="12" t="inlineStr">
        <is>
          <t>It runs over the configured trailing window under the service principal and is recorded like any other run</t>
        </is>
      </c>
      <c r="J558" s="13" t="inlineStr">
        <is>
          <t>Not Tested</t>
        </is>
      </c>
      <c r="K558" s="13" t="inlineStr">
        <is>
          <t>Configuration</t>
        </is>
      </c>
    </row>
    <row r="559" ht="36" customHeight="1">
      <c r="A559" s="12" t="inlineStr">
        <is>
          <t>Balances &amp; Wallet Consistency (EMI-5944)</t>
        </is>
      </c>
      <c r="B559" s="12" t="inlineStr">
        <is>
          <t>Statement History Rebuild</t>
        </is>
      </c>
      <c r="C559" s="12" t="inlineStr">
        <is>
          <t>Routing</t>
        </is>
      </c>
      <c r="D559" s="13" t="inlineStr">
        <is>
          <t>TC-Rebuild-39</t>
        </is>
      </c>
      <c r="E559" s="12" t="inlineStr">
        <is>
          <t>Balance-Only Variance Routes to Recompute, Not to Rebuild</t>
        </is>
      </c>
      <c r="F559" s="13" t="inlineStr">
        <is>
          <t>High</t>
        </is>
      </c>
      <c r="G559" s="12" t="inlineStr">
        <is>
          <t>A wallet whose buckets are wrong but whose statement rows are correct</t>
        </is>
      </c>
      <c r="H559" s="12" t="inlineStr">
        <is>
          <t>1. Let reconciliation detect the variance
2. Observe which repair is invoked</t>
        </is>
      </c>
      <c r="I559" s="12" t="inlineStr">
        <is>
          <t>EMI-5946 recompute is invoked; this story is not invoked automatically for a balance-only variance</t>
        </is>
      </c>
      <c r="J559" s="13" t="inlineStr">
        <is>
          <t>Not Tested</t>
        </is>
      </c>
      <c r="K559" s="13" t="inlineStr">
        <is>
          <t>Functional</t>
        </is>
      </c>
    </row>
    <row r="560" ht="36" customHeight="1">
      <c r="A560" s="12" t="inlineStr">
        <is>
          <t>Balances &amp; Wallet Consistency (EMI-5944)</t>
        </is>
      </c>
      <c r="B560" s="12" t="inlineStr">
        <is>
          <t>Statement History Rebuild</t>
        </is>
      </c>
      <c r="C560" s="12" t="inlineStr">
        <is>
          <t>Reporting</t>
        </is>
      </c>
      <c r="D560" s="13" t="inlineStr">
        <is>
          <t>TC-Rebuild-40</t>
        </is>
      </c>
      <c r="E560" s="12" t="inlineStr">
        <is>
          <t>Non-Zero Variance Is Flagged for Finance Lead Review</t>
        </is>
      </c>
      <c r="F560" s="13" t="inlineStr">
        <is>
          <t>High</t>
        </is>
      </c>
      <c r="G560" s="12" t="inlineStr">
        <is>
          <t>A rebuild that moves a wallet's balance</t>
        </is>
      </c>
      <c r="H560" s="12" t="inlineStr">
        <is>
          <t>1. Complete the rebuild
2. Inspect the wallet flags and the summary report</t>
        </is>
      </c>
      <c r="I560" s="12" t="inlineStr">
        <is>
          <t>Any wallet with non-zero variance is flagged and requires explicit Finance Lead acknowledgement; a rebuild never silently moves money</t>
        </is>
      </c>
      <c r="J560" s="13" t="inlineStr">
        <is>
          <t>Not Tested</t>
        </is>
      </c>
      <c r="K560" s="13" t="inlineStr">
        <is>
          <t>Edge / Boundary</t>
        </is>
      </c>
    </row>
    <row r="561" ht="36" customHeight="1">
      <c r="A561" s="12" t="inlineStr">
        <is>
          <t>Balances &amp; Wallet Consistency (EMI-5944)</t>
        </is>
      </c>
      <c r="B561" s="12" t="inlineStr">
        <is>
          <t>Statement History Rebuild</t>
        </is>
      </c>
      <c r="C561" s="12" t="inlineStr">
        <is>
          <t>Reporting</t>
        </is>
      </c>
      <c r="D561" s="13" t="inlineStr">
        <is>
          <t>TC-Rebuild-41</t>
        </is>
      </c>
      <c r="E561" s="12" t="inlineStr">
        <is>
          <t>Per-Bucket Variance Is Captured, Not a Single Net Figure</t>
        </is>
      </c>
      <c r="F561" s="13" t="inlineStr">
        <is>
          <t>High</t>
        </is>
      </c>
      <c r="G561" s="12" t="inlineStr">
        <is>
          <t>A wallet with a compensating error across two buckets</t>
        </is>
      </c>
      <c r="H561" s="12" t="inlineStr">
        <is>
          <t>1. Rebuild and inspect the variance record</t>
        </is>
      </c>
      <c r="I561" s="12" t="inlineStr">
        <is>
          <t>Variance is recorded per bucket; a net-zero total does not mask the two offsetting errors</t>
        </is>
      </c>
      <c r="J561" s="13" t="inlineStr">
        <is>
          <t>Not Tested</t>
        </is>
      </c>
      <c r="K561" s="13" t="inlineStr">
        <is>
          <t>Edge / Boundary</t>
        </is>
      </c>
    </row>
    <row r="562" ht="36" customHeight="1">
      <c r="A562" s="12" t="inlineStr">
        <is>
          <t>Balances &amp; Wallet Consistency (EMI-5944)</t>
        </is>
      </c>
      <c r="B562" s="12" t="inlineStr">
        <is>
          <t>Statement History Rebuild</t>
        </is>
      </c>
      <c r="C562" s="12" t="inlineStr">
        <is>
          <t>Reporting</t>
        </is>
      </c>
      <c r="D562" s="13" t="inlineStr">
        <is>
          <t>TC-Rebuild-42</t>
        </is>
      </c>
      <c r="E562" s="12" t="inlineStr">
        <is>
          <t>Rebuild Summary Report Content and Export</t>
        </is>
      </c>
      <c r="F562" s="13" t="inlineStr">
        <is>
          <t>Medium</t>
        </is>
      </c>
      <c r="G562" s="12" t="inlineStr">
        <is>
          <t>A completed rebuild</t>
        </is>
      </c>
      <c r="H562" s="12" t="inlineStr">
        <is>
          <t>1. Open the Rebuild Summary Report
2. Export it as CSV, Excel and PDF</t>
        </is>
      </c>
      <c r="I562" s="12" t="inlineStr">
        <is>
          <t>Report carries recon_id, range, scope, trigger, triggered_by, wallets processed, postings replayed, wallets with variance, total absolute variance, duration and outcome; all three export formats succeed and match the on-screen figures</t>
        </is>
      </c>
      <c r="J562" s="13" t="inlineStr">
        <is>
          <t>Not Tested</t>
        </is>
      </c>
      <c r="K562" s="13" t="inlineStr">
        <is>
          <t>Integration</t>
        </is>
      </c>
    </row>
    <row r="563" ht="36" customHeight="1">
      <c r="A563" s="12" t="inlineStr">
        <is>
          <t>Balances &amp; Wallet Consistency (EMI-5944)</t>
        </is>
      </c>
      <c r="B563" s="12" t="inlineStr">
        <is>
          <t>Statement History Rebuild</t>
        </is>
      </c>
      <c r="C563" s="12" t="inlineStr">
        <is>
          <t>Reporting</t>
        </is>
      </c>
      <c r="D563" s="13" t="inlineStr">
        <is>
          <t>TC-Rebuild-43</t>
        </is>
      </c>
      <c r="E563" s="12" t="inlineStr">
        <is>
          <t>Failed Run Remains Visible and Its Report Regenerable</t>
        </is>
      </c>
      <c r="F563" s="13" t="inlineStr">
        <is>
          <t>Medium</t>
        </is>
      </c>
      <c r="G563" s="12" t="inlineStr">
        <is>
          <t>A rebuild that failed, and a report template that fails to compile</t>
        </is>
      </c>
      <c r="H563" s="12" t="inlineStr">
        <is>
          <t>1. Query reconciliation_runs for the failed run
2. Attempt to regenerate the report</t>
        </is>
      </c>
      <c r="I563" s="12" t="inlineStr">
        <is>
          <t>The run and its failure reason stay queryable; the outcome is persisted independently of report generation and the report can be regenerated</t>
        </is>
      </c>
      <c r="J563" s="13" t="inlineStr">
        <is>
          <t>Not Tested</t>
        </is>
      </c>
      <c r="K563" s="13" t="inlineStr">
        <is>
          <t>Negative</t>
        </is>
      </c>
    </row>
    <row r="564" ht="36" customHeight="1">
      <c r="A564" s="12" t="inlineStr">
        <is>
          <t>Balances &amp; Wallet Consistency (EMI-5944)</t>
        </is>
      </c>
      <c r="B564" s="12" t="inlineStr">
        <is>
          <t>Statement History Rebuild</t>
        </is>
      </c>
      <c r="C564" s="12" t="inlineStr">
        <is>
          <t>Failure</t>
        </is>
      </c>
      <c r="D564" s="13" t="inlineStr">
        <is>
          <t>TC-Rebuild-44</t>
        </is>
      </c>
      <c r="E564" s="12" t="inlineStr">
        <is>
          <t>Mid-Replay Failure Leaves No Half-Applied Unmarked State</t>
        </is>
      </c>
      <c r="F564" s="13" t="inlineStr">
        <is>
          <t>High</t>
        </is>
      </c>
      <c r="G564" s="12" t="inlineStr">
        <is>
          <t>A rebuild interrupted during replay</t>
        </is>
      </c>
      <c r="H564" s="12" t="inlineStr">
        <is>
          <t>1. Fail the service mid-replay
2. Inspect wallet states and the run record</t>
        </is>
      </c>
      <c r="I564" s="12" t="inlineStr">
        <is>
          <t>No wallet is externally observable in a partially-rebuilt state; the run is marked PARTIAL or fully rolled back, and affected wallets are identified on the run</t>
        </is>
      </c>
      <c r="J564" s="13" t="inlineStr">
        <is>
          <t>Not Tested</t>
        </is>
      </c>
      <c r="K564" s="13" t="inlineStr">
        <is>
          <t>Integration</t>
        </is>
      </c>
    </row>
    <row r="565" ht="36" customHeight="1">
      <c r="A565" s="12" t="inlineStr">
        <is>
          <t>Balances &amp; Wallet Consistency (EMI-5944)</t>
        </is>
      </c>
      <c r="B565" s="12" t="inlineStr">
        <is>
          <t>Statement History Rebuild</t>
        </is>
      </c>
      <c r="C565" s="12" t="inlineStr">
        <is>
          <t>Failure</t>
        </is>
      </c>
      <c r="D565" s="13" t="inlineStr">
        <is>
          <t>TC-Rebuild-45</t>
        </is>
      </c>
      <c r="E565" s="12" t="inlineStr">
        <is>
          <t>Archived Rows Are Never Auto-Restored on Failure</t>
        </is>
      </c>
      <c r="F565" s="13" t="inlineStr">
        <is>
          <t>High</t>
        </is>
      </c>
      <c r="G565" s="12" t="inlineStr">
        <is>
          <t>A failed rebuild that had already archived rows</t>
        </is>
      </c>
      <c r="H565" s="12" t="inlineStr">
        <is>
          <t>1. Inspect the archive and the live table after the failure</t>
        </is>
      </c>
      <c r="I565" s="12" t="inlineStr">
        <is>
          <t>Archived rows are not automatically restored; restoration is an explicit administrator action so no correction is silently reverted</t>
        </is>
      </c>
      <c r="J565" s="13" t="inlineStr">
        <is>
          <t>Not Tested</t>
        </is>
      </c>
      <c r="K565" s="13" t="inlineStr">
        <is>
          <t>Negative</t>
        </is>
      </c>
    </row>
    <row r="566" ht="36" customHeight="1">
      <c r="A566" s="12" t="inlineStr">
        <is>
          <t>Balances &amp; Wallet Consistency (EMI-5944)</t>
        </is>
      </c>
      <c r="B566" s="12" t="inlineStr">
        <is>
          <t>Statement History Rebuild</t>
        </is>
      </c>
      <c r="C566" s="12" t="inlineStr">
        <is>
          <t>Failure</t>
        </is>
      </c>
      <c r="D566" s="13" t="inlineStr">
        <is>
          <t>TC-Rebuild-46</t>
        </is>
      </c>
      <c r="E566" s="12" t="inlineStr">
        <is>
          <t>Identity Violation During Replay Halts the Wallet</t>
        </is>
      </c>
      <c r="F566" s="13" t="inlineStr">
        <is>
          <t>High</t>
        </is>
      </c>
      <c r="G566" s="12" t="inlineStr">
        <is>
          <t>A replay that would produce current != available + reserve_debit</t>
        </is>
      </c>
      <c r="H566" s="12" t="inlineStr">
        <is>
          <t>1. Force the condition
2. Observe the job</t>
        </is>
      </c>
      <c r="I566" s="12" t="inlineStr">
        <is>
          <t>The wallet is halted, the offending entry is recorded and the run is flagged. The identity is not optional</t>
        </is>
      </c>
      <c r="J566" s="13" t="inlineStr">
        <is>
          <t>Not Tested</t>
        </is>
      </c>
      <c r="K566" s="13" t="inlineStr">
        <is>
          <t>Integration</t>
        </is>
      </c>
    </row>
    <row r="567" ht="36" customHeight="1">
      <c r="A567" s="12" t="inlineStr">
        <is>
          <t>Balances &amp; Wallet Consistency (EMI-5944)</t>
        </is>
      </c>
      <c r="B567" s="12" t="inlineStr">
        <is>
          <t>Statement History Rebuild</t>
        </is>
      </c>
      <c r="C567" s="12" t="inlineStr">
        <is>
          <t>Failure</t>
        </is>
      </c>
      <c r="D567" s="13" t="inlineStr">
        <is>
          <t>TC-Rebuild-47</t>
        </is>
      </c>
      <c r="E567" s="12" t="inlineStr">
        <is>
          <t>Negative Available Is Written and Flagged, Never Clamped</t>
        </is>
      </c>
      <c r="F567" s="13" t="inlineStr">
        <is>
          <t>High</t>
        </is>
      </c>
      <c r="G567" s="12" t="inlineStr">
        <is>
          <t>A replay that produces a negative available balance</t>
        </is>
      </c>
      <c r="H567" s="12" t="inlineStr">
        <is>
          <t>1. Rebuild the range
2. Inspect the written value and the anomaly flag</t>
        </is>
      </c>
      <c r="I567" s="12" t="inlineStr">
        <is>
          <t>The negative value is written and the wallet flagged as an anomaly; it is not rejected and not clamped to zero, because the ledger is truth</t>
        </is>
      </c>
      <c r="J567" s="13" t="inlineStr">
        <is>
          <t>Not Tested</t>
        </is>
      </c>
      <c r="K567" s="13" t="inlineStr">
        <is>
          <t>Negative</t>
        </is>
      </c>
    </row>
    <row r="568" ht="36" customHeight="1">
      <c r="A568" s="12" t="inlineStr">
        <is>
          <t>Balances &amp; Wallet Consistency (EMI-5944)</t>
        </is>
      </c>
      <c r="B568" s="12" t="inlineStr">
        <is>
          <t>Statement History Rebuild</t>
        </is>
      </c>
      <c r="C568" s="12" t="inlineStr">
        <is>
          <t>Ownership</t>
        </is>
      </c>
      <c r="D568" s="13" t="inlineStr">
        <is>
          <t>TC-Rebuild-48</t>
        </is>
      </c>
      <c r="E568" s="12" t="inlineStr">
        <is>
          <t>Mutation Executes in the Wallet Service, One Transaction Per Wallet</t>
        </is>
      </c>
      <c r="F568" s="13" t="inlineStr">
        <is>
          <t>High</t>
        </is>
      </c>
      <c r="G568" s="12" t="inlineStr">
        <is>
          <t>Instrumentation on service boundaries</t>
        </is>
      </c>
      <c r="H568" s="12" t="inlineStr">
        <is>
          <t>1. Run a rebuild across several wallets
2. Trace which service performs the balance arithmetic and the transaction boundaries</t>
        </is>
      </c>
      <c r="I568" s="12" t="inlineStr">
        <is>
          <t>Wallet and running-balance mutation happens in the Wallet Service with one transaction per wallet; the Reports Service orchestrates and reports but performs no balance arithmetic</t>
        </is>
      </c>
      <c r="J568" s="13" t="inlineStr">
        <is>
          <t>Not Tested</t>
        </is>
      </c>
      <c r="K568" s="13" t="inlineStr">
        <is>
          <t>Integration</t>
        </is>
      </c>
    </row>
    <row r="569" ht="36" customHeight="1">
      <c r="A569" s="12" t="inlineStr">
        <is>
          <t>Balances &amp; Wallet Consistency (EMI-5944)</t>
        </is>
      </c>
      <c r="B569" s="12" t="inlineStr">
        <is>
          <t>Statement History Rebuild</t>
        </is>
      </c>
      <c r="C569" s="12" t="inlineStr">
        <is>
          <t>Non-Functional</t>
        </is>
      </c>
      <c r="D569" s="13" t="inlineStr">
        <is>
          <t>TC-Rebuild-49</t>
        </is>
      </c>
      <c r="E569" s="12" t="inlineStr">
        <is>
          <t>No Full-Table Scans and Bounded Memory</t>
        </is>
      </c>
      <c r="F569" s="13" t="inlineStr">
        <is>
          <t>High</t>
        </is>
      </c>
      <c r="G569" s="12" t="inlineStr">
        <is>
          <t>Production-scale data volume</t>
        </is>
      </c>
      <c r="H569" s="12" t="inlineStr">
        <is>
          <t>1. Run a rebuild and capture the query plans and memory profile</t>
        </is>
      </c>
      <c r="I569" s="12" t="inlineStr">
        <is>
          <t>Replay is driven by an indexed range query on (wallet_id, posting_time); no full-table scan occurs and memory does not scale with range size</t>
        </is>
      </c>
      <c r="J569" s="13" t="inlineStr">
        <is>
          <t>Not Tested</t>
        </is>
      </c>
      <c r="K569" s="13" t="inlineStr">
        <is>
          <t>Performance / NFR</t>
        </is>
      </c>
    </row>
    <row r="570" ht="36" customHeight="1">
      <c r="A570" s="12" t="inlineStr">
        <is>
          <t>Balances &amp; Wallet Consistency (EMI-5944)</t>
        </is>
      </c>
      <c r="B570" s="12" t="inlineStr">
        <is>
          <t>Statement History Rebuild</t>
        </is>
      </c>
      <c r="C570" s="12" t="inlineStr">
        <is>
          <t>Non-Functional</t>
        </is>
      </c>
      <c r="D570" s="13" t="inlineStr">
        <is>
          <t>TC-Rebuild-50</t>
        </is>
      </c>
      <c r="E570" s="12" t="inlineStr">
        <is>
          <t>Latency Budget and Availability of Out-of-Scope Wallets</t>
        </is>
      </c>
      <c r="F570" s="13" t="inlineStr">
        <is>
          <t>High</t>
        </is>
      </c>
      <c r="G570" s="12" t="inlineStr">
        <is>
          <t>Production-scale data volume</t>
        </is>
      </c>
      <c r="H570" s="12" t="inlineStr">
        <is>
          <t>1. Rebuild one wallet over one month and time it
2. Run the nightly partial rebuild and time it
3. Transact on wallets outside the scope throughout</t>
        </is>
      </c>
      <c r="I570" s="12" t="inlineStr">
        <is>
          <t>Single-wallet month completes within 30 seconds; the nightly partial completes inside the maintenance window; wallets outside scope stay fully transactable</t>
        </is>
      </c>
      <c r="J570" s="13" t="inlineStr">
        <is>
          <t>Not Tested</t>
        </is>
      </c>
      <c r="K570" s="13" t="inlineStr">
        <is>
          <t>Performance / NFR</t>
        </is>
      </c>
    </row>
    <row r="571" ht="36" customHeight="1">
      <c r="A571" s="12" t="inlineStr">
        <is>
          <t>Balances &amp; Wallet Consistency (EMI-5944)</t>
        </is>
      </c>
      <c r="B571" s="12" t="inlineStr">
        <is>
          <t>Statement History Rebuild</t>
        </is>
      </c>
      <c r="C571" s="12" t="inlineStr">
        <is>
          <t>UI</t>
        </is>
      </c>
      <c r="D571" s="13" t="inlineStr">
        <is>
          <t>TC-Rebuild-51</t>
        </is>
      </c>
      <c r="E571" s="12" t="inlineStr">
        <is>
          <t>Rebuild Dialog States the Mode Guidance and Archive Warning</t>
        </is>
      </c>
      <c r="F571" s="13" t="inlineStr">
        <is>
          <t>Medium</t>
        </is>
      </c>
      <c r="G571" s="12" t="inlineStr">
        <is>
          <t>Admin UI available to a Finance Lead</t>
        </is>
      </c>
      <c r="H571" s="12" t="inlineStr">
        <is>
          <t>1. Open the Rebuild Statement History dialog</t>
        </is>
      </c>
      <c r="I571" s="12" t="inlineStr">
        <is>
          <t>Both date bounds are mandatory and same-day selection is valid; reason is mandatory; the dialog states that current entries will be archived and that a wrong balance alone should use Wallet Balance Recompute instead</t>
        </is>
      </c>
      <c r="J571" s="13" t="inlineStr">
        <is>
          <t>Not Tested</t>
        </is>
      </c>
      <c r="K571" s="13" t="inlineStr">
        <is>
          <t>Usability</t>
        </is>
      </c>
    </row>
    <row r="572" ht="36" customHeight="1">
      <c r="A572" s="12" t="inlineStr">
        <is>
          <t>Balances &amp; Wallet Consistency (EMI-5944)</t>
        </is>
      </c>
      <c r="B572" s="12" t="inlineStr">
        <is>
          <t>Statement History Rebuild</t>
        </is>
      </c>
      <c r="C572" s="12" t="inlineStr">
        <is>
          <t>UI</t>
        </is>
      </c>
      <c r="D572" s="13" t="inlineStr">
        <is>
          <t>TC-Rebuild-52</t>
        </is>
      </c>
      <c r="E572" s="12" t="inlineStr">
        <is>
          <t>Statement View Distinguishes Reserve Credit From Current</t>
        </is>
      </c>
      <c r="F572" s="13" t="inlineStr">
        <is>
          <t>Medium</t>
        </is>
      </c>
      <c r="G572" s="12" t="inlineStr">
        <is>
          <t>A wallet holding reserve_credit</t>
        </is>
      </c>
      <c r="H572" s="12" t="inlineStr">
        <is>
          <t>1. Open the statement view</t>
        </is>
      </c>
      <c r="I572" s="12" t="inlineStr">
        <is>
          <t>All four buckets are shown before and after each entry, with reserve_credit visually distinguished from current so the exclusion is legible to the reader</t>
        </is>
      </c>
      <c r="J572" s="13" t="inlineStr">
        <is>
          <t>Not Tested</t>
        </is>
      </c>
      <c r="K572" s="13" t="inlineStr">
        <is>
          <t>Usability</t>
        </is>
      </c>
    </row>
    <row r="573" ht="36" customHeight="1">
      <c r="A573" s="12" t="inlineStr">
        <is>
          <t>Balances &amp; Wallet Consistency (EMI-5944)</t>
        </is>
      </c>
      <c r="B573" s="12" t="inlineStr">
        <is>
          <t>Wallet Balance Recompute</t>
        </is>
      </c>
      <c r="C573" s="12" t="inlineStr">
        <is>
          <t>Derivation</t>
        </is>
      </c>
      <c r="D573" s="13" t="inlineStr">
        <is>
          <t>TC-Recompute-01</t>
        </is>
      </c>
      <c r="E573" s="12" t="inlineStr">
        <is>
          <t>Buckets Derived From the Transaction Log Only</t>
        </is>
      </c>
      <c r="F573" s="13" t="inlineStr">
        <is>
          <t>High</t>
        </is>
      </c>
      <c r="G573" s="12" t="inlineStr">
        <is>
          <t>A wallet whose buckets have drifted</t>
        </is>
      </c>
      <c r="H573" s="12" t="inlineStr">
        <is>
          <t>1. Trigger a recompute
2. Trace every table the job reads</t>
        </is>
      </c>
      <c r="I573" s="12" t="inlineStr">
        <is>
          <t>All four buckets are derived from transaction_log current state; running_balance is never read. Reading the projection to repair the projection is the defect this story removes</t>
        </is>
      </c>
      <c r="J573" s="13" t="inlineStr">
        <is>
          <t>Not Tested</t>
        </is>
      </c>
      <c r="K573" s="13" t="inlineStr">
        <is>
          <t>Integration</t>
        </is>
      </c>
    </row>
    <row r="574" ht="36" customHeight="1">
      <c r="A574" s="12" t="inlineStr">
        <is>
          <t>Balances &amp; Wallet Consistency (EMI-5944)</t>
        </is>
      </c>
      <c r="B574" s="12" t="inlineStr">
        <is>
          <t>Wallet Balance Recompute</t>
        </is>
      </c>
      <c r="C574" s="12" t="inlineStr">
        <is>
          <t>Derivation</t>
        </is>
      </c>
      <c r="D574" s="13" t="inlineStr">
        <is>
          <t>TC-Recompute-02</t>
        </is>
      </c>
      <c r="E574" s="12" t="inlineStr">
        <is>
          <t>Aggregate Grain Covers All Postings for a Transaction</t>
        </is>
      </c>
      <c r="F574" s="13" t="inlineStr">
        <is>
          <t>High</t>
        </is>
      </c>
      <c r="G574" s="12" t="inlineStr">
        <is>
          <t>A transaction with separate PENDING, SUCCESS and FAILED postings</t>
        </is>
      </c>
      <c r="H574" s="12" t="inlineStr">
        <is>
          <t>1. Recompute the wallet
2. Inspect the aggregation grain used</t>
        </is>
      </c>
      <c r="I574" s="12" t="inlineStr">
        <is>
          <t>The aggregate is over all postings across the transaction lifecycle, not over a single mutable transaction row, per the append-only ledger model</t>
        </is>
      </c>
      <c r="J574" s="13" t="inlineStr">
        <is>
          <t>Not Tested</t>
        </is>
      </c>
      <c r="K574" s="13" t="inlineStr">
        <is>
          <t>Functional</t>
        </is>
      </c>
    </row>
    <row r="575" ht="36" customHeight="1">
      <c r="A575" s="12" t="inlineStr">
        <is>
          <t>Balances &amp; Wallet Consistency (EMI-5944)</t>
        </is>
      </c>
      <c r="B575" s="12" t="inlineStr">
        <is>
          <t>Wallet Balance Recompute</t>
        </is>
      </c>
      <c r="C575" s="12" t="inlineStr">
        <is>
          <t>Derivation</t>
        </is>
      </c>
      <c r="D575" s="13" t="inlineStr">
        <is>
          <t>TC-Recompute-03</t>
        </is>
      </c>
      <c r="E575" s="12" t="inlineStr">
        <is>
          <t>Status and Direction Mapping Consumed From the Shared Definition</t>
        </is>
      </c>
      <c r="F575" s="13" t="inlineStr">
        <is>
          <t>High</t>
        </is>
      </c>
      <c r="G575" s="12" t="inlineStr">
        <is>
          <t>Access to the implementation</t>
        </is>
      </c>
      <c r="H575" s="12" t="inlineStr">
        <is>
          <t>1. Inspect where the status x direction to bucket mapping comes from</t>
        </is>
      </c>
      <c r="I575" s="12" t="inlineStr">
        <is>
          <t>The mapping is consumed from the single shared EMI-602 definition used by the live consumer and by EMI-5950 validation; it is not re-implemented here</t>
        </is>
      </c>
      <c r="J575" s="13" t="inlineStr">
        <is>
          <t>Not Tested</t>
        </is>
      </c>
      <c r="K575" s="13" t="inlineStr">
        <is>
          <t>Functional</t>
        </is>
      </c>
    </row>
    <row r="576" ht="36" customHeight="1">
      <c r="A576" s="12" t="inlineStr">
        <is>
          <t>Balances &amp; Wallet Consistency (EMI-5944)</t>
        </is>
      </c>
      <c r="B576" s="12" t="inlineStr">
        <is>
          <t>Wallet Balance Recompute</t>
        </is>
      </c>
      <c r="C576" s="12" t="inlineStr">
        <is>
          <t>Derivation</t>
        </is>
      </c>
      <c r="D576" s="13" t="inlineStr">
        <is>
          <t>TC-Recompute-04</t>
        </is>
      </c>
      <c r="E576" s="12" t="inlineStr">
        <is>
          <t>Order Invariance</t>
        </is>
      </c>
      <c r="F576" s="13" t="inlineStr">
        <is>
          <t>High</t>
        </is>
      </c>
      <c r="G576" s="12" t="inlineStr">
        <is>
          <t>A wallet whose ledger postings can be applied in an arbitrary order</t>
        </is>
      </c>
      <c r="H576" s="12" t="inlineStr">
        <is>
          <t>1. Apply the postings in a deliberately shuffled order
2. Recompute
3. Repeat with a different shuffle</t>
        </is>
      </c>
      <c r="I576" s="12" t="inlineStr">
        <is>
          <t>The result is identical every time; the output does not depend on row order, insertion order or event arrival order</t>
        </is>
      </c>
      <c r="J576" s="13" t="inlineStr">
        <is>
          <t>Not Tested</t>
        </is>
      </c>
      <c r="K576" s="13" t="inlineStr">
        <is>
          <t>Functional</t>
        </is>
      </c>
    </row>
    <row r="577" ht="36" customHeight="1">
      <c r="A577" s="12" t="inlineStr">
        <is>
          <t>Balances &amp; Wallet Consistency (EMI-5944)</t>
        </is>
      </c>
      <c r="B577" s="12" t="inlineStr">
        <is>
          <t>Wallet Balance Recompute</t>
        </is>
      </c>
      <c r="C577" s="12" t="inlineStr">
        <is>
          <t>Functional</t>
        </is>
      </c>
      <c r="D577" s="13" t="inlineStr">
        <is>
          <t>TC-Recompute-05</t>
        </is>
      </c>
      <c r="E577" s="12" t="inlineStr">
        <is>
          <t>No-Op When Buckets Already Match</t>
        </is>
      </c>
      <c r="F577" s="13" t="inlineStr">
        <is>
          <t>High</t>
        </is>
      </c>
      <c r="G577" s="12" t="inlineStr">
        <is>
          <t>A wallet whose buckets agree with the ledger</t>
        </is>
      </c>
      <c r="H577" s="12" t="inlineStr">
        <is>
          <t>1. Trigger a recompute</t>
        </is>
      </c>
      <c r="I577" s="12" t="inlineStr">
        <is>
          <t>Completes as NO_OP; no write is made; the run is still recorded so the check itself is auditable</t>
        </is>
      </c>
      <c r="J577" s="13" t="inlineStr">
        <is>
          <t>Not Tested</t>
        </is>
      </c>
      <c r="K577" s="13" t="inlineStr">
        <is>
          <t>Functional</t>
        </is>
      </c>
    </row>
    <row r="578" ht="36" customHeight="1">
      <c r="A578" s="12" t="inlineStr">
        <is>
          <t>Balances &amp; Wallet Consistency (EMI-5944)</t>
        </is>
      </c>
      <c r="B578" s="12" t="inlineStr">
        <is>
          <t>Wallet Balance Recompute</t>
        </is>
      </c>
      <c r="C578" s="12" t="inlineStr">
        <is>
          <t>Functional</t>
        </is>
      </c>
      <c r="D578" s="13" t="inlineStr">
        <is>
          <t>TC-Recompute-06</t>
        </is>
      </c>
      <c r="E578" s="12" t="inlineStr">
        <is>
          <t>Drifted Available Is Corrected</t>
        </is>
      </c>
      <c r="F578" s="13" t="inlineStr">
        <is>
          <t>High</t>
        </is>
      </c>
      <c r="G578" s="12" t="inlineStr">
        <is>
          <t>A wallet whose available has drifted from the ledger</t>
        </is>
      </c>
      <c r="H578" s="12" t="inlineStr">
        <is>
          <t>1. Trigger a recompute
2. Compare before and after values per bucket</t>
        </is>
      </c>
      <c r="I578" s="12" t="inlineStr">
        <is>
          <t>Buckets are corrected to the ledger-derived values and variance is reported per bucket</t>
        </is>
      </c>
      <c r="J578" s="13" t="inlineStr">
        <is>
          <t>Not Tested</t>
        </is>
      </c>
      <c r="K578" s="13" t="inlineStr">
        <is>
          <t>Functional</t>
        </is>
      </c>
    </row>
    <row r="579" ht="36" customHeight="1">
      <c r="A579" s="12" t="inlineStr">
        <is>
          <t>Balances &amp; Wallet Consistency (EMI-5944)</t>
        </is>
      </c>
      <c r="B579" s="12" t="inlineStr">
        <is>
          <t>Wallet Balance Recompute</t>
        </is>
      </c>
      <c r="C579" s="12" t="inlineStr">
        <is>
          <t>Idempotency</t>
        </is>
      </c>
      <c r="D579" s="13" t="inlineStr">
        <is>
          <t>TC-Recompute-07</t>
        </is>
      </c>
      <c r="E579" s="12" t="inlineStr">
        <is>
          <t>Repeated Runs Over an Unchanged Ledger</t>
        </is>
      </c>
      <c r="F579" s="13" t="inlineStr">
        <is>
          <t>High</t>
        </is>
      </c>
      <c r="G579" s="12" t="inlineStr">
        <is>
          <t>A completed recompute</t>
        </is>
      </c>
      <c r="H579" s="12" t="inlineStr">
        <is>
          <t>1. Run the same recompute again</t>
        </is>
      </c>
      <c r="I579" s="12" t="inlineStr">
        <is>
          <t>Second run is a NO_OP and the state is identical</t>
        </is>
      </c>
      <c r="J579" s="13" t="inlineStr">
        <is>
          <t>Not Tested</t>
        </is>
      </c>
      <c r="K579" s="13" t="inlineStr">
        <is>
          <t>Integration</t>
        </is>
      </c>
    </row>
    <row r="580" ht="36" customHeight="1">
      <c r="A580" s="12" t="inlineStr">
        <is>
          <t>Balances &amp; Wallet Consistency (EMI-5944)</t>
        </is>
      </c>
      <c r="B580" s="12" t="inlineStr">
        <is>
          <t>Wallet Balance Recompute</t>
        </is>
      </c>
      <c r="C580" s="12" t="inlineStr">
        <is>
          <t>Functional</t>
        </is>
      </c>
      <c r="D580" s="13" t="inlineStr">
        <is>
          <t>TC-Recompute-08</t>
        </is>
      </c>
      <c r="E580" s="12" t="inlineStr">
        <is>
          <t>Open Outgoing Pending Reflected in Reserve Debit</t>
        </is>
      </c>
      <c r="F580" s="13" t="inlineStr">
        <is>
          <t>High</t>
        </is>
      </c>
      <c r="G580" s="12" t="inlineStr">
        <is>
          <t>A wallet with an open outgoing pending transaction</t>
        </is>
      </c>
      <c r="H580" s="12" t="inlineStr">
        <is>
          <t>1. Recompute the wallet
2. Inspect all four buckets</t>
        </is>
      </c>
      <c r="I580" s="12" t="inlineStr">
        <is>
          <t>reserve_debit reflects the hold, available is correspondingly reduced, and current is unchanged</t>
        </is>
      </c>
      <c r="J580" s="13" t="inlineStr">
        <is>
          <t>Not Tested</t>
        </is>
      </c>
      <c r="K580" s="13" t="inlineStr">
        <is>
          <t>Functional</t>
        </is>
      </c>
    </row>
    <row r="581" ht="36" customHeight="1">
      <c r="A581" s="12" t="inlineStr">
        <is>
          <t>Balances &amp; Wallet Consistency (EMI-5944)</t>
        </is>
      </c>
      <c r="B581" s="12" t="inlineStr">
        <is>
          <t>Wallet Balance Recompute</t>
        </is>
      </c>
      <c r="C581" s="12" t="inlineStr">
        <is>
          <t>Functional</t>
        </is>
      </c>
      <c r="D581" s="13" t="inlineStr">
        <is>
          <t>TC-Recompute-09</t>
        </is>
      </c>
      <c r="E581" s="12" t="inlineStr">
        <is>
          <t>Unsettled Incoming Payment Sits in Reserve Credit</t>
        </is>
      </c>
      <c r="F581" s="13" t="inlineStr">
        <is>
          <t>High</t>
        </is>
      </c>
      <c r="G581" s="12" t="inlineStr">
        <is>
          <t>A wallet holding an unsettled incoming payment</t>
        </is>
      </c>
      <c r="H581" s="12" t="inlineStr">
        <is>
          <t>1. Recompute the wallet
2. Inspect current</t>
        </is>
      </c>
      <c r="I581" s="12" t="inlineStr">
        <is>
          <t>reserve_credit is populated and current excludes it. This guards the most commonly misread rule in the model</t>
        </is>
      </c>
      <c r="J581" s="13" t="inlineStr">
        <is>
          <t>Not Tested</t>
        </is>
      </c>
      <c r="K581" s="13" t="inlineStr">
        <is>
          <t>Functional</t>
        </is>
      </c>
    </row>
    <row r="582" ht="36" customHeight="1">
      <c r="A582" s="12" t="inlineStr">
        <is>
          <t>Balances &amp; Wallet Consistency (EMI-5944)</t>
        </is>
      </c>
      <c r="B582" s="12" t="inlineStr">
        <is>
          <t>Wallet Balance Recompute</t>
        </is>
      </c>
      <c r="C582" s="12" t="inlineStr">
        <is>
          <t>Functional</t>
        </is>
      </c>
      <c r="D582" s="13" t="inlineStr">
        <is>
          <t>TC-Recompute-10</t>
        </is>
      </c>
      <c r="E582" s="12" t="inlineStr">
        <is>
          <t>Commission and VAT Wallets Are Not Special-Cased</t>
        </is>
      </c>
      <c r="F582" s="13" t="inlineStr">
        <is>
          <t>High</t>
        </is>
      </c>
      <c r="G582" s="12" t="inlineStr">
        <is>
          <t>An open reserve window with commission and VAT legs</t>
        </is>
      </c>
      <c r="H582" s="12" t="inlineStr">
        <is>
          <t>1. Recompute the commission and VAT wallets</t>
        </is>
      </c>
      <c r="I582" s="12" t="inlineStr">
        <is>
          <t>Amounts sit in reserve_credit, not available; both are treated as ordinary destination wallets</t>
        </is>
      </c>
      <c r="J582" s="13" t="inlineStr">
        <is>
          <t>Not Tested</t>
        </is>
      </c>
      <c r="K582" s="13" t="inlineStr">
        <is>
          <t>Functional</t>
        </is>
      </c>
    </row>
    <row r="583" ht="36" customHeight="1">
      <c r="A583" s="12" t="inlineStr">
        <is>
          <t>Balances &amp; Wallet Consistency (EMI-5944)</t>
        </is>
      </c>
      <c r="B583" s="12" t="inlineStr">
        <is>
          <t>Wallet Balance Recompute</t>
        </is>
      </c>
      <c r="C583" s="12" t="inlineStr">
        <is>
          <t>Functional</t>
        </is>
      </c>
      <c r="D583" s="13" t="inlineStr">
        <is>
          <t>TC-Recompute-11</t>
        </is>
      </c>
      <c r="E583" s="12" t="inlineStr">
        <is>
          <t>Recompute Across Settlement Moves Reserve Credit to Available</t>
        </is>
      </c>
      <c r="F583" s="13" t="inlineStr">
        <is>
          <t>High</t>
        </is>
      </c>
      <c r="G583" s="12" t="inlineStr">
        <is>
          <t>A destination wallet mid-reserve</t>
        </is>
      </c>
      <c r="H583" s="12" t="inlineStr">
        <is>
          <t>1. Recompute before settlement
2. Settle the transaction
3. Recompute again</t>
        </is>
      </c>
      <c r="I583" s="12" t="inlineStr">
        <is>
          <t>First run: amount in reserve_credit with current unchanged. Second run: amount moved to available with current increased</t>
        </is>
      </c>
      <c r="J583" s="13" t="inlineStr">
        <is>
          <t>Not Tested</t>
        </is>
      </c>
      <c r="K583" s="13" t="inlineStr">
        <is>
          <t>Functional</t>
        </is>
      </c>
    </row>
    <row r="584" ht="36" customHeight="1">
      <c r="A584" s="12" t="inlineStr">
        <is>
          <t>Balances &amp; Wallet Consistency (EMI-5944)</t>
        </is>
      </c>
      <c r="B584" s="12" t="inlineStr">
        <is>
          <t>Wallet Balance Recompute</t>
        </is>
      </c>
      <c r="C584" s="12" t="inlineStr">
        <is>
          <t>Functional</t>
        </is>
      </c>
      <c r="D584" s="13" t="inlineStr">
        <is>
          <t>TC-Recompute-12</t>
        </is>
      </c>
      <c r="E584" s="12" t="inlineStr">
        <is>
          <t>Adjustment Postings Aggregated With No Special-Casing</t>
        </is>
      </c>
      <c r="F584" s="13" t="inlineStr">
        <is>
          <t>High</t>
        </is>
      </c>
      <c r="G584" s="12" t="inlineStr">
        <is>
          <t>A wallet whose transaction was corrected through the adjustment flow</t>
        </is>
      </c>
      <c r="H584" s="12" t="inlineStr">
        <is>
          <t>1. Recompute the wallet
2. Inspect how the four appended adjustment postings are handled</t>
        </is>
      </c>
      <c r="I584" s="12" t="inlineStr">
        <is>
          <t>All four are included in the aggregate with no special-casing and the result matches the corrected position</t>
        </is>
      </c>
      <c r="J584" s="13" t="inlineStr">
        <is>
          <t>Not Tested</t>
        </is>
      </c>
      <c r="K584" s="13" t="inlineStr">
        <is>
          <t>Functional</t>
        </is>
      </c>
    </row>
    <row r="585" ht="36" customHeight="1">
      <c r="A585" s="12" t="inlineStr">
        <is>
          <t>Balances &amp; Wallet Consistency (EMI-5944)</t>
        </is>
      </c>
      <c r="B585" s="12" t="inlineStr">
        <is>
          <t>Wallet Balance Recompute</t>
        </is>
      </c>
      <c r="C585" s="12" t="inlineStr">
        <is>
          <t>Variance</t>
        </is>
      </c>
      <c r="D585" s="13" t="inlineStr">
        <is>
          <t>TC-Recompute-13</t>
        </is>
      </c>
      <c r="E585" s="12" t="inlineStr">
        <is>
          <t>Compensating Error Across Two Buckets Is Not Masked</t>
        </is>
      </c>
      <c r="F585" s="13" t="inlineStr">
        <is>
          <t>High</t>
        </is>
      </c>
      <c r="G585" s="12" t="inlineStr">
        <is>
          <t>A wallet with one bucket high and another low by the same amount</t>
        </is>
      </c>
      <c r="H585" s="12" t="inlineStr">
        <is>
          <t>1. Recompute the wallet
2. Inspect the variance record</t>
        </is>
      </c>
      <c r="I585" s="12" t="inlineStr">
        <is>
          <t>Both buckets are flagged; the net-zero total does not mask the variance</t>
        </is>
      </c>
      <c r="J585" s="13" t="inlineStr">
        <is>
          <t>Not Tested</t>
        </is>
      </c>
      <c r="K585" s="13" t="inlineStr">
        <is>
          <t>Edge / Boundary</t>
        </is>
      </c>
    </row>
    <row r="586" ht="36" customHeight="1">
      <c r="A586" s="12" t="inlineStr">
        <is>
          <t>Balances &amp; Wallet Consistency (EMI-5944)</t>
        </is>
      </c>
      <c r="B586" s="12" t="inlineStr">
        <is>
          <t>Wallet Balance Recompute</t>
        </is>
      </c>
      <c r="C586" s="12" t="inlineStr">
        <is>
          <t>Variance</t>
        </is>
      </c>
      <c r="D586" s="13" t="inlineStr">
        <is>
          <t>TC-Recompute-14</t>
        </is>
      </c>
      <c r="E586" s="12" t="inlineStr">
        <is>
          <t>Pre and Post Values Captured Per Wallet and Per Bucket</t>
        </is>
      </c>
      <c r="F586" s="13" t="inlineStr">
        <is>
          <t>Medium</t>
        </is>
      </c>
      <c r="G586" s="12" t="inlineStr">
        <is>
          <t>A recompute that changes values</t>
        </is>
      </c>
      <c r="H586" s="12" t="inlineStr">
        <is>
          <t>1. Inspect the variance record</t>
        </is>
      </c>
      <c r="I586" s="12" t="inlineStr">
        <is>
          <t>Values are captured per wallet and per bucket rather than as a single net figure</t>
        </is>
      </c>
      <c r="J586" s="13" t="inlineStr">
        <is>
          <t>Not Tested</t>
        </is>
      </c>
      <c r="K586" s="13" t="inlineStr">
        <is>
          <t>Functional</t>
        </is>
      </c>
    </row>
    <row r="587" ht="36" customHeight="1">
      <c r="A587" s="12" t="inlineStr">
        <is>
          <t>Balances &amp; Wallet Consistency (EMI-5944)</t>
        </is>
      </c>
      <c r="B587" s="12" t="inlineStr">
        <is>
          <t>Wallet Balance Recompute</t>
        </is>
      </c>
      <c r="C587" s="12" t="inlineStr">
        <is>
          <t>Negative</t>
        </is>
      </c>
      <c r="D587" s="13" t="inlineStr">
        <is>
          <t>TC-Recompute-15</t>
        </is>
      </c>
      <c r="E587" s="12" t="inlineStr">
        <is>
          <t>Negative Available Is Written and Flagged, Never Clamped</t>
        </is>
      </c>
      <c r="F587" s="13" t="inlineStr">
        <is>
          <t>High</t>
        </is>
      </c>
      <c r="G587" s="12" t="inlineStr">
        <is>
          <t>A wallet whose ledger-derived available is negative</t>
        </is>
      </c>
      <c r="H587" s="12" t="inlineStr">
        <is>
          <t>1. Recompute the wallet
2. Inspect the written value, the anomaly flag and any constraint behaviour</t>
        </is>
      </c>
      <c r="I587" s="12" t="inlineStr">
        <is>
          <t>The negative value is written and the wallet flagged as an anomaly; it is not rejected and not clamped to zero, and no constraint rejects the write</t>
        </is>
      </c>
      <c r="J587" s="13" t="inlineStr">
        <is>
          <t>Not Tested</t>
        </is>
      </c>
      <c r="K587" s="13" t="inlineStr">
        <is>
          <t>Negative</t>
        </is>
      </c>
    </row>
    <row r="588" ht="36" customHeight="1">
      <c r="A588" s="12" t="inlineStr">
        <is>
          <t>Balances &amp; Wallet Consistency (EMI-5944)</t>
        </is>
      </c>
      <c r="B588" s="12" t="inlineStr">
        <is>
          <t>Wallet Balance Recompute</t>
        </is>
      </c>
      <c r="C588" s="12" t="inlineStr">
        <is>
          <t>Isolation</t>
        </is>
      </c>
      <c r="D588" s="13" t="inlineStr">
        <is>
          <t>TC-Recompute-16</t>
        </is>
      </c>
      <c r="E588" s="12" t="inlineStr">
        <is>
          <t>Running Balance Sequence Is Provably Untouched</t>
        </is>
      </c>
      <c r="F588" s="13" t="inlineStr">
        <is>
          <t>High</t>
        </is>
      </c>
      <c r="G588" s="12" t="inlineStr">
        <is>
          <t>A wallet with an existing statement sequence</t>
        </is>
      </c>
      <c r="H588" s="12" t="inlineStr">
        <is>
          <t>1. Capture the running_balance entry sequence
2. Recompute the wallet
3. Compare the sequence</t>
        </is>
      </c>
      <c r="I588" s="12" t="inlineStr">
        <is>
          <t>The entry sequence is byte-identical; this job repairs the snapshot and never the statement</t>
        </is>
      </c>
      <c r="J588" s="13" t="inlineStr">
        <is>
          <t>Not Tested</t>
        </is>
      </c>
      <c r="K588" s="13" t="inlineStr">
        <is>
          <t>Integration</t>
        </is>
      </c>
    </row>
    <row r="589" ht="36" customHeight="1">
      <c r="A589" s="12" t="inlineStr">
        <is>
          <t>Balances &amp; Wallet Consistency (EMI-5944)</t>
        </is>
      </c>
      <c r="B589" s="12" t="inlineStr">
        <is>
          <t>Wallet Balance Recompute</t>
        </is>
      </c>
      <c r="C589" s="12" t="inlineStr">
        <is>
          <t>Isolation</t>
        </is>
      </c>
      <c r="D589" s="13" t="inlineStr">
        <is>
          <t>TC-Recompute-17</t>
        </is>
      </c>
      <c r="E589" s="12" t="inlineStr">
        <is>
          <t>Wrong Statement With Correct Buckets Reports No-Op and Flags a Rebuild</t>
        </is>
      </c>
      <c r="F589" s="13" t="inlineStr">
        <is>
          <t>High</t>
        </is>
      </c>
      <c r="G589" s="12" t="inlineStr">
        <is>
          <t>A wallet whose statement rows are wrong but whose buckets are right</t>
        </is>
      </c>
      <c r="H589" s="12" t="inlineStr">
        <is>
          <t>1. Recompute the wallet
2. Read the report</t>
        </is>
      </c>
      <c r="I589" s="12" t="inlineStr">
        <is>
          <t>Recompute reports NO_OP and states clearly that a statement rebuild may be required, so the operator knows a follow-up is needed</t>
        </is>
      </c>
      <c r="J589" s="13" t="inlineStr">
        <is>
          <t>Not Tested</t>
        </is>
      </c>
      <c r="K589" s="13" t="inlineStr">
        <is>
          <t>Integration</t>
        </is>
      </c>
    </row>
    <row r="590" ht="36" customHeight="1">
      <c r="A590" s="12" t="inlineStr">
        <is>
          <t>Balances &amp; Wallet Consistency (EMI-5944)</t>
        </is>
      </c>
      <c r="B590" s="12" t="inlineStr">
        <is>
          <t>Wallet Balance Recompute</t>
        </is>
      </c>
      <c r="C590" s="12" t="inlineStr">
        <is>
          <t>Concurrency</t>
        </is>
      </c>
      <c r="D590" s="13" t="inlineStr">
        <is>
          <t>TC-Recompute-18</t>
        </is>
      </c>
      <c r="E590" s="12" t="inlineStr">
        <is>
          <t>Overlapping Recompute Is Rejected</t>
        </is>
      </c>
      <c r="F590" s="13" t="inlineStr">
        <is>
          <t>High</t>
        </is>
      </c>
      <c r="G590" s="12" t="inlineStr">
        <is>
          <t>A recompute in flight</t>
        </is>
      </c>
      <c r="H590" s="12" t="inlineStr">
        <is>
          <t>1. Request a second recompute with an overlapping scope</t>
        </is>
      </c>
      <c r="I590" s="12" t="inlineStr">
        <is>
          <t>Rejected with a 409 conflict naming the in-flight run; it is not queued</t>
        </is>
      </c>
      <c r="J590" s="13" t="inlineStr">
        <is>
          <t>Not Tested</t>
        </is>
      </c>
      <c r="K590" s="13" t="inlineStr">
        <is>
          <t>Negative</t>
        </is>
      </c>
    </row>
    <row r="591" ht="36" customHeight="1">
      <c r="A591" s="12" t="inlineStr">
        <is>
          <t>Balances &amp; Wallet Consistency (EMI-5944)</t>
        </is>
      </c>
      <c r="B591" s="12" t="inlineStr">
        <is>
          <t>Wallet Balance Recompute</t>
        </is>
      </c>
      <c r="C591" s="12" t="inlineStr">
        <is>
          <t>Concurrency</t>
        </is>
      </c>
      <c r="D591" s="13" t="inlineStr">
        <is>
          <t>TC-Recompute-19</t>
        </is>
      </c>
      <c r="E591" s="12" t="inlineStr">
        <is>
          <t>Recompute Overlapping an In-Flight Rebuild Is Rejected</t>
        </is>
      </c>
      <c r="F591" s="13" t="inlineStr">
        <is>
          <t>High</t>
        </is>
      </c>
      <c r="G591" s="12" t="inlineStr">
        <is>
          <t>An EMI-5945 rebuild in flight</t>
        </is>
      </c>
      <c r="H591" s="12" t="inlineStr">
        <is>
          <t>1. Request a recompute covering the same scope</t>
        </is>
      </c>
      <c r="I591" s="12" t="inlineStr">
        <is>
          <t>Rejected with a conflict error; the two repair modes are mutually exclusive per wallet</t>
        </is>
      </c>
      <c r="J591" s="13" t="inlineStr">
        <is>
          <t>Not Tested</t>
        </is>
      </c>
      <c r="K591" s="13" t="inlineStr">
        <is>
          <t>Negative</t>
        </is>
      </c>
    </row>
    <row r="592" ht="36" customHeight="1">
      <c r="A592" s="12" t="inlineStr">
        <is>
          <t>Balances &amp; Wallet Consistency (EMI-5944)</t>
        </is>
      </c>
      <c r="B592" s="12" t="inlineStr">
        <is>
          <t>Wallet Balance Recompute</t>
        </is>
      </c>
      <c r="C592" s="12" t="inlineStr">
        <is>
          <t>Concurrency</t>
        </is>
      </c>
      <c r="D592" s="13" t="inlineStr">
        <is>
          <t>TC-Recompute-20</t>
        </is>
      </c>
      <c r="E592" s="12" t="inlineStr">
        <is>
          <t>Recompute Serialises Against Live Traffic</t>
        </is>
      </c>
      <c r="F592" s="13" t="inlineStr">
        <is>
          <t>High</t>
        </is>
      </c>
      <c r="G592" s="12" t="inlineStr">
        <is>
          <t>A wallet with live traffic</t>
        </is>
      </c>
      <c r="H592" s="12" t="inlineStr">
        <is>
          <t>1. Recompute while transactions post to the wallet
2. Reconcile the result against the ledger</t>
        </is>
      </c>
      <c r="I592" s="12" t="inlineStr">
        <is>
          <t>Work is serialised per wallet; no posting is lost or double-counted</t>
        </is>
      </c>
      <c r="J592" s="13" t="inlineStr">
        <is>
          <t>Not Tested</t>
        </is>
      </c>
      <c r="K592" s="13" t="inlineStr">
        <is>
          <t>Integration</t>
        </is>
      </c>
    </row>
    <row r="593" ht="36" customHeight="1">
      <c r="A593" s="12" t="inlineStr">
        <is>
          <t>Balances &amp; Wallet Consistency (EMI-5944)</t>
        </is>
      </c>
      <c r="B593" s="12" t="inlineStr">
        <is>
          <t>Wallet Balance Recompute</t>
        </is>
      </c>
      <c r="C593" s="12" t="inlineStr">
        <is>
          <t>Scope</t>
        </is>
      </c>
      <c r="D593" s="13" t="inlineStr">
        <is>
          <t>TC-Recompute-21</t>
        </is>
      </c>
      <c r="E593" s="12" t="inlineStr">
        <is>
          <t>Wallet Scope Is First-Class</t>
        </is>
      </c>
      <c r="F593" s="13" t="inlineStr">
        <is>
          <t>Medium</t>
        </is>
      </c>
      <c r="G593" s="12" t="inlineStr">
        <is>
          <t>Recompute endpoint available</t>
        </is>
      </c>
      <c r="H593" s="12" t="inlineStr">
        <is>
          <t>1. Run with scope ALL
2. Run with a list of wallet_codes
3. Run with a single wallet_id</t>
        </is>
      </c>
      <c r="I593" s="12" t="inlineStr">
        <is>
          <t>All three scope forms are accepted and honoured</t>
        </is>
      </c>
      <c r="J593" s="13" t="inlineStr">
        <is>
          <t>Not Tested</t>
        </is>
      </c>
      <c r="K593" s="13" t="inlineStr">
        <is>
          <t>Architecture</t>
        </is>
      </c>
    </row>
    <row r="594" ht="36" customHeight="1">
      <c r="A594" s="12" t="inlineStr">
        <is>
          <t>Balances &amp; Wallet Consistency (EMI-5944)</t>
        </is>
      </c>
      <c r="B594" s="12" t="inlineStr">
        <is>
          <t>Wallet Balance Recompute</t>
        </is>
      </c>
      <c r="C594" s="12" t="inlineStr">
        <is>
          <t>Scope</t>
        </is>
      </c>
      <c r="D594" s="13" t="inlineStr">
        <is>
          <t>TC-Recompute-22</t>
        </is>
      </c>
      <c r="E594" s="12" t="inlineStr">
        <is>
          <t>One Transaction Per Wallet, No Partially-Recomputed State</t>
        </is>
      </c>
      <c r="F594" s="13" t="inlineStr">
        <is>
          <t>High</t>
        </is>
      </c>
      <c r="G594" s="12" t="inlineStr">
        <is>
          <t>A multi-wallet recompute</t>
        </is>
      </c>
      <c r="H594" s="12" t="inlineStr">
        <is>
          <t>1. Observe wallets externally during the run</t>
        </is>
      </c>
      <c r="I594" s="12" t="inlineStr">
        <is>
          <t>Execution is in the Wallet Service with one transaction per wallet; no wallet is externally observable in a partially-recomputed state</t>
        </is>
      </c>
      <c r="J594" s="13" t="inlineStr">
        <is>
          <t>Not Tested</t>
        </is>
      </c>
      <c r="K594" s="13" t="inlineStr">
        <is>
          <t>Architecture</t>
        </is>
      </c>
    </row>
    <row r="595" ht="36" customHeight="1">
      <c r="A595" s="12" t="inlineStr">
        <is>
          <t>Balances &amp; Wallet Consistency (EMI-5944)</t>
        </is>
      </c>
      <c r="B595" s="12" t="inlineStr">
        <is>
          <t>Wallet Balance Recompute</t>
        </is>
      </c>
      <c r="C595" s="12" t="inlineStr">
        <is>
          <t>Scope</t>
        </is>
      </c>
      <c r="D595" s="13" t="inlineStr">
        <is>
          <t>TC-Recompute-23</t>
        </is>
      </c>
      <c r="E595" s="12" t="inlineStr">
        <is>
          <t>Wallets Outside Scope Stay Transactable</t>
        </is>
      </c>
      <c r="F595" s="13" t="inlineStr">
        <is>
          <t>Medium</t>
        </is>
      </c>
      <c r="G595" s="12" t="inlineStr">
        <is>
          <t>A scoped recompute in progress</t>
        </is>
      </c>
      <c r="H595" s="12" t="inlineStr">
        <is>
          <t>1. Transact on wallets outside the scope throughout the run</t>
        </is>
      </c>
      <c r="I595" s="12" t="inlineStr">
        <is>
          <t>They remain fully transactable with no degradation</t>
        </is>
      </c>
      <c r="J595" s="13" t="inlineStr">
        <is>
          <t>Not Tested</t>
        </is>
      </c>
      <c r="K595" s="13" t="inlineStr">
        <is>
          <t>Architecture</t>
        </is>
      </c>
    </row>
    <row r="596" ht="36" customHeight="1">
      <c r="A596" s="12" t="inlineStr">
        <is>
          <t>Balances &amp; Wallet Consistency (EMI-5944)</t>
        </is>
      </c>
      <c r="B596" s="12" t="inlineStr">
        <is>
          <t>Wallet Balance Recompute</t>
        </is>
      </c>
      <c r="C596" s="12" t="inlineStr">
        <is>
          <t>Scope</t>
        </is>
      </c>
      <c r="D596" s="13" t="inlineStr">
        <is>
          <t>TC-Recompute-24</t>
        </is>
      </c>
      <c r="E596" s="12" t="inlineStr">
        <is>
          <t>Unknown Wallet in Scope Starts No Partial Run</t>
        </is>
      </c>
      <c r="F596" s="13" t="inlineStr">
        <is>
          <t>Medium</t>
        </is>
      </c>
      <c r="G596" s="12" t="inlineStr">
        <is>
          <t>Recompute endpoint available</t>
        </is>
      </c>
      <c r="H596" s="12" t="inlineStr">
        <is>
          <t>1. Submit a scope naming an unknown wallet</t>
        </is>
      </c>
      <c r="I596" s="12" t="inlineStr">
        <is>
          <t>Rejected with a 400; no partial run is started</t>
        </is>
      </c>
      <c r="J596" s="13" t="inlineStr">
        <is>
          <t>Not Tested</t>
        </is>
      </c>
      <c r="K596" s="13" t="inlineStr">
        <is>
          <t>Negative</t>
        </is>
      </c>
    </row>
    <row r="597" ht="36" customHeight="1">
      <c r="A597" s="12" t="inlineStr">
        <is>
          <t>Balances &amp; Wallet Consistency (EMI-5944)</t>
        </is>
      </c>
      <c r="B597" s="12" t="inlineStr">
        <is>
          <t>Wallet Balance Recompute</t>
        </is>
      </c>
      <c r="C597" s="12" t="inlineStr">
        <is>
          <t>Authorization</t>
        </is>
      </c>
      <c r="D597" s="13" t="inlineStr">
        <is>
          <t>TC-Recompute-25</t>
        </is>
      </c>
      <c r="E597" s="12" t="inlineStr">
        <is>
          <t>Manual Trigger Restricted to the Finance Lead With a Mandatory Reason</t>
        </is>
      </c>
      <c r="F597" s="13" t="inlineStr">
        <is>
          <t>High</t>
        </is>
      </c>
      <c r="G597" s="12" t="inlineStr">
        <is>
          <t>Users with and without the Finance Lead role</t>
        </is>
      </c>
      <c r="H597" s="12" t="inlineStr">
        <is>
          <t>1. Trigger manually as a Finance Lead without a reason
2. Trigger with a reason
3. Trigger as a non-Finance-Lead</t>
        </is>
      </c>
      <c r="I597" s="12" t="inlineStr">
        <is>
          <t>The reason is mandatory; the Finance Lead succeeds; the other receives 403 and no run is created</t>
        </is>
      </c>
      <c r="J597" s="13" t="inlineStr">
        <is>
          <t>Not Tested</t>
        </is>
      </c>
      <c r="K597" s="13" t="inlineStr">
        <is>
          <t>Security</t>
        </is>
      </c>
    </row>
    <row r="598" ht="36" customHeight="1">
      <c r="A598" s="12" t="inlineStr">
        <is>
          <t>Balances &amp; Wallet Consistency (EMI-5944)</t>
        </is>
      </c>
      <c r="B598" s="12" t="inlineStr">
        <is>
          <t>Wallet Balance Recompute</t>
        </is>
      </c>
      <c r="C598" s="12" t="inlineStr">
        <is>
          <t>Triggers</t>
        </is>
      </c>
      <c r="D598" s="13" t="inlineStr">
        <is>
          <t>TC-Recompute-26</t>
        </is>
      </c>
      <c r="E598" s="12" t="inlineStr">
        <is>
          <t>Scheduled and API Triggers Run Under a Service Principal</t>
        </is>
      </c>
      <c r="F598" s="13" t="inlineStr">
        <is>
          <t>Medium</t>
        </is>
      </c>
      <c r="G598" s="12" t="inlineStr">
        <is>
          <t>Schedule configured and the reconciliation engine able to call the API</t>
        </is>
      </c>
      <c r="H598" s="12" t="inlineStr">
        <is>
          <t>1. Let the scheduled run fire
2. Have the reconciliation engine invoke a recompute
3. Inspect both run records</t>
        </is>
      </c>
      <c r="I598" s="12" t="inlineStr">
        <is>
          <t>Both run under a service principal recorded as triggered_by</t>
        </is>
      </c>
      <c r="J598" s="13" t="inlineStr">
        <is>
          <t>Not Tested</t>
        </is>
      </c>
      <c r="K598" s="13" t="inlineStr">
        <is>
          <t>Functional</t>
        </is>
      </c>
    </row>
    <row r="599" ht="36" customHeight="1">
      <c r="A599" s="12" t="inlineStr">
        <is>
          <t>Balances &amp; Wallet Consistency (EMI-5944)</t>
        </is>
      </c>
      <c r="B599" s="12" t="inlineStr">
        <is>
          <t>Wallet Balance Recompute</t>
        </is>
      </c>
      <c r="C599" s="12" t="inlineStr">
        <is>
          <t>Reporting</t>
        </is>
      </c>
      <c r="D599" s="13" t="inlineStr">
        <is>
          <t>TC-Recompute-27</t>
        </is>
      </c>
      <c r="E599" s="12" t="inlineStr">
        <is>
          <t>Recompute Summary Report Generated and Exportable</t>
        </is>
      </c>
      <c r="F599" s="13" t="inlineStr">
        <is>
          <t>Medium</t>
        </is>
      </c>
      <c r="G599" s="12" t="inlineStr">
        <is>
          <t>A completed recompute</t>
        </is>
      </c>
      <c r="H599" s="12" t="inlineStr">
        <is>
          <t>1. Open the summary report and export it as CSV, Excel and PDF</t>
        </is>
      </c>
      <c r="I599" s="12" t="inlineStr">
        <is>
          <t>The report generates and all three export formats succeed, matching the on-screen figures</t>
        </is>
      </c>
      <c r="J599" s="13" t="inlineStr">
        <is>
          <t>Not Tested</t>
        </is>
      </c>
      <c r="K599" s="13" t="inlineStr">
        <is>
          <t>Reporting</t>
        </is>
      </c>
    </row>
    <row r="600" ht="36" customHeight="1">
      <c r="A600" s="12" t="inlineStr">
        <is>
          <t>Balances &amp; Wallet Consistency (EMI-5944)</t>
        </is>
      </c>
      <c r="B600" s="12" t="inlineStr">
        <is>
          <t>Wallet Balance Recompute</t>
        </is>
      </c>
      <c r="C600" s="12" t="inlineStr">
        <is>
          <t>Error</t>
        </is>
      </c>
      <c r="D600" s="13" t="inlineStr">
        <is>
          <t>TC-Recompute-28</t>
        </is>
      </c>
      <c r="E600" s="12" t="inlineStr">
        <is>
          <t>Ledger Unreachable Performs No Write</t>
        </is>
      </c>
      <c r="F600" s="13" t="inlineStr">
        <is>
          <t>High</t>
        </is>
      </c>
      <c r="G600" s="12" t="inlineStr">
        <is>
          <t>Ledger made unreachable</t>
        </is>
      </c>
      <c r="H600" s="12" t="inlineStr">
        <is>
          <t>1. Trigger a recompute</t>
        </is>
      </c>
      <c r="I600" s="12" t="inlineStr">
        <is>
          <t>Returns 503 and performs no write; no wallet is left partially updated</t>
        </is>
      </c>
      <c r="J600" s="13" t="inlineStr">
        <is>
          <t>Not Tested</t>
        </is>
      </c>
      <c r="K600" s="13" t="inlineStr">
        <is>
          <t>Negative</t>
        </is>
      </c>
    </row>
    <row r="601" ht="36" customHeight="1">
      <c r="A601" s="12" t="inlineStr">
        <is>
          <t>Balances &amp; Wallet Consistency (EMI-5944)</t>
        </is>
      </c>
      <c r="B601" s="12" t="inlineStr">
        <is>
          <t>Wallet Balance Recompute</t>
        </is>
      </c>
      <c r="C601" s="12" t="inlineStr">
        <is>
          <t>Non-Functional</t>
        </is>
      </c>
      <c r="D601" s="13" t="inlineStr">
        <is>
          <t>TC-Recompute-29</t>
        </is>
      </c>
      <c r="E601" s="12" t="inlineStr">
        <is>
          <t>Latency and Indexed Access</t>
        </is>
      </c>
      <c r="F601" s="13" t="inlineStr">
        <is>
          <t>High</t>
        </is>
      </c>
      <c r="G601" s="12" t="inlineStr">
        <is>
          <t>Production-scale data volume</t>
        </is>
      </c>
      <c r="H601" s="12" t="inlineStr">
        <is>
          <t>1. Recompute a single wallet and time it
2. Recompute the full estate and time it
3. Capture the query plans</t>
        </is>
      </c>
      <c r="I601" s="12" t="inlineStr">
        <is>
          <t>Single wallet completes in under 1 second; the full estate completes inside the maintenance window; indexed range queries only with no full-table scan</t>
        </is>
      </c>
      <c r="J601" s="13" t="inlineStr">
        <is>
          <t>Not Tested</t>
        </is>
      </c>
      <c r="K601" s="13" t="inlineStr">
        <is>
          <t>Performance / NFR</t>
        </is>
      </c>
    </row>
    <row r="602" ht="36" customHeight="1">
      <c r="A602" s="12" t="inlineStr">
        <is>
          <t>Balances &amp; Wallet Consistency (EMI-5944)</t>
        </is>
      </c>
      <c r="B602" s="12" t="inlineStr">
        <is>
          <t>Wallet Balance Recompute</t>
        </is>
      </c>
      <c r="C602" s="12" t="inlineStr">
        <is>
          <t>Non-Functional</t>
        </is>
      </c>
      <c r="D602" s="13" t="inlineStr">
        <is>
          <t>TC-Recompute-30</t>
        </is>
      </c>
      <c r="E602" s="12" t="inlineStr">
        <is>
          <t>Monetary Precision and Observability</t>
        </is>
      </c>
      <c r="F602" s="13" t="inlineStr">
        <is>
          <t>Medium</t>
        </is>
      </c>
      <c r="G602" s="12" t="inlineStr">
        <is>
          <t>A recompute across several transaction types</t>
        </is>
      </c>
      <c r="H602" s="12" t="inlineStr">
        <is>
          <t>1. Inspect the arithmetic types used and the emitted logs</t>
        </is>
      </c>
      <c r="I602" s="12" t="inlineStr">
        <is>
          <t>The platform monetary type is used throughout with no float, currency SAR; every run emits structured logs carrying the run id</t>
        </is>
      </c>
      <c r="J602" s="13" t="inlineStr">
        <is>
          <t>Not Tested</t>
        </is>
      </c>
      <c r="K602" s="13" t="inlineStr">
        <is>
          <t>Performance / NFR</t>
        </is>
      </c>
    </row>
    <row r="603" ht="36" customHeight="1">
      <c r="A603" s="12" t="inlineStr">
        <is>
          <t>Balances &amp; Wallet Consistency (EMI-5944)</t>
        </is>
      </c>
      <c r="B603" s="12" t="inlineStr">
        <is>
          <t>Bucket Identity Validation</t>
        </is>
      </c>
      <c r="C603" s="12" t="inlineStr">
        <is>
          <t>Constraint</t>
        </is>
      </c>
      <c r="D603" s="13" t="inlineStr">
        <is>
          <t>TC-Identity-01</t>
        </is>
      </c>
      <c r="E603" s="12" t="inlineStr">
        <is>
          <t>Per-Wallet Identity Enforced as a Database Constraint</t>
        </is>
      </c>
      <c r="F603" s="13" t="inlineStr">
        <is>
          <t>High</t>
        </is>
      </c>
      <c r="G603" s="12" t="inlineStr">
        <is>
          <t>Direct database access available</t>
        </is>
      </c>
      <c r="H603" s="12" t="inlineStr">
        <is>
          <t>1. Attempt to write a wallet row where current does not equal available + reserve_debit, bypassing the application</t>
        </is>
      </c>
      <c r="I603" s="12" t="inlineStr">
        <is>
          <t>The database rejects the write; the identity is enforced by constraint, not by an application check alone</t>
        </is>
      </c>
      <c r="J603" s="13" t="inlineStr">
        <is>
          <t>Not Tested</t>
        </is>
      </c>
      <c r="K603" s="13" t="inlineStr">
        <is>
          <t>Functional</t>
        </is>
      </c>
    </row>
    <row r="604" ht="36" customHeight="1">
      <c r="A604" s="12" t="inlineStr">
        <is>
          <t>Balances &amp; Wallet Consistency (EMI-5944)</t>
        </is>
      </c>
      <c r="B604" s="12" t="inlineStr">
        <is>
          <t>Bucket Identity Validation</t>
        </is>
      </c>
      <c r="C604" s="12" t="inlineStr">
        <is>
          <t>Constraint</t>
        </is>
      </c>
      <c r="D604" s="13" t="inlineStr">
        <is>
          <t>TC-Identity-02</t>
        </is>
      </c>
      <c r="E604" s="12" t="inlineStr">
        <is>
          <t>Constraint Derived From the Shared EMI-602 Definition</t>
        </is>
      </c>
      <c r="F604" s="13" t="inlineStr">
        <is>
          <t>Medium</t>
        </is>
      </c>
      <c r="G604" s="12" t="inlineStr">
        <is>
          <t>Access to the implementation</t>
        </is>
      </c>
      <c r="H604" s="12" t="inlineStr">
        <is>
          <t>1. Inspect where the constraint's definition originates</t>
        </is>
      </c>
      <c r="I604" s="12" t="inlineStr">
        <is>
          <t>It is derived from the single EMI-602 definition and is not restated or re-derived in this story's code</t>
        </is>
      </c>
      <c r="J604" s="13" t="inlineStr">
        <is>
          <t>Not Tested</t>
        </is>
      </c>
      <c r="K604" s="13" t="inlineStr">
        <is>
          <t>Functional</t>
        </is>
      </c>
    </row>
    <row r="605" ht="36" customHeight="1">
      <c r="A605" s="12" t="inlineStr">
        <is>
          <t>Balances &amp; Wallet Consistency (EMI-5944)</t>
        </is>
      </c>
      <c r="B605" s="12" t="inlineStr">
        <is>
          <t>Bucket Identity Validation</t>
        </is>
      </c>
      <c r="C605" s="12" t="inlineStr">
        <is>
          <t>Constraint</t>
        </is>
      </c>
      <c r="D605" s="13" t="inlineStr">
        <is>
          <t>TC-Identity-03</t>
        </is>
      </c>
      <c r="E605" s="12" t="inlineStr">
        <is>
          <t>No Non-Negativity Constraint Exists</t>
        </is>
      </c>
      <c r="F605" s="13" t="inlineStr">
        <is>
          <t>High</t>
        </is>
      </c>
      <c r="G605" s="12" t="inlineStr">
        <is>
          <t>A wallet whose available would go negative with a satisfied identity</t>
        </is>
      </c>
      <c r="H605" s="12" t="inlineStr">
        <is>
          <t>1. Search the schema for a CHECK forbidding a negative available
2. Write a negative available whose identity holds</t>
        </is>
      </c>
      <c r="I605" s="12" t="inlineStr">
        <is>
          <t>No non-negativity constraint exists and the write succeeds. A constraint rejecting negative available would fail against live data, because commission and VAT wallets go temporarily negative during the reserve window</t>
        </is>
      </c>
      <c r="J605" s="13" t="inlineStr">
        <is>
          <t>Not Tested</t>
        </is>
      </c>
      <c r="K605" s="13" t="inlineStr">
        <is>
          <t>Functional</t>
        </is>
      </c>
    </row>
    <row r="606" ht="36" customHeight="1">
      <c r="A606" s="12" t="inlineStr">
        <is>
          <t>Balances &amp; Wallet Consistency (EMI-5944)</t>
        </is>
      </c>
      <c r="B606" s="12" t="inlineStr">
        <is>
          <t>Bucket Identity Validation</t>
        </is>
      </c>
      <c r="C606" s="12" t="inlineStr">
        <is>
          <t>Assertion</t>
        </is>
      </c>
      <c r="D606" s="13" t="inlineStr">
        <is>
          <t>TC-Identity-04</t>
        </is>
      </c>
      <c r="E606" s="12" t="inlineStr">
        <is>
          <t>Identity Asserted After Every Balance Write</t>
        </is>
      </c>
      <c r="F606" s="13" t="inlineStr">
        <is>
          <t>High</t>
        </is>
      </c>
      <c r="G606" s="12" t="inlineStr">
        <is>
          <t>Live transaction traffic</t>
        </is>
      </c>
      <c r="H606" s="12" t="inlineStr">
        <is>
          <t>1. Perform balance writes across several transaction types
2. Trace the assertion</t>
        </is>
      </c>
      <c r="I606" s="12" t="inlineStr">
        <is>
          <t>The identity is asserted after every balance write with no gaps</t>
        </is>
      </c>
      <c r="J606" s="13" t="inlineStr">
        <is>
          <t>Not Tested</t>
        </is>
      </c>
      <c r="K606" s="13" t="inlineStr">
        <is>
          <t>Integration</t>
        </is>
      </c>
    </row>
    <row r="607" ht="36" customHeight="1">
      <c r="A607" s="12" t="inlineStr">
        <is>
          <t>Balances &amp; Wallet Consistency (EMI-5944)</t>
        </is>
      </c>
      <c r="B607" s="12" t="inlineStr">
        <is>
          <t>Bucket Identity Validation</t>
        </is>
      </c>
      <c r="C607" s="12" t="inlineStr">
        <is>
          <t>Assertion</t>
        </is>
      </c>
      <c r="D607" s="13" t="inlineStr">
        <is>
          <t>TC-Identity-05</t>
        </is>
      </c>
      <c r="E607" s="12" t="inlineStr">
        <is>
          <t>Violation Writes a Variance Record and Raises an Alert</t>
        </is>
      </c>
      <c r="F607" s="13" t="inlineStr">
        <is>
          <t>High</t>
        </is>
      </c>
      <c r="G607" s="12" t="inlineStr">
        <is>
          <t>Ability to force an identity violation</t>
        </is>
      </c>
      <c r="H607" s="12" t="inlineStr">
        <is>
          <t>1. Force a violation
2. Inspect the variance store and the alert channel</t>
        </is>
      </c>
      <c r="I607" s="12" t="inlineStr">
        <is>
          <t>A variance record is written and an alert raised; the violation does not silently roll back and disappear</t>
        </is>
      </c>
      <c r="J607" s="13" t="inlineStr">
        <is>
          <t>Not Tested</t>
        </is>
      </c>
      <c r="K607" s="13" t="inlineStr">
        <is>
          <t>Functional</t>
        </is>
      </c>
    </row>
    <row r="608" ht="36" customHeight="1">
      <c r="A608" s="12" t="inlineStr">
        <is>
          <t>Balances &amp; Wallet Consistency (EMI-5944)</t>
        </is>
      </c>
      <c r="B608" s="12" t="inlineStr">
        <is>
          <t>Bucket Identity Validation</t>
        </is>
      </c>
      <c r="C608" s="12" t="inlineStr">
        <is>
          <t>Assertion</t>
        </is>
      </c>
      <c r="D608" s="13" t="inlineStr">
        <is>
          <t>TC-Identity-06</t>
        </is>
      </c>
      <c r="E608" s="12" t="inlineStr">
        <is>
          <t>Attempted State Is Captured for Diagnosis</t>
        </is>
      </c>
      <c r="F608" s="13" t="inlineStr">
        <is>
          <t>Medium</t>
        </is>
      </c>
      <c r="G608" s="12" t="inlineStr">
        <is>
          <t>A forced identity violation</t>
        </is>
      </c>
      <c r="H608" s="12" t="inlineStr">
        <is>
          <t>1. Inspect the variance record</t>
        </is>
      </c>
      <c r="I608" s="12" t="inlineStr">
        <is>
          <t>The attempted state is captured in full, so the violation can be diagnosed without reproducing it</t>
        </is>
      </c>
      <c r="J608" s="13" t="inlineStr">
        <is>
          <t>Not Tested</t>
        </is>
      </c>
      <c r="K608" s="13" t="inlineStr">
        <is>
          <t>Functional</t>
        </is>
      </c>
    </row>
    <row r="609" ht="36" customHeight="1">
      <c r="A609" s="12" t="inlineStr">
        <is>
          <t>Balances &amp; Wallet Consistency (EMI-5944)</t>
        </is>
      </c>
      <c r="B609" s="12" t="inlineStr">
        <is>
          <t>Bucket Identity Validation</t>
        </is>
      </c>
      <c r="C609" s="12" t="inlineStr">
        <is>
          <t>Cross-Wallet</t>
        </is>
      </c>
      <c r="D609" s="13" t="inlineStr">
        <is>
          <t>TC-Identity-07</t>
        </is>
      </c>
      <c r="E609" s="12" t="inlineStr">
        <is>
          <t>Conservation Holds Across All Destination Wallets</t>
        </is>
      </c>
      <c r="F609" s="13" t="inlineStr">
        <is>
          <t>High</t>
        </is>
      </c>
      <c r="G609" s="12" t="inlineStr">
        <is>
          <t>A transaction in an open reserve window with receiver, commission and VAT legs</t>
        </is>
      </c>
      <c r="H609" s="12" t="inlineStr">
        <is>
          <t>1. Run the cross-wallet conservation check
2. Compare the source reserve_debit against the sum of reserve_credit across all destinations</t>
        </is>
      </c>
      <c r="I609" s="12" t="inlineStr">
        <is>
          <t>The source wallet's reserve_debit equals the sum of reserve_credit across the receiver, commission and VAT wallets</t>
        </is>
      </c>
      <c r="J609" s="13" t="inlineStr">
        <is>
          <t>Not Tested</t>
        </is>
      </c>
      <c r="K609" s="13" t="inlineStr">
        <is>
          <t>Functional</t>
        </is>
      </c>
    </row>
    <row r="610" ht="36" customHeight="1">
      <c r="A610" s="12" t="inlineStr">
        <is>
          <t>Balances &amp; Wallet Consistency (EMI-5944)</t>
        </is>
      </c>
      <c r="B610" s="12" t="inlineStr">
        <is>
          <t>Bucket Identity Validation</t>
        </is>
      </c>
      <c r="C610" s="12" t="inlineStr">
        <is>
          <t>Cross-Wallet</t>
        </is>
      </c>
      <c r="D610" s="13" t="inlineStr">
        <is>
          <t>TC-Identity-08</t>
        </is>
      </c>
      <c r="E610" s="12" t="inlineStr">
        <is>
          <t>Missing VAT Leg Caught by Conservation but Not by the Per-Wallet Check</t>
        </is>
      </c>
      <c r="F610" s="13" t="inlineStr">
        <is>
          <t>High</t>
        </is>
      </c>
      <c r="G610" s="12" t="inlineStr">
        <is>
          <t>A transaction where the VAT leg was never created, leaving every wallet internally consistent</t>
        </is>
      </c>
      <c r="H610" s="12" t="inlineStr">
        <is>
          <t>1. Run the per-wallet identity check
2. Run the cross-wallet conservation check</t>
        </is>
      </c>
      <c r="I610" s="12" t="inlineStr">
        <is>
          <t>The per-wallet identity passes and the cross-wallet conservation fails with a shortfall. This proves the stronger check earns its place and is the core value of this story</t>
        </is>
      </c>
      <c r="J610" s="13" t="inlineStr">
        <is>
          <t>Not Tested</t>
        </is>
      </c>
      <c r="K610" s="13" t="inlineStr">
        <is>
          <t>Negative</t>
        </is>
      </c>
    </row>
    <row r="611" ht="36" customHeight="1">
      <c r="A611" s="12" t="inlineStr">
        <is>
          <t>Balances &amp; Wallet Consistency (EMI-5944)</t>
        </is>
      </c>
      <c r="B611" s="12" t="inlineStr">
        <is>
          <t>Bucket Identity Validation</t>
        </is>
      </c>
      <c r="C611" s="12" t="inlineStr">
        <is>
          <t>Cross-Wallet</t>
        </is>
      </c>
      <c r="D611" s="13" t="inlineStr">
        <is>
          <t>TC-Identity-09</t>
        </is>
      </c>
      <c r="E611" s="12" t="inlineStr">
        <is>
          <t>Shortfall and Surplus Recorded Distinctly</t>
        </is>
      </c>
      <c r="F611" s="13" t="inlineStr">
        <is>
          <t>High</t>
        </is>
      </c>
      <c r="G611" s="12" t="inlineStr">
        <is>
          <t>One transaction with a missing leg and another with a leg applied twice</t>
        </is>
      </c>
      <c r="H611" s="12" t="inlineStr">
        <is>
          <t>1. Run the conservation check over both
2. Inspect how each is classified</t>
        </is>
      </c>
      <c r="I611" s="12" t="inlineStr">
        <is>
          <t>A shortfall is recorded as a missing leg and attributed to EMI-5949; a surplus is recorded as a duplicate application and attributed to EMI-5948. They are never collapsed into a single mismatch figure</t>
        </is>
      </c>
      <c r="J611" s="13" t="inlineStr">
        <is>
          <t>Not Tested</t>
        </is>
      </c>
      <c r="K611" s="13" t="inlineStr">
        <is>
          <t>Integration</t>
        </is>
      </c>
    </row>
    <row r="612" ht="36" customHeight="1">
      <c r="A612" s="12" t="inlineStr">
        <is>
          <t>Balances &amp; Wallet Consistency (EMI-5944)</t>
        </is>
      </c>
      <c r="B612" s="12" t="inlineStr">
        <is>
          <t>Bucket Identity Validation</t>
        </is>
      </c>
      <c r="C612" s="12" t="inlineStr">
        <is>
          <t>Cross-Wallet</t>
        </is>
      </c>
      <c r="D612" s="13" t="inlineStr">
        <is>
          <t>TC-Identity-10</t>
        </is>
      </c>
      <c r="E612" s="12" t="inlineStr">
        <is>
          <t>Conservation Check Runs Even When the Per-Wallet Check Passes</t>
        </is>
      </c>
      <c r="F612" s="13" t="inlineStr">
        <is>
          <t>High</t>
        </is>
      </c>
      <c r="G612" s="12" t="inlineStr">
        <is>
          <t>A set of wallets that all pass the per-wallet identity</t>
        </is>
      </c>
      <c r="H612" s="12" t="inlineStr">
        <is>
          <t>1. Run the validation cycle
2. Confirm the conservation check executed</t>
        </is>
      </c>
      <c r="I612" s="12" t="inlineStr">
        <is>
          <t>The conservation check runs independently and is never skipped because the per-wallet check passed</t>
        </is>
      </c>
      <c r="J612" s="13" t="inlineStr">
        <is>
          <t>Not Tested</t>
        </is>
      </c>
      <c r="K612" s="13" t="inlineStr">
        <is>
          <t>Functional</t>
        </is>
      </c>
    </row>
    <row r="613" ht="36" customHeight="1">
      <c r="A613" s="12" t="inlineStr">
        <is>
          <t>Balances &amp; Wallet Consistency (EMI-5944)</t>
        </is>
      </c>
      <c r="B613" s="12" t="inlineStr">
        <is>
          <t>Bucket Identity Validation</t>
        </is>
      </c>
      <c r="C613" s="12" t="inlineStr">
        <is>
          <t>Cross-Wallet</t>
        </is>
      </c>
      <c r="D613" s="13" t="inlineStr">
        <is>
          <t>TC-Identity-11</t>
        </is>
      </c>
      <c r="E613" s="12" t="inlineStr">
        <is>
          <t>No False Positive When a Transaction Settles Mid-Sweep</t>
        </is>
      </c>
      <c r="F613" s="13" t="inlineStr">
        <is>
          <t>High</t>
        </is>
      </c>
      <c r="G613" s="12" t="inlineStr">
        <is>
          <t>A transaction settling while the sweep is running</t>
        </is>
      </c>
      <c r="H613" s="12" t="inlineStr">
        <is>
          <t>1. Run the sweep across the settlement moment</t>
        </is>
      </c>
      <c r="I613" s="12" t="inlineStr">
        <is>
          <t>No false positive is raised from observing the reserve window partially closed</t>
        </is>
      </c>
      <c r="J613" s="13" t="inlineStr">
        <is>
          <t>Not Tested</t>
        </is>
      </c>
      <c r="K613" s="13" t="inlineStr">
        <is>
          <t>Functional</t>
        </is>
      </c>
    </row>
    <row r="614" ht="36" customHeight="1">
      <c r="A614" s="12" t="inlineStr">
        <is>
          <t>Balances &amp; Wallet Consistency (EMI-5944)</t>
        </is>
      </c>
      <c r="B614" s="12" t="inlineStr">
        <is>
          <t>Bucket Identity Validation</t>
        </is>
      </c>
      <c r="C614" s="12" t="inlineStr">
        <is>
          <t>Sweep</t>
        </is>
      </c>
      <c r="D614" s="13" t="inlineStr">
        <is>
          <t>TC-Identity-12</t>
        </is>
      </c>
      <c r="E614" s="12" t="inlineStr">
        <is>
          <t>Scheduled Sweep Detects Internally-Consistent Wallets That Disagree With the Ledger</t>
        </is>
      </c>
      <c r="F614" s="13" t="inlineStr">
        <is>
          <t>High</t>
        </is>
      </c>
      <c r="G614" s="12" t="inlineStr">
        <is>
          <t>A wallet whose buckets satisfy the identity but disagree with the ledger</t>
        </is>
      </c>
      <c r="H614" s="12" t="inlineStr">
        <is>
          <t>1. Run the per-write assertion
2. Run the scheduled sweep</t>
        </is>
      </c>
      <c r="I614" s="12" t="inlineStr">
        <is>
          <t>The per-write assertion passes and the scheduled sweep detects the divergence; the two checks catch different failures</t>
        </is>
      </c>
      <c r="J614" s="13" t="inlineStr">
        <is>
          <t>Not Tested</t>
        </is>
      </c>
      <c r="K614" s="13" t="inlineStr">
        <is>
          <t>Negative</t>
        </is>
      </c>
    </row>
    <row r="615" ht="36" customHeight="1">
      <c r="A615" s="12" t="inlineStr">
        <is>
          <t>Balances &amp; Wallet Consistency (EMI-5944)</t>
        </is>
      </c>
      <c r="B615" s="12" t="inlineStr">
        <is>
          <t>Bucket Identity Validation</t>
        </is>
      </c>
      <c r="C615" s="12" t="inlineStr">
        <is>
          <t>Sweep</t>
        </is>
      </c>
      <c r="D615" s="13" t="inlineStr">
        <is>
          <t>TC-Identity-13</t>
        </is>
      </c>
      <c r="E615" s="12" t="inlineStr">
        <is>
          <t>Sweep Uses the Same Mapping as Recompute</t>
        </is>
      </c>
      <c r="F615" s="13" t="inlineStr">
        <is>
          <t>Medium</t>
        </is>
      </c>
      <c r="G615" s="12" t="inlineStr">
        <is>
          <t>Access to both implementations</t>
        </is>
      </c>
      <c r="H615" s="12" t="inlineStr">
        <is>
          <t>1. Compare the status x direction mapping used by the sweep and by EMI-5946</t>
        </is>
      </c>
      <c r="I615" s="12" t="inlineStr">
        <is>
          <t>Both consume the same shared EMI-602 mapping; there is no second implementation to drift</t>
        </is>
      </c>
      <c r="J615" s="13" t="inlineStr">
        <is>
          <t>Not Tested</t>
        </is>
      </c>
      <c r="K615" s="13" t="inlineStr">
        <is>
          <t>Functional</t>
        </is>
      </c>
    </row>
    <row r="616" ht="36" customHeight="1">
      <c r="A616" s="12" t="inlineStr">
        <is>
          <t>Balances &amp; Wallet Consistency (EMI-5944)</t>
        </is>
      </c>
      <c r="B616" s="12" t="inlineStr">
        <is>
          <t>Bucket Identity Validation</t>
        </is>
      </c>
      <c r="C616" s="12" t="inlineStr">
        <is>
          <t>Sweep</t>
        </is>
      </c>
      <c r="D616" s="13" t="inlineStr">
        <is>
          <t>TC-Identity-14</t>
        </is>
      </c>
      <c r="E616" s="12" t="inlineStr">
        <is>
          <t>Variance Recorded Per Bucket, Not Only in Total</t>
        </is>
      </c>
      <c r="F616" s="13" t="inlineStr">
        <is>
          <t>High</t>
        </is>
      </c>
      <c r="G616" s="12" t="inlineStr">
        <is>
          <t>A wallet with a compensating error across two buckets</t>
        </is>
      </c>
      <c r="H616" s="12" t="inlineStr">
        <is>
          <t>1. Run the sweep
2. Inspect the variance record</t>
        </is>
      </c>
      <c r="I616" s="12" t="inlineStr">
        <is>
          <t>Variance is recorded per bucket; a net-zero total does not mask the offsetting errors</t>
        </is>
      </c>
      <c r="J616" s="13" t="inlineStr">
        <is>
          <t>Not Tested</t>
        </is>
      </c>
      <c r="K616" s="13" t="inlineStr">
        <is>
          <t>Edge / Boundary</t>
        </is>
      </c>
    </row>
    <row r="617" ht="36" customHeight="1">
      <c r="A617" s="12" t="inlineStr">
        <is>
          <t>Balances &amp; Wallet Consistency (EMI-5944)</t>
        </is>
      </c>
      <c r="B617" s="12" t="inlineStr">
        <is>
          <t>Bucket Identity Validation</t>
        </is>
      </c>
      <c r="C617" s="12" t="inlineStr">
        <is>
          <t>Sweep</t>
        </is>
      </c>
      <c r="D617" s="13" t="inlineStr">
        <is>
          <t>TC-Identity-15</t>
        </is>
      </c>
      <c r="E617" s="12" t="inlineStr">
        <is>
          <t>Comparison Scope Is Configurable</t>
        </is>
      </c>
      <c r="F617" s="13" t="inlineStr">
        <is>
          <t>Medium</t>
        </is>
      </c>
      <c r="G617" s="12" t="inlineStr">
        <is>
          <t>Sweep configuration accessible</t>
        </is>
      </c>
      <c r="H617" s="12" t="inlineStr">
        <is>
          <t>1. Run over all wallets
2. Run over a wallet set
3. Run over a sampled subset</t>
        </is>
      </c>
      <c r="I617" s="12" t="inlineStr">
        <is>
          <t>All three scopes are supported, so a high-frequency run can sample rather than sweep everything</t>
        </is>
      </c>
      <c r="J617" s="13" t="inlineStr">
        <is>
          <t>Not Tested</t>
        </is>
      </c>
      <c r="K617" s="13" t="inlineStr">
        <is>
          <t>Functional</t>
        </is>
      </c>
    </row>
    <row r="618" ht="36" customHeight="1">
      <c r="A618" s="12" t="inlineStr">
        <is>
          <t>Balances &amp; Wallet Consistency (EMI-5944)</t>
        </is>
      </c>
      <c r="B618" s="12" t="inlineStr">
        <is>
          <t>Bucket Identity Validation</t>
        </is>
      </c>
      <c r="C618" s="12" t="inlineStr">
        <is>
          <t>Tie-Out</t>
        </is>
      </c>
      <c r="D618" s="13" t="inlineStr">
        <is>
          <t>TC-Identity-16</t>
        </is>
      </c>
      <c r="E618" s="12" t="inlineStr">
        <is>
          <t>Estate Sum of Current Compared Against Settled Ledger Postings</t>
        </is>
      </c>
      <c r="F618" s="13" t="inlineStr">
        <is>
          <t>High</t>
        </is>
      </c>
      <c r="G618" s="12" t="inlineStr">
        <is>
          <t>A full estate with settled postings</t>
        </is>
      </c>
      <c r="H618" s="12" t="inlineStr">
        <is>
          <t>1. Run the estate tie-out
2. Compare the wallet sum against the ledger sum</t>
        </is>
      </c>
      <c r="I618" s="12" t="inlineStr">
        <is>
          <t>The two agree; the result is tied to the safeguarding account position as required for e-money</t>
        </is>
      </c>
      <c r="J618" s="13" t="inlineStr">
        <is>
          <t>Not Tested</t>
        </is>
      </c>
      <c r="K618" s="13" t="inlineStr">
        <is>
          <t>Functional</t>
        </is>
      </c>
    </row>
    <row r="619" ht="36" customHeight="1">
      <c r="A619" s="12" t="inlineStr">
        <is>
          <t>Balances &amp; Wallet Consistency (EMI-5944)</t>
        </is>
      </c>
      <c r="B619" s="12" t="inlineStr">
        <is>
          <t>Bucket Identity Validation</t>
        </is>
      </c>
      <c r="C619" s="12" t="inlineStr">
        <is>
          <t>Tie-Out</t>
        </is>
      </c>
      <c r="D619" s="13" t="inlineStr">
        <is>
          <t>TC-Identity-17</t>
        </is>
      </c>
      <c r="E619" s="12" t="inlineStr">
        <is>
          <t>Reserve Credit Excluded From the Estate Tie-Out</t>
        </is>
      </c>
      <c r="F619" s="13" t="inlineStr">
        <is>
          <t>High</t>
        </is>
      </c>
      <c r="G619" s="12" t="inlineStr">
        <is>
          <t>Wallets holding unsettled reserve_credit</t>
        </is>
      </c>
      <c r="H619" s="12" t="inlineStr">
        <is>
          <t>1. Run the estate tie-out
2. Check whether reserve_credit contributes</t>
        </is>
      </c>
      <c r="I619" s="12" t="inlineStr">
        <is>
          <t>reserve_credit is excluded, consistent with the identity; including it would overstate issued e-money by the value of unsettled incoming payments</t>
        </is>
      </c>
      <c r="J619" s="13" t="inlineStr">
        <is>
          <t>Not Tested</t>
        </is>
      </c>
      <c r="K619" s="13" t="inlineStr">
        <is>
          <t>Functional</t>
        </is>
      </c>
    </row>
    <row r="620" ht="36" customHeight="1">
      <c r="A620" s="12" t="inlineStr">
        <is>
          <t>Balances &amp; Wallet Consistency (EMI-5944)</t>
        </is>
      </c>
      <c r="B620" s="12" t="inlineStr">
        <is>
          <t>Bucket Identity Validation</t>
        </is>
      </c>
      <c r="C620" s="12" t="inlineStr">
        <is>
          <t>Tie-Out</t>
        </is>
      </c>
      <c r="D620" s="13" t="inlineStr">
        <is>
          <t>TC-Identity-18</t>
        </is>
      </c>
      <c r="E620" s="12" t="inlineStr">
        <is>
          <t>Failed Tie-Out Is Reported to Compliance With the Delta</t>
        </is>
      </c>
      <c r="F620" s="13" t="inlineStr">
        <is>
          <t>High</t>
        </is>
      </c>
      <c r="G620" s="12" t="inlineStr">
        <is>
          <t>An estate where the wallet sum does not equal the ledger sum</t>
        </is>
      </c>
      <c r="H620" s="12" t="inlineStr">
        <is>
          <t>1. Run the tie-out</t>
        </is>
      </c>
      <c r="I620" s="12" t="inlineStr">
        <is>
          <t>The tie-out fails and is reported to Compliance with the delta; the result is retained per run</t>
        </is>
      </c>
      <c r="J620" s="13" t="inlineStr">
        <is>
          <t>Not Tested</t>
        </is>
      </c>
      <c r="K620" s="13" t="inlineStr">
        <is>
          <t>Negative</t>
        </is>
      </c>
    </row>
    <row r="621" ht="36" customHeight="1">
      <c r="A621" s="12" t="inlineStr">
        <is>
          <t>Balances &amp; Wallet Consistency (EMI-5944)</t>
        </is>
      </c>
      <c r="B621" s="12" t="inlineStr">
        <is>
          <t>Bucket Identity Validation</t>
        </is>
      </c>
      <c r="C621" s="12" t="inlineStr">
        <is>
          <t>Response</t>
        </is>
      </c>
      <c r="D621" s="13" t="inlineStr">
        <is>
          <t>TC-Identity-19</t>
        </is>
      </c>
      <c r="E621" s="12" t="inlineStr">
        <is>
          <t>Affected Wallet Is Quarantined Individually</t>
        </is>
      </c>
      <c r="F621" s="13" t="inlineStr">
        <is>
          <t>High</t>
        </is>
      </c>
      <c r="G621" s="12" t="inlineStr">
        <is>
          <t>Variance detected on one wallet</t>
        </is>
      </c>
      <c r="H621" s="12" t="inlineStr">
        <is>
          <t>1. Trigger the detection
2. Attempt to transact on that wallet and on others</t>
        </is>
      </c>
      <c r="I621" s="12" t="inlineStr">
        <is>
          <t>Only the affected wallet is quarantined; every other wallet stays fully transactable. No platform-wide freeze path exists</t>
        </is>
      </c>
      <c r="J621" s="13" t="inlineStr">
        <is>
          <t>Not Tested</t>
        </is>
      </c>
      <c r="K621" s="13" t="inlineStr">
        <is>
          <t>Functional</t>
        </is>
      </c>
    </row>
    <row r="622" ht="36" customHeight="1">
      <c r="A622" s="12" t="inlineStr">
        <is>
          <t>Balances &amp; Wallet Consistency (EMI-5944)</t>
        </is>
      </c>
      <c r="B622" s="12" t="inlineStr">
        <is>
          <t>Bucket Identity Validation</t>
        </is>
      </c>
      <c r="C622" s="12" t="inlineStr">
        <is>
          <t>Response</t>
        </is>
      </c>
      <c r="D622" s="13" t="inlineStr">
        <is>
          <t>TC-Identity-20</t>
        </is>
      </c>
      <c r="E622" s="12" t="inlineStr">
        <is>
          <t>Recompute Invoked for the Affected Scope Only</t>
        </is>
      </c>
      <c r="F622" s="13" t="inlineStr">
        <is>
          <t>High</t>
        </is>
      </c>
      <c r="G622" s="12" t="inlineStr">
        <is>
          <t>Variance detected on one wallet</t>
        </is>
      </c>
      <c r="H622" s="12" t="inlineStr">
        <is>
          <t>1. Observe what is invoked and over what scope</t>
        </is>
      </c>
      <c r="I622" s="12" t="inlineStr">
        <is>
          <t>EMI-5946 recompute is invoked automatically for the affected scope only, not for the estate</t>
        </is>
      </c>
      <c r="J622" s="13" t="inlineStr">
        <is>
          <t>Not Tested</t>
        </is>
      </c>
      <c r="K622" s="13" t="inlineStr">
        <is>
          <t>Functional</t>
        </is>
      </c>
    </row>
    <row r="623" ht="36" customHeight="1">
      <c r="A623" s="12" t="inlineStr">
        <is>
          <t>Balances &amp; Wallet Consistency (EMI-5944)</t>
        </is>
      </c>
      <c r="B623" s="12" t="inlineStr">
        <is>
          <t>Bucket Identity Validation</t>
        </is>
      </c>
      <c r="C623" s="12" t="inlineStr">
        <is>
          <t>Response</t>
        </is>
      </c>
      <c r="D623" s="13" t="inlineStr">
        <is>
          <t>TC-Identity-21</t>
        </is>
      </c>
      <c r="E623" s="12" t="inlineStr">
        <is>
          <t>Statement Rebuild Is Flagged but Never Auto-Invoked</t>
        </is>
      </c>
      <c r="F623" s="13" t="inlineStr">
        <is>
          <t>High</t>
        </is>
      </c>
      <c r="G623" s="12" t="inlineStr">
        <is>
          <t>Variance where the statement rows are also inconsistent</t>
        </is>
      </c>
      <c r="H623" s="12" t="inlineStr">
        <is>
          <t>1. Trigger the detection
2. Observe whether EMI-5945 runs</t>
        </is>
      </c>
      <c r="I623" s="12" t="inlineStr">
        <is>
          <t>EMI-5945 is flagged as required but is never invoked automatically</t>
        </is>
      </c>
      <c r="J623" s="13" t="inlineStr">
        <is>
          <t>Not Tested</t>
        </is>
      </c>
      <c r="K623" s="13" t="inlineStr">
        <is>
          <t>Functional</t>
        </is>
      </c>
    </row>
    <row r="624" ht="36" customHeight="1">
      <c r="A624" s="12" t="inlineStr">
        <is>
          <t>Balances &amp; Wallet Consistency (EMI-5944)</t>
        </is>
      </c>
      <c r="B624" s="12" t="inlineStr">
        <is>
          <t>Bucket Identity Validation</t>
        </is>
      </c>
      <c r="C624" s="12" t="inlineStr">
        <is>
          <t>Response</t>
        </is>
      </c>
      <c r="D624" s="13" t="inlineStr">
        <is>
          <t>TC-Identity-22</t>
        </is>
      </c>
      <c r="E624" s="12" t="inlineStr">
        <is>
          <t>Every Detection, Quarantine and Repair Carries a Run Id</t>
        </is>
      </c>
      <c r="F624" s="13" t="inlineStr">
        <is>
          <t>Medium</t>
        </is>
      </c>
      <c r="G624" s="12" t="inlineStr">
        <is>
          <t>A detection cycle that quarantines and repairs</t>
        </is>
      </c>
      <c r="H624" s="12" t="inlineStr">
        <is>
          <t>1. Inspect the records for each step</t>
        </is>
      </c>
      <c r="I624" s="12" t="inlineStr">
        <is>
          <t>Each is recorded with a run id so the whole response is traceable end to end</t>
        </is>
      </c>
      <c r="J624" s="13" t="inlineStr">
        <is>
          <t>Not Tested</t>
        </is>
      </c>
      <c r="K624" s="13" t="inlineStr">
        <is>
          <t>Integration</t>
        </is>
      </c>
    </row>
    <row r="625" ht="36" customHeight="1">
      <c r="A625" s="12" t="inlineStr">
        <is>
          <t>Balances &amp; Wallet Consistency (EMI-5944)</t>
        </is>
      </c>
      <c r="B625" s="12" t="inlineStr">
        <is>
          <t>Bucket Identity Validation</t>
        </is>
      </c>
      <c r="C625" s="12" t="inlineStr">
        <is>
          <t>Negative</t>
        </is>
      </c>
      <c r="D625" s="13" t="inlineStr">
        <is>
          <t>TC-Identity-23</t>
        </is>
      </c>
      <c r="E625" s="12" t="inlineStr">
        <is>
          <t>Negative Available With a Satisfied Identity Passes the Constraint</t>
        </is>
      </c>
      <c r="F625" s="13" t="inlineStr">
        <is>
          <t>High</t>
        </is>
      </c>
      <c r="G625" s="12" t="inlineStr">
        <is>
          <t>A commission wallet driven negative during a reserve window while the identity still holds</t>
        </is>
      </c>
      <c r="H625" s="12" t="inlineStr">
        <is>
          <t>1. Perform the write
2. Inspect the constraint outcome, the variance record and the alert</t>
        </is>
      </c>
      <c r="I625" s="12" t="inlineStr">
        <is>
          <t>The constraint passes and the write is not rejected; a variance record is raised and alerted. This is the case the Q5 decision deliberately creates and it must be covered, not discovered in production</t>
        </is>
      </c>
      <c r="J625" s="13" t="inlineStr">
        <is>
          <t>Not Tested</t>
        </is>
      </c>
      <c r="K625" s="13" t="inlineStr">
        <is>
          <t>Negative</t>
        </is>
      </c>
    </row>
    <row r="626" ht="36" customHeight="1">
      <c r="A626" s="12" t="inlineStr">
        <is>
          <t>Balances &amp; Wallet Consistency (EMI-5944)</t>
        </is>
      </c>
      <c r="B626" s="12" t="inlineStr">
        <is>
          <t>Bucket Identity Validation</t>
        </is>
      </c>
      <c r="C626" s="12" t="inlineStr">
        <is>
          <t>Negative</t>
        </is>
      </c>
      <c r="D626" s="13" t="inlineStr">
        <is>
          <t>TC-Identity-24</t>
        </is>
      </c>
      <c r="E626" s="12" t="inlineStr">
        <is>
          <t>Negative-Balance Occurrences Trended Separately</t>
        </is>
      </c>
      <c r="F626" s="13" t="inlineStr">
        <is>
          <t>Medium</t>
        </is>
      </c>
      <c r="G626" s="12" t="inlineStr">
        <is>
          <t>A reporting period containing negative-balance occurrences and other variance</t>
        </is>
      </c>
      <c r="H626" s="12" t="inlineStr">
        <is>
          <t>1. Open the variance trend view</t>
        </is>
      </c>
      <c r="I626" s="12" t="inlineStr">
        <is>
          <t>Negative-balance occurrences are trended separately from other variance, so the scale of the Q5 carve-out is measurable and the case for fixing leg ordering can be made with data</t>
        </is>
      </c>
      <c r="J626" s="13" t="inlineStr">
        <is>
          <t>Not Tested</t>
        </is>
      </c>
      <c r="K626" s="13" t="inlineStr">
        <is>
          <t>Negative</t>
        </is>
      </c>
    </row>
    <row r="627" ht="36" customHeight="1">
      <c r="A627" s="12" t="inlineStr">
        <is>
          <t>Balances &amp; Wallet Consistency (EMI-5944)</t>
        </is>
      </c>
      <c r="B627" s="12" t="inlineStr">
        <is>
          <t>Bucket Identity Validation</t>
        </is>
      </c>
      <c r="C627" s="12" t="inlineStr">
        <is>
          <t>Alerting</t>
        </is>
      </c>
      <c r="D627" s="13" t="inlineStr">
        <is>
          <t>TC-Identity-25</t>
        </is>
      </c>
      <c r="E627" s="12" t="inlineStr">
        <is>
          <t>Systemic Failure Produces One Aggregated Alert</t>
        </is>
      </c>
      <c r="F627" s="13" t="inlineStr">
        <is>
          <t>High</t>
        </is>
      </c>
      <c r="G627" s="12" t="inlineStr">
        <is>
          <t>A simulated systemic failure affecting many wallets</t>
        </is>
      </c>
      <c r="H627" s="12" t="inlineStr">
        <is>
          <t>1. Trigger the failure
2. Count the alerts raised</t>
        </is>
      </c>
      <c r="I627" s="12" t="inlineStr">
        <is>
          <t>One alert fires with aggregated detail rather than one alert per wallet</t>
        </is>
      </c>
      <c r="J627" s="13" t="inlineStr">
        <is>
          <t>Not Tested</t>
        </is>
      </c>
      <c r="K627" s="13" t="inlineStr">
        <is>
          <t>Negative</t>
        </is>
      </c>
    </row>
    <row r="628" ht="36" customHeight="1">
      <c r="A628" s="12" t="inlineStr">
        <is>
          <t>Balances &amp; Wallet Consistency (EMI-5944)</t>
        </is>
      </c>
      <c r="B628" s="12" t="inlineStr">
        <is>
          <t>Bucket Identity Validation</t>
        </is>
      </c>
      <c r="C628" s="12" t="inlineStr">
        <is>
          <t>Alerting</t>
        </is>
      </c>
      <c r="D628" s="13" t="inlineStr">
        <is>
          <t>TC-Identity-26</t>
        </is>
      </c>
      <c r="E628" s="12" t="inlineStr">
        <is>
          <t>Alert Thresholds Configurable by Count and by Value</t>
        </is>
      </c>
      <c r="F628" s="13" t="inlineStr">
        <is>
          <t>Medium</t>
        </is>
      </c>
      <c r="G628" s="12" t="inlineStr">
        <is>
          <t>Threshold configuration accessible</t>
        </is>
      </c>
      <c r="H628" s="12" t="inlineStr">
        <is>
          <t>1. Configure a count threshold and a SAR value threshold
2. Cross each in turn</t>
        </is>
      </c>
      <c r="I628" s="12" t="inlineStr">
        <is>
          <t>Both threshold types fire correctly and independently</t>
        </is>
      </c>
      <c r="J628" s="13" t="inlineStr">
        <is>
          <t>Not Tested</t>
        </is>
      </c>
      <c r="K628" s="13" t="inlineStr">
        <is>
          <t>Observability</t>
        </is>
      </c>
    </row>
    <row r="629" ht="36" customHeight="1">
      <c r="A629" s="12" t="inlineStr">
        <is>
          <t>Balances &amp; Wallet Consistency (EMI-5944)</t>
        </is>
      </c>
      <c r="B629" s="12" t="inlineStr">
        <is>
          <t>Bucket Identity Validation</t>
        </is>
      </c>
      <c r="C629" s="12" t="inlineStr">
        <is>
          <t>Reporting</t>
        </is>
      </c>
      <c r="D629" s="13" t="inlineStr">
        <is>
          <t>TC-Identity-27</t>
        </is>
      </c>
      <c r="E629" s="12" t="inlineStr">
        <is>
          <t>Variance History Retained and Trended</t>
        </is>
      </c>
      <c r="F629" s="13" t="inlineStr">
        <is>
          <t>High</t>
        </is>
      </c>
      <c r="G629" s="12" t="inlineStr">
        <is>
          <t>A period of accumulated variance</t>
        </is>
      </c>
      <c r="H629" s="12" t="inlineStr">
        <is>
          <t>1. Open the variance history and the trend view</t>
        </is>
      </c>
      <c r="I629" s="12" t="inlineStr">
        <is>
          <t>History is retained and reportable as the audit evidence EMI-5944 requires; the trend shows variance count and total absolute value over time so a worsening pipeline is visible before it becomes an incident</t>
        </is>
      </c>
      <c r="J629" s="13" t="inlineStr">
        <is>
          <t>Not Tested</t>
        </is>
      </c>
      <c r="K629" s="13" t="inlineStr">
        <is>
          <t>Reporting</t>
        </is>
      </c>
    </row>
    <row r="630" ht="36" customHeight="1">
      <c r="A630" s="12" t="inlineStr">
        <is>
          <t>Balances &amp; Wallet Consistency (EMI-5944)</t>
        </is>
      </c>
      <c r="B630" s="12" t="inlineStr">
        <is>
          <t>Bucket Identity Validation</t>
        </is>
      </c>
      <c r="C630" s="12" t="inlineStr">
        <is>
          <t>Non-Functional</t>
        </is>
      </c>
      <c r="D630" s="13" t="inlineStr">
        <is>
          <t>TC-Identity-28</t>
        </is>
      </c>
      <c r="E630" s="12" t="inlineStr">
        <is>
          <t>Per-Write Assertion Adds No Material Latency</t>
        </is>
      </c>
      <c r="F630" s="13" t="inlineStr">
        <is>
          <t>High</t>
        </is>
      </c>
      <c r="G630" s="12" t="inlineStr">
        <is>
          <t>Live transaction load</t>
        </is>
      </c>
      <c r="H630" s="12" t="inlineStr">
        <is>
          <t>1. Measure transaction latency with the assertion enabled and disabled</t>
        </is>
      </c>
      <c r="I630" s="12" t="inlineStr">
        <is>
          <t>The assertion adds no material latency; it is a constraint check, not a query</t>
        </is>
      </c>
      <c r="J630" s="13" t="inlineStr">
        <is>
          <t>Not Tested</t>
        </is>
      </c>
      <c r="K630" s="13" t="inlineStr">
        <is>
          <t>Performance / NFR</t>
        </is>
      </c>
    </row>
    <row r="631" ht="36" customHeight="1">
      <c r="A631" s="12" t="inlineStr">
        <is>
          <t>Balances &amp; Wallet Consistency (EMI-5944)</t>
        </is>
      </c>
      <c r="B631" s="12" t="inlineStr">
        <is>
          <t>Bucket Identity Validation</t>
        </is>
      </c>
      <c r="C631" s="12" t="inlineStr">
        <is>
          <t>Non-Functional</t>
        </is>
      </c>
      <c r="D631" s="13" t="inlineStr">
        <is>
          <t>TC-Identity-29</t>
        </is>
      </c>
      <c r="E631" s="12" t="inlineStr">
        <is>
          <t>Sweep Uses Indexed Aggregates and Is Resumable</t>
        </is>
      </c>
      <c r="F631" s="13" t="inlineStr">
        <is>
          <t>High</t>
        </is>
      </c>
      <c r="G631" s="12" t="inlineStr">
        <is>
          <t>Production-scale data volume</t>
        </is>
      </c>
      <c r="H631" s="12" t="inlineStr">
        <is>
          <t>1. Run the sweep and capture query plans
2. Interrupt and resume it</t>
        </is>
      </c>
      <c r="I631" s="12" t="inlineStr">
        <is>
          <t>Indexed aggregates only with no full-table scan; the sweep is resumable and holds no long transactions</t>
        </is>
      </c>
      <c r="J631" s="13" t="inlineStr">
        <is>
          <t>Not Tested</t>
        </is>
      </c>
      <c r="K631" s="13" t="inlineStr">
        <is>
          <t>Performance / NFR</t>
        </is>
      </c>
    </row>
    <row r="632" ht="36" customHeight="1">
      <c r="A632" s="12" t="inlineStr">
        <is>
          <t>Balances &amp; Wallet Consistency (EMI-5944)</t>
        </is>
      </c>
      <c r="B632" s="12" t="inlineStr">
        <is>
          <t>Bucket Identity Validation</t>
        </is>
      </c>
      <c r="C632" s="12" t="inlineStr">
        <is>
          <t>Non-Functional</t>
        </is>
      </c>
      <c r="D632" s="13" t="inlineStr">
        <is>
          <t>TC-Identity-30</t>
        </is>
      </c>
      <c r="E632" s="12" t="inlineStr">
        <is>
          <t>Variance Records Are Immutable</t>
        </is>
      </c>
      <c r="F632" s="13" t="inlineStr">
        <is>
          <t>Medium</t>
        </is>
      </c>
      <c r="G632" s="12" t="inlineStr">
        <is>
          <t>Variance records present</t>
        </is>
      </c>
      <c r="H632" s="12" t="inlineStr">
        <is>
          <t>1. Attempt to update or delete a variance record</t>
        </is>
      </c>
      <c r="I632" s="12" t="inlineStr">
        <is>
          <t>Both are rejected; records are immutable and retained per the platform audit retention policy</t>
        </is>
      </c>
      <c r="J632" s="13" t="inlineStr">
        <is>
          <t>Not Tested</t>
        </is>
      </c>
      <c r="K632" s="13" t="inlineStr">
        <is>
          <t>Negative</t>
        </is>
      </c>
    </row>
    <row r="633" ht="36" customHeight="1">
      <c r="A633" s="12" t="inlineStr">
        <is>
          <t>Balances &amp; Wallet Consistency (EMI-5944)</t>
        </is>
      </c>
      <c r="B633" s="12" t="inlineStr">
        <is>
          <t>Stuck Reserve Detection</t>
        </is>
      </c>
      <c r="C633" s="12" t="inlineStr">
        <is>
          <t>Detection</t>
        </is>
      </c>
      <c r="D633" s="13" t="inlineStr">
        <is>
          <t>TC-Stuck-01</t>
        </is>
      </c>
      <c r="E633" s="12" t="inlineStr">
        <is>
          <t>Reserve Released Within Threshold Is Never Flagged</t>
        </is>
      </c>
      <c r="F633" s="13" t="inlineStr">
        <is>
          <t>High</t>
        </is>
      </c>
      <c r="G633" s="12" t="inlineStr">
        <is>
          <t>A reserve taken and released normally inside its configured threshold</t>
        </is>
      </c>
      <c r="H633" s="12" t="inlineStr">
        <is>
          <t>1. Run the detection job</t>
        </is>
      </c>
      <c r="I633" s="12" t="inlineStr">
        <is>
          <t>The reserve is not flagged; normal activity produces no noise</t>
        </is>
      </c>
      <c r="J633" s="13" t="inlineStr">
        <is>
          <t>Not Tested</t>
        </is>
      </c>
      <c r="K633" s="13" t="inlineStr">
        <is>
          <t>Functional</t>
        </is>
      </c>
    </row>
    <row r="634" ht="36" customHeight="1">
      <c r="A634" s="12" t="inlineStr">
        <is>
          <t>Balances &amp; Wallet Consistency (EMI-5944)</t>
        </is>
      </c>
      <c r="B634" s="12" t="inlineStr">
        <is>
          <t>Stuck Reserve Detection</t>
        </is>
      </c>
      <c r="C634" s="12" t="inlineStr">
        <is>
          <t>Detection</t>
        </is>
      </c>
      <c r="D634" s="13" t="inlineStr">
        <is>
          <t>TC-Stuck-02</t>
        </is>
      </c>
      <c r="E634" s="12" t="inlineStr">
        <is>
          <t>Reserve With No Releasing Event Past Threshold Is Flagged</t>
        </is>
      </c>
      <c r="F634" s="13" t="inlineStr">
        <is>
          <t>High</t>
        </is>
      </c>
      <c r="G634" s="12" t="inlineStr">
        <is>
          <t>A reserve_debit with no releasing ledger event, aged past its threshold</t>
        </is>
      </c>
      <c r="H634" s="12" t="inlineStr">
        <is>
          <t>1. Run the detection job
2. Inspect the flagged item</t>
        </is>
      </c>
      <c r="I634" s="12" t="inlineStr">
        <is>
          <t>The reserve is flagged with the correct age and amount</t>
        </is>
      </c>
      <c r="J634" s="13" t="inlineStr">
        <is>
          <t>Not Tested</t>
        </is>
      </c>
      <c r="K634" s="13" t="inlineStr">
        <is>
          <t>Functional</t>
        </is>
      </c>
    </row>
    <row r="635" ht="36" customHeight="1">
      <c r="A635" s="12" t="inlineStr">
        <is>
          <t>Balances &amp; Wallet Consistency (EMI-5944)</t>
        </is>
      </c>
      <c r="B635" s="12" t="inlineStr">
        <is>
          <t>Stuck Reserve Detection</t>
        </is>
      </c>
      <c r="C635" s="12" t="inlineStr">
        <is>
          <t>Detection</t>
        </is>
      </c>
      <c r="D635" s="13" t="inlineStr">
        <is>
          <t>TC-Stuck-03</t>
        </is>
      </c>
      <c r="E635" s="12" t="inlineStr">
        <is>
          <t>Reserve Credit With No Releasing Event Is Flagged</t>
        </is>
      </c>
      <c r="F635" s="13" t="inlineStr">
        <is>
          <t>High</t>
        </is>
      </c>
      <c r="G635" s="12" t="inlineStr">
        <is>
          <t>A reserve_credit with no releasing ledger event past threshold</t>
        </is>
      </c>
      <c r="H635" s="12" t="inlineStr">
        <is>
          <t>1. Run the detection job</t>
        </is>
      </c>
      <c r="I635" s="12" t="inlineStr">
        <is>
          <t>The flagged set covers reserve_credit as well as reserve_debit; both bucket types are detected</t>
        </is>
      </c>
      <c r="J635" s="13" t="inlineStr">
        <is>
          <t>Not Tested</t>
        </is>
      </c>
      <c r="K635" s="13" t="inlineStr">
        <is>
          <t>Functional</t>
        </is>
      </c>
    </row>
    <row r="636" ht="36" customHeight="1">
      <c r="A636" s="12" t="inlineStr">
        <is>
          <t>Balances &amp; Wallet Consistency (EMI-5944)</t>
        </is>
      </c>
      <c r="B636" s="12" t="inlineStr">
        <is>
          <t>Stuck Reserve Detection</t>
        </is>
      </c>
      <c r="C636" s="12" t="inlineStr">
        <is>
          <t>Detection</t>
        </is>
      </c>
      <c r="D636" s="13" t="inlineStr">
        <is>
          <t>TC-Stuck-04</t>
        </is>
      </c>
      <c r="E636" s="12" t="inlineStr">
        <is>
          <t>Type-Specific Threshold Overrides the Global Default</t>
        </is>
      </c>
      <c r="F636" s="13" t="inlineStr">
        <is>
          <t>High</t>
        </is>
      </c>
      <c r="G636" s="12" t="inlineStr">
        <is>
          <t>A reserve exceeding its transaction-type threshold but under the global default</t>
        </is>
      </c>
      <c r="H636" s="12" t="inlineStr">
        <is>
          <t>1. Run the detection job</t>
        </is>
      </c>
      <c r="I636" s="12" t="inlineStr">
        <is>
          <t>It is flagged per the type-specific rule; a card authorisation and an EOD bank settlement have legitimately different lifetimes</t>
        </is>
      </c>
      <c r="J636" s="13" t="inlineStr">
        <is>
          <t>Not Tested</t>
        </is>
      </c>
      <c r="K636" s="13" t="inlineStr">
        <is>
          <t>Functional</t>
        </is>
      </c>
    </row>
    <row r="637" ht="36" customHeight="1">
      <c r="A637" s="12" t="inlineStr">
        <is>
          <t>Balances &amp; Wallet Consistency (EMI-5944)</t>
        </is>
      </c>
      <c r="B637" s="12" t="inlineStr">
        <is>
          <t>Stuck Reserve Detection</t>
        </is>
      </c>
      <c r="C637" s="12" t="inlineStr">
        <is>
          <t>Detection</t>
        </is>
      </c>
      <c r="D637" s="13" t="inlineStr">
        <is>
          <t>TC-Stuck-05</t>
        </is>
      </c>
      <c r="E637" s="12" t="inlineStr">
        <is>
          <t>Documented Defaults Exist Per Transaction Type</t>
        </is>
      </c>
      <c r="F637" s="13" t="inlineStr">
        <is>
          <t>Medium</t>
        </is>
      </c>
      <c r="G637" s="12" t="inlineStr">
        <is>
          <t>Threshold configuration accessible</t>
        </is>
      </c>
      <c r="H637" s="12" t="inlineStr">
        <is>
          <t>1. Inspect the configured thresholds and their documentation</t>
        </is>
      </c>
      <c r="I637" s="12" t="inlineStr">
        <is>
          <t>A default is defined and documented for every transaction type; none is implicit</t>
        </is>
      </c>
      <c r="J637" s="13" t="inlineStr">
        <is>
          <t>Not Tested</t>
        </is>
      </c>
      <c r="K637" s="13" t="inlineStr">
        <is>
          <t>Functional</t>
        </is>
      </c>
    </row>
    <row r="638" ht="36" customHeight="1">
      <c r="A638" s="12" t="inlineStr">
        <is>
          <t>Balances &amp; Wallet Consistency (EMI-5944)</t>
        </is>
      </c>
      <c r="B638" s="12" t="inlineStr">
        <is>
          <t>Stuck Reserve Detection</t>
        </is>
      </c>
      <c r="C638" s="12" t="inlineStr">
        <is>
          <t>Detection</t>
        </is>
      </c>
      <c r="D638" s="13" t="inlineStr">
        <is>
          <t>TC-Stuck-06</t>
        </is>
      </c>
      <c r="E638" s="12" t="inlineStr">
        <is>
          <t>Failed EOD Bank Statement Leaves Reserve Debit Unreturned</t>
        </is>
      </c>
      <c r="F638" s="13" t="inlineStr">
        <is>
          <t>High</t>
        </is>
      </c>
      <c r="G638" s="12" t="inlineStr">
        <is>
          <t>The EMI-5771 scenario: a failed EOD bank statement where reserve_debit was never returned to available</t>
        </is>
      </c>
      <c r="H638" s="12" t="inlineStr">
        <is>
          <t>1. Reproduce the scenario
2. Run the detection job</t>
        </is>
      </c>
      <c r="I638" s="12" t="inlineStr">
        <is>
          <t>The stuck reserve is flagged. This is the regression guard for the most frequent balance failure signature in the project history</t>
        </is>
      </c>
      <c r="J638" s="13" t="inlineStr">
        <is>
          <t>Not Tested</t>
        </is>
      </c>
      <c r="K638" s="13" t="inlineStr">
        <is>
          <t>Negative</t>
        </is>
      </c>
    </row>
    <row r="639" ht="36" customHeight="1">
      <c r="A639" s="12" t="inlineStr">
        <is>
          <t>Balances &amp; Wallet Consistency (EMI-5944)</t>
        </is>
      </c>
      <c r="B639" s="12" t="inlineStr">
        <is>
          <t>Stuck Reserve Detection</t>
        </is>
      </c>
      <c r="C639" s="12" t="inlineStr">
        <is>
          <t>Detection</t>
        </is>
      </c>
      <c r="D639" s="13" t="inlineStr">
        <is>
          <t>TC-Stuck-07</t>
        </is>
      </c>
      <c r="E639" s="12" t="inlineStr">
        <is>
          <t>Detection Runs on a Configurable Schedule</t>
        </is>
      </c>
      <c r="F639" s="13" t="inlineStr">
        <is>
          <t>Medium</t>
        </is>
      </c>
      <c r="G639" s="12" t="inlineStr">
        <is>
          <t>Schedule configuration accessible</t>
        </is>
      </c>
      <c r="H639" s="12" t="inlineStr">
        <is>
          <t>1. Change the detection frequency
2. Observe the runs</t>
        </is>
      </c>
      <c r="I639" s="12" t="inlineStr">
        <is>
          <t>The job runs at the configured frequency and the change takes effect without a release</t>
        </is>
      </c>
      <c r="J639" s="13" t="inlineStr">
        <is>
          <t>Not Tested</t>
        </is>
      </c>
      <c r="K639" s="13" t="inlineStr">
        <is>
          <t>Functional</t>
        </is>
      </c>
    </row>
    <row r="640" ht="36" customHeight="1">
      <c r="A640" s="12" t="inlineStr">
        <is>
          <t>Balances &amp; Wallet Consistency (EMI-5944)</t>
        </is>
      </c>
      <c r="B640" s="12" t="inlineStr">
        <is>
          <t>Stuck Reserve Detection</t>
        </is>
      </c>
      <c r="C640" s="12" t="inlineStr">
        <is>
          <t>Presentation</t>
        </is>
      </c>
      <c r="D640" s="13" t="inlineStr">
        <is>
          <t>TC-Stuck-08</t>
        </is>
      </c>
      <c r="E640" s="12" t="inlineStr">
        <is>
          <t>Operations View Shows the Full Context Per Flagged Reserve</t>
        </is>
      </c>
      <c r="F640" s="13" t="inlineStr">
        <is>
          <t>High</t>
        </is>
      </c>
      <c r="G640" s="12" t="inlineStr">
        <is>
          <t>Flagged reserves present</t>
        </is>
      </c>
      <c r="H640" s="12" t="inlineStr">
        <is>
          <t>1. Open the operations view</t>
        </is>
      </c>
      <c r="I640" s="12" t="inlineStr">
        <is>
          <t>Each row shows wallet, customer reference, transaction id, transaction type, amount, age and the originating ledger entry</t>
        </is>
      </c>
      <c r="J640" s="13" t="inlineStr">
        <is>
          <t>Not Tested</t>
        </is>
      </c>
      <c r="K640" s="13" t="inlineStr">
        <is>
          <t>Usability</t>
        </is>
      </c>
    </row>
    <row r="641" ht="36" customHeight="1">
      <c r="A641" s="12" t="inlineStr">
        <is>
          <t>Balances &amp; Wallet Consistency (EMI-5944)</t>
        </is>
      </c>
      <c r="B641" s="12" t="inlineStr">
        <is>
          <t>Stuck Reserve Detection</t>
        </is>
      </c>
      <c r="C641" s="12" t="inlineStr">
        <is>
          <t>Presentation</t>
        </is>
      </c>
      <c r="D641" s="13" t="inlineStr">
        <is>
          <t>TC-Stuck-09</t>
        </is>
      </c>
      <c r="E641" s="12" t="inlineStr">
        <is>
          <t>Ageing Buckets With Counts and SAR Totals</t>
        </is>
      </c>
      <c r="F641" s="13" t="inlineStr">
        <is>
          <t>Medium</t>
        </is>
      </c>
      <c r="G641" s="12" t="inlineStr">
        <is>
          <t>Flagged reserves of varying ages</t>
        </is>
      </c>
      <c r="H641" s="12" t="inlineStr">
        <is>
          <t>1. Open the operations view</t>
        </is>
      </c>
      <c r="I641" s="12" t="inlineStr">
        <is>
          <t>Reserves are grouped into ageing buckets such as over 1 hour, over 24 hours and over 7 days, each with a count and a total value in SAR</t>
        </is>
      </c>
      <c r="J641" s="13" t="inlineStr">
        <is>
          <t>Not Tested</t>
        </is>
      </c>
      <c r="K641" s="13" t="inlineStr">
        <is>
          <t>Usability</t>
        </is>
      </c>
    </row>
    <row r="642" ht="36" customHeight="1">
      <c r="A642" s="12" t="inlineStr">
        <is>
          <t>Balances &amp; Wallet Consistency (EMI-5944)</t>
        </is>
      </c>
      <c r="B642" s="12" t="inlineStr">
        <is>
          <t>Stuck Reserve Detection</t>
        </is>
      </c>
      <c r="C642" s="12" t="inlineStr">
        <is>
          <t>Presentation</t>
        </is>
      </c>
      <c r="D642" s="13" t="inlineStr">
        <is>
          <t>TC-Stuck-10</t>
        </is>
      </c>
      <c r="E642" s="12" t="inlineStr">
        <is>
          <t>Sortable by Age and by Amount</t>
        </is>
      </c>
      <c r="F642" s="13" t="inlineStr">
        <is>
          <t>Medium</t>
        </is>
      </c>
      <c r="G642" s="12" t="inlineStr">
        <is>
          <t>A populated flagged list</t>
        </is>
      </c>
      <c r="H642" s="12" t="inlineStr">
        <is>
          <t>1. Sort by age
2. Sort by amount</t>
        </is>
      </c>
      <c r="I642" s="12" t="inlineStr">
        <is>
          <t>Both sorts work so the oldest and largest exposures surface first</t>
        </is>
      </c>
      <c r="J642" s="13" t="inlineStr">
        <is>
          <t>Not Tested</t>
        </is>
      </c>
      <c r="K642" s="13" t="inlineStr">
        <is>
          <t>Usability</t>
        </is>
      </c>
    </row>
    <row r="643" ht="36" customHeight="1">
      <c r="A643" s="12" t="inlineStr">
        <is>
          <t>Balances &amp; Wallet Consistency (EMI-5944)</t>
        </is>
      </c>
      <c r="B643" s="12" t="inlineStr">
        <is>
          <t>Stuck Reserve Detection</t>
        </is>
      </c>
      <c r="C643" s="12" t="inlineStr">
        <is>
          <t>Presentation</t>
        </is>
      </c>
      <c r="D643" s="13" t="inlineStr">
        <is>
          <t>TC-Stuck-11</t>
        </is>
      </c>
      <c r="E643" s="12" t="inlineStr">
        <is>
          <t>Row Links Through to the Ledger Entry and the Recompute Action</t>
        </is>
      </c>
      <c r="F643" s="13" t="inlineStr">
        <is>
          <t>Medium</t>
        </is>
      </c>
      <c r="G643" s="12" t="inlineStr">
        <is>
          <t>A flagged reserve</t>
        </is>
      </c>
      <c r="H643" s="12" t="inlineStr">
        <is>
          <t>1. Open the row and follow both links</t>
        </is>
      </c>
      <c r="I643" s="12" t="inlineStr">
        <is>
          <t>The row links through to the originating ledger entry and to the EMI-5946 recompute action for that wallet</t>
        </is>
      </c>
      <c r="J643" s="13" t="inlineStr">
        <is>
          <t>Not Tested</t>
        </is>
      </c>
      <c r="K643" s="13" t="inlineStr">
        <is>
          <t>Usability</t>
        </is>
      </c>
    </row>
    <row r="644" ht="36" customHeight="1">
      <c r="A644" s="12" t="inlineStr">
        <is>
          <t>Balances &amp; Wallet Consistency (EMI-5944)</t>
        </is>
      </c>
      <c r="B644" s="12" t="inlineStr">
        <is>
          <t>Stuck Reserve Detection</t>
        </is>
      </c>
      <c r="C644" s="12" t="inlineStr">
        <is>
          <t>Alerting</t>
        </is>
      </c>
      <c r="D644" s="13" t="inlineStr">
        <is>
          <t>TC-Stuck-12</t>
        </is>
      </c>
      <c r="E644" s="12" t="inlineStr">
        <is>
          <t>Threshold Crossing Raises an Alert</t>
        </is>
      </c>
      <c r="F644" s="13" t="inlineStr">
        <is>
          <t>Medium</t>
        </is>
      </c>
      <c r="G644" s="12" t="inlineStr">
        <is>
          <t>Configurable thresholds on flagged count and total value</t>
        </is>
      </c>
      <c r="H644" s="12" t="inlineStr">
        <is>
          <t>1. Cross the count threshold
2. Cross the value threshold</t>
        </is>
      </c>
      <c r="I644" s="12" t="inlineStr">
        <is>
          <t>An alert fires on each, carrying the total exposure in SAR and the dominant transaction type so the cause is visible without opening the console</t>
        </is>
      </c>
      <c r="J644" s="13" t="inlineStr">
        <is>
          <t>Not Tested</t>
        </is>
      </c>
      <c r="K644" s="13" t="inlineStr">
        <is>
          <t>Observability</t>
        </is>
      </c>
    </row>
    <row r="645" ht="36" customHeight="1">
      <c r="A645" s="12" t="inlineStr">
        <is>
          <t>Balances &amp; Wallet Consistency (EMI-5944)</t>
        </is>
      </c>
      <c r="B645" s="12" t="inlineStr">
        <is>
          <t>Stuck Reserve Detection</t>
        </is>
      </c>
      <c r="C645" s="12" t="inlineStr">
        <is>
          <t>Alerting</t>
        </is>
      </c>
      <c r="D645" s="13" t="inlineStr">
        <is>
          <t>TC-Stuck-13</t>
        </is>
      </c>
      <c r="E645" s="12" t="inlineStr">
        <is>
          <t>Systemic Release Failure Produces One Aggregated Alert</t>
        </is>
      </c>
      <c r="F645" s="13" t="inlineStr">
        <is>
          <t>High</t>
        </is>
      </c>
      <c r="G645" s="12" t="inlineStr">
        <is>
          <t>Many reserves stuck simultaneously by a single failing flow</t>
        </is>
      </c>
      <c r="H645" s="12" t="inlineStr">
        <is>
          <t>1. Trigger the systemic failure
2. Count the alerts</t>
        </is>
      </c>
      <c r="I645" s="12" t="inlineStr">
        <is>
          <t>One aggregated alert is raised, not one per wallet</t>
        </is>
      </c>
      <c r="J645" s="13" t="inlineStr">
        <is>
          <t>Not Tested</t>
        </is>
      </c>
      <c r="K645" s="13" t="inlineStr">
        <is>
          <t>Negative</t>
        </is>
      </c>
    </row>
    <row r="646" ht="36" customHeight="1">
      <c r="A646" s="12" t="inlineStr">
        <is>
          <t>Balances &amp; Wallet Consistency (EMI-5944)</t>
        </is>
      </c>
      <c r="B646" s="12" t="inlineStr">
        <is>
          <t>Stuck Reserve Detection</t>
        </is>
      </c>
      <c r="C646" s="12" t="inlineStr">
        <is>
          <t>Resolution</t>
        </is>
      </c>
      <c r="D646" s="13" t="inlineStr">
        <is>
          <t>TC-Stuck-14</t>
        </is>
      </c>
      <c r="E646" s="12" t="inlineStr">
        <is>
          <t>Operator Can Trace a Flagged Reserve to the Absent Releasing Event</t>
        </is>
      </c>
      <c r="F646" s="13" t="inlineStr">
        <is>
          <t>High</t>
        </is>
      </c>
      <c r="G646" s="12" t="inlineStr">
        <is>
          <t>A flagged reserve</t>
        </is>
      </c>
      <c r="H646" s="12" t="inlineStr">
        <is>
          <t>1. Open the item and follow the trace</t>
        </is>
      </c>
      <c r="I646" s="12" t="inlineStr">
        <is>
          <t>Both the ledger entry that created the reserve and the absence of its releasing event are traceable from the item</t>
        </is>
      </c>
      <c r="J646" s="13" t="inlineStr">
        <is>
          <t>Not Tested</t>
        </is>
      </c>
      <c r="K646" s="13" t="inlineStr">
        <is>
          <t>Integration</t>
        </is>
      </c>
    </row>
    <row r="647" ht="36" customHeight="1">
      <c r="A647" s="12" t="inlineStr">
        <is>
          <t>Balances &amp; Wallet Consistency (EMI-5944)</t>
        </is>
      </c>
      <c r="B647" s="12" t="inlineStr">
        <is>
          <t>Stuck Reserve Detection</t>
        </is>
      </c>
      <c r="C647" s="12" t="inlineStr">
        <is>
          <t>Resolution</t>
        </is>
      </c>
      <c r="D647" s="13" t="inlineStr">
        <is>
          <t>TC-Stuck-15</t>
        </is>
      </c>
      <c r="E647" s="12" t="inlineStr">
        <is>
          <t>Release Uses the Existing Correction Path Only</t>
        </is>
      </c>
      <c r="F647" s="13" t="inlineStr">
        <is>
          <t>High</t>
        </is>
      </c>
      <c r="G647" s="12" t="inlineStr">
        <is>
          <t>A flagged reserve requiring release</t>
        </is>
      </c>
      <c r="H647" s="12" t="inlineStr">
        <is>
          <t>1. Inspect every action available from this surface</t>
        </is>
      </c>
      <c r="I647" s="12" t="inlineStr">
        <is>
          <t>This story detects and reports only; no new way to move money exists here. Release is performed through the existing correction path</t>
        </is>
      </c>
      <c r="J647" s="13" t="inlineStr">
        <is>
          <t>Not Tested</t>
        </is>
      </c>
      <c r="K647" s="13" t="inlineStr">
        <is>
          <t>Functional</t>
        </is>
      </c>
    </row>
    <row r="648" ht="36" customHeight="1">
      <c r="A648" s="12" t="inlineStr">
        <is>
          <t>Balances &amp; Wallet Consistency (EMI-5944)</t>
        </is>
      </c>
      <c r="B648" s="12" t="inlineStr">
        <is>
          <t>Stuck Reserve Detection</t>
        </is>
      </c>
      <c r="C648" s="12" t="inlineStr">
        <is>
          <t>Resolution</t>
        </is>
      </c>
      <c r="D648" s="13" t="inlineStr">
        <is>
          <t>TC-Stuck-16</t>
        </is>
      </c>
      <c r="E648" s="12" t="inlineStr">
        <is>
          <t>Resolved Item Records Its Resolution</t>
        </is>
      </c>
      <c r="F648" s="13" t="inlineStr">
        <is>
          <t>Medium</t>
        </is>
      </c>
      <c r="G648" s="12" t="inlineStr">
        <is>
          <t>A flagged reserve that is subsequently released</t>
        </is>
      </c>
      <c r="H648" s="12" t="inlineStr">
        <is>
          <t>1. Release the reserve
2. Inspect the item</t>
        </is>
      </c>
      <c r="I648" s="12" t="inlineStr">
        <is>
          <t>The item resolves and the resolution is recorded against it, so repeat offenders by transaction type are visible</t>
        </is>
      </c>
      <c r="J648" s="13" t="inlineStr">
        <is>
          <t>Not Tested</t>
        </is>
      </c>
      <c r="K648" s="13" t="inlineStr">
        <is>
          <t>Functional</t>
        </is>
      </c>
    </row>
    <row r="649" ht="36" customHeight="1">
      <c r="A649" s="12" t="inlineStr">
        <is>
          <t>Balances &amp; Wallet Consistency (EMI-5944)</t>
        </is>
      </c>
      <c r="B649" s="12" t="inlineStr">
        <is>
          <t>Stuck Reserve Detection</t>
        </is>
      </c>
      <c r="C649" s="12" t="inlineStr">
        <is>
          <t>Reporting</t>
        </is>
      </c>
      <c r="D649" s="13" t="inlineStr">
        <is>
          <t>TC-Stuck-17</t>
        </is>
      </c>
      <c r="E649" s="12" t="inlineStr">
        <is>
          <t>Trend View Over Time</t>
        </is>
      </c>
      <c r="F649" s="13" t="inlineStr">
        <is>
          <t>Medium</t>
        </is>
      </c>
      <c r="G649" s="12" t="inlineStr">
        <is>
          <t>A period of accumulated stuck-reserve activity</t>
        </is>
      </c>
      <c r="H649" s="12" t="inlineStr">
        <is>
          <t>1. Open the trend view</t>
        </is>
      </c>
      <c r="I649" s="12" t="inlineStr">
        <is>
          <t>Count, total value and mean age of stuck reserves are trended over time</t>
        </is>
      </c>
      <c r="J649" s="13" t="inlineStr">
        <is>
          <t>Not Tested</t>
        </is>
      </c>
      <c r="K649" s="13" t="inlineStr">
        <is>
          <t>Reporting</t>
        </is>
      </c>
    </row>
    <row r="650" ht="36" customHeight="1">
      <c r="A650" s="12" t="inlineStr">
        <is>
          <t>Balances &amp; Wallet Consistency (EMI-5944)</t>
        </is>
      </c>
      <c r="B650" s="12" t="inlineStr">
        <is>
          <t>Stuck Reserve Detection</t>
        </is>
      </c>
      <c r="C650" s="12" t="inlineStr">
        <is>
          <t>Reporting</t>
        </is>
      </c>
      <c r="D650" s="13" t="inlineStr">
        <is>
          <t>TC-Stuck-18</t>
        </is>
      </c>
      <c r="E650" s="12" t="inlineStr">
        <is>
          <t>Breakdown by Transaction Type Identifies the Failing Flow</t>
        </is>
      </c>
      <c r="F650" s="13" t="inlineStr">
        <is>
          <t>High</t>
        </is>
      </c>
      <c r="G650" s="12" t="inlineStr">
        <is>
          <t>Stuck reserves across several transaction types</t>
        </is>
      </c>
      <c r="H650" s="12" t="inlineStr">
        <is>
          <t>1. Request the breakdown by transaction type</t>
        </is>
      </c>
      <c r="I650" s="12" t="inlineStr">
        <is>
          <t>The breakdown is correct and the dominant failing flow is identifiable rather than inferred</t>
        </is>
      </c>
      <c r="J650" s="13" t="inlineStr">
        <is>
          <t>Not Tested</t>
        </is>
      </c>
      <c r="K650" s="13" t="inlineStr">
        <is>
          <t>Reporting</t>
        </is>
      </c>
    </row>
    <row r="651" ht="36" customHeight="1">
      <c r="A651" s="12" t="inlineStr">
        <is>
          <t>Balances &amp; Wallet Consistency (EMI-5944)</t>
        </is>
      </c>
      <c r="B651" s="12" t="inlineStr">
        <is>
          <t>Stuck Reserve Detection</t>
        </is>
      </c>
      <c r="C651" s="12" t="inlineStr">
        <is>
          <t>Non-Functional</t>
        </is>
      </c>
      <c r="D651" s="13" t="inlineStr">
        <is>
          <t>TC-Stuck-19</t>
        </is>
      </c>
      <c r="E651" s="12" t="inlineStr">
        <is>
          <t>Detection Uses Indexed Access and Does Not Affect Live Latency</t>
        </is>
      </c>
      <c r="F651" s="13" t="inlineStr">
        <is>
          <t>High</t>
        </is>
      </c>
      <c r="G651" s="12" t="inlineStr">
        <is>
          <t>Production-scale data volume with live traffic</t>
        </is>
      </c>
      <c r="H651" s="12" t="inlineStr">
        <is>
          <t>1. Run detection under load
2. Capture query plans and live transaction latency</t>
        </is>
      </c>
      <c r="I651" s="12" t="inlineStr">
        <is>
          <t>Indexed access on reserve state and age with no full-table scan; live transaction latency is unaffected and nothing is locked or delayed</t>
        </is>
      </c>
      <c r="J651" s="13" t="inlineStr">
        <is>
          <t>Not Tested</t>
        </is>
      </c>
      <c r="K651" s="13" t="inlineStr">
        <is>
          <t>Performance / NFR</t>
        </is>
      </c>
    </row>
    <row r="652" ht="36" customHeight="1">
      <c r="A652" s="12" t="inlineStr">
        <is>
          <t>Balances &amp; Wallet Consistency (EMI-5944)</t>
        </is>
      </c>
      <c r="B652" s="12" t="inlineStr">
        <is>
          <t>Stuck Reserve Detection</t>
        </is>
      </c>
      <c r="C652" s="12" t="inlineStr">
        <is>
          <t>Non-Functional</t>
        </is>
      </c>
      <c r="D652" s="13" t="inlineStr">
        <is>
          <t>TC-Stuck-20</t>
        </is>
      </c>
      <c r="E652" s="12" t="inlineStr">
        <is>
          <t>Runs Are Resumable and Bounded in Memory</t>
        </is>
      </c>
      <c r="F652" s="13" t="inlineStr">
        <is>
          <t>Medium</t>
        </is>
      </c>
      <c r="G652" s="12" t="inlineStr">
        <is>
          <t>A large flagged population</t>
        </is>
      </c>
      <c r="H652" s="12" t="inlineStr">
        <is>
          <t>1. Interrupt a run and resume it
2. Profile memory</t>
        </is>
      </c>
      <c r="I652" s="12" t="inlineStr">
        <is>
          <t>The run resumes cleanly and memory use does not scale with the size of the population</t>
        </is>
      </c>
      <c r="J652" s="13" t="inlineStr">
        <is>
          <t>Not Tested</t>
        </is>
      </c>
      <c r="K652" s="13" t="inlineStr">
        <is>
          <t>Performance / NFR</t>
        </is>
      </c>
    </row>
    <row r="653" ht="36" customHeight="1">
      <c r="A653" s="12" t="inlineStr">
        <is>
          <t>Balances &amp; Wallet Consistency (EMI-5944)</t>
        </is>
      </c>
      <c r="B653" s="12" t="inlineStr">
        <is>
          <t>Stuck Reserve Detection</t>
        </is>
      </c>
      <c r="C653" s="12" t="inlineStr">
        <is>
          <t>Non-Functional</t>
        </is>
      </c>
      <c r="D653" s="13" t="inlineStr">
        <is>
          <t>TC-Stuck-21</t>
        </is>
      </c>
      <c r="E653" s="12" t="inlineStr">
        <is>
          <t>Flagged and Resolution History Is Immutable</t>
        </is>
      </c>
      <c r="F653" s="13" t="inlineStr">
        <is>
          <t>Medium</t>
        </is>
      </c>
      <c r="G653" s="12" t="inlineStr">
        <is>
          <t>Flagged and resolved items present</t>
        </is>
      </c>
      <c r="H653" s="12" t="inlineStr">
        <is>
          <t>1. Attempt to update or delete either</t>
        </is>
      </c>
      <c r="I653" s="12" t="inlineStr">
        <is>
          <t>Both are rejected; history is immutable and retained per audit policy</t>
        </is>
      </c>
      <c r="J653" s="13" t="inlineStr">
        <is>
          <t>Not Tested</t>
        </is>
      </c>
      <c r="K653" s="13" t="inlineStr">
        <is>
          <t>Negative</t>
        </is>
      </c>
    </row>
    <row r="654" ht="36" customHeight="1">
      <c r="A654" s="12" t="inlineStr">
        <is>
          <t>Balances &amp; Wallet Consistency (EMI-5944)</t>
        </is>
      </c>
      <c r="B654" s="12" t="inlineStr">
        <is>
          <t>Wallet Daily Close</t>
        </is>
      </c>
      <c r="C654" s="12" t="inlineStr">
        <is>
          <t>Compute</t>
        </is>
      </c>
      <c r="D654" s="13" t="inlineStr">
        <is>
          <t>TC-Close-01</t>
        </is>
      </c>
      <c r="E654" s="12" t="inlineStr">
        <is>
          <t>Normal Day With Zero Variance Seals Automatically</t>
        </is>
      </c>
      <c r="F654" s="13" t="inlineStr">
        <is>
          <t>High</t>
        </is>
      </c>
      <c r="G654" s="12" t="inlineStr">
        <is>
          <t>A trading day whose postings agree with the ledger; EOD cutoff configured</t>
        </is>
      </c>
      <c r="H654" s="12" t="inlineStr">
        <is>
          <t>1. Let the EOD job run
2. Inspect the close record</t>
        </is>
      </c>
      <c r="I654" s="12" t="inlineStr">
        <is>
          <t>Opening, per-bucket day movement and closing are computed; the verification run passes and the close is sealed automatically</t>
        </is>
      </c>
      <c r="J654" s="13" t="inlineStr">
        <is>
          <t>Not Tested</t>
        </is>
      </c>
      <c r="K654" s="13" t="inlineStr">
        <is>
          <t>Edge / Boundary</t>
        </is>
      </c>
    </row>
    <row r="655" ht="36" customHeight="1">
      <c r="A655" s="12" t="inlineStr">
        <is>
          <t>Balances &amp; Wallet Consistency (EMI-5944)</t>
        </is>
      </c>
      <c r="B655" s="12" t="inlineStr">
        <is>
          <t>Wallet Daily Close</t>
        </is>
      </c>
      <c r="C655" s="12" t="inlineStr">
        <is>
          <t>Compute</t>
        </is>
      </c>
      <c r="D655" s="13" t="inlineStr">
        <is>
          <t>TC-Close-02</t>
        </is>
      </c>
      <c r="E655" s="12" t="inlineStr">
        <is>
          <t>Opening Equals the Prior Sealed Closing</t>
        </is>
      </c>
      <c r="F655" s="13" t="inlineStr">
        <is>
          <t>High</t>
        </is>
      </c>
      <c r="G655" s="12" t="inlineStr">
        <is>
          <t>A wallet with a sealed close for the prior day</t>
        </is>
      </c>
      <c r="H655" s="12" t="inlineStr">
        <is>
          <t>1. Run the close for today
2. Compare today's opening against yesterday's sealed closing, bucket by bucket</t>
        </is>
      </c>
      <c r="I655" s="12" t="inlineStr">
        <is>
          <t>Today's opening is identical to yesterday's sealed closing on every bucket</t>
        </is>
      </c>
      <c r="J655" s="13" t="inlineStr">
        <is>
          <t>Not Tested</t>
        </is>
      </c>
      <c r="K655" s="13" t="inlineStr">
        <is>
          <t>Functional</t>
        </is>
      </c>
    </row>
    <row r="656" ht="36" customHeight="1">
      <c r="A656" s="12" t="inlineStr">
        <is>
          <t>Balances &amp; Wallet Consistency (EMI-5944)</t>
        </is>
      </c>
      <c r="B656" s="12" t="inlineStr">
        <is>
          <t>Wallet Daily Close</t>
        </is>
      </c>
      <c r="C656" s="12" t="inlineStr">
        <is>
          <t>Compute</t>
        </is>
      </c>
      <c r="D656" s="13" t="inlineStr">
        <is>
          <t>TC-Close-03</t>
        </is>
      </c>
      <c r="E656" s="12" t="inlineStr">
        <is>
          <t>Day Movement Derived From the Transaction Log via the Shared Mapping</t>
        </is>
      </c>
      <c r="F656" s="13" t="inlineStr">
        <is>
          <t>High</t>
        </is>
      </c>
      <c r="G656" s="12" t="inlineStr">
        <is>
          <t>A day with postings across several transaction types</t>
        </is>
      </c>
      <c r="H656" s="12" t="inlineStr">
        <is>
          <t>1. Run the close
2. Trace the derivation of the day's per-bucket sums</t>
        </is>
      </c>
      <c r="I656" s="12" t="inlineStr">
        <is>
          <t>Sums are derived from transaction_log using the EMI-602 status x direction mapping, consumed from the shared definition rather than re-implemented</t>
        </is>
      </c>
      <c r="J656" s="13" t="inlineStr">
        <is>
          <t>Not Tested</t>
        </is>
      </c>
      <c r="K656" s="13" t="inlineStr">
        <is>
          <t>Integration</t>
        </is>
      </c>
    </row>
    <row r="657" ht="36" customHeight="1">
      <c r="A657" s="12" t="inlineStr">
        <is>
          <t>Balances &amp; Wallet Consistency (EMI-5944)</t>
        </is>
      </c>
      <c r="B657" s="12" t="inlineStr">
        <is>
          <t>Wallet Daily Close</t>
        </is>
      </c>
      <c r="C657" s="12" t="inlineStr">
        <is>
          <t>Compute</t>
        </is>
      </c>
      <c r="D657" s="13" t="inlineStr">
        <is>
          <t>TC-Close-04</t>
        </is>
      </c>
      <c r="E657" s="12" t="inlineStr">
        <is>
          <t>Identity Asserted on Every Close</t>
        </is>
      </c>
      <c r="F657" s="13" t="inlineStr">
        <is>
          <t>High</t>
        </is>
      </c>
      <c r="G657" s="12" t="inlineStr">
        <is>
          <t>Any close</t>
        </is>
      </c>
      <c r="H657" s="12" t="inlineStr">
        <is>
          <t>1. Run the close
2. Assert current = available + reserve_debit on the closing figures</t>
        </is>
      </c>
      <c r="I657" s="12" t="inlineStr">
        <is>
          <t>The identity holds on every sealed close; a close that violates it is never sealed</t>
        </is>
      </c>
      <c r="J657" s="13" t="inlineStr">
        <is>
          <t>Not Tested</t>
        </is>
      </c>
      <c r="K657" s="13" t="inlineStr">
        <is>
          <t>Functional</t>
        </is>
      </c>
    </row>
    <row r="658" ht="36" customHeight="1">
      <c r="A658" s="12" t="inlineStr">
        <is>
          <t>Balances &amp; Wallet Consistency (EMI-5944)</t>
        </is>
      </c>
      <c r="B658" s="12" t="inlineStr">
        <is>
          <t>Wallet Daily Close</t>
        </is>
      </c>
      <c r="C658" s="12" t="inlineStr">
        <is>
          <t>Continuity</t>
        </is>
      </c>
      <c r="D658" s="13" t="inlineStr">
        <is>
          <t>TC-Close-05</t>
        </is>
      </c>
      <c r="E658" s="12" t="inlineStr">
        <is>
          <t>Continuity Violation Blocks Sealing and Raises an Exception</t>
        </is>
      </c>
      <c r="F658" s="13" t="inlineStr">
        <is>
          <t>High</t>
        </is>
      </c>
      <c r="G658" s="12" t="inlineStr">
        <is>
          <t>A wallet whose opening does not equal the prior sealed closing</t>
        </is>
      </c>
      <c r="H658" s="12" t="inlineStr">
        <is>
          <t>1. Run the close
2. Inspect the outcome and the exception channel</t>
        </is>
      </c>
      <c r="I658" s="12" t="inlineStr">
        <is>
          <t>Sealing is blocked and an exception is raised; the discrepancy is never auto-corrected</t>
        </is>
      </c>
      <c r="J658" s="13" t="inlineStr">
        <is>
          <t>Not Tested</t>
        </is>
      </c>
      <c r="K658" s="13" t="inlineStr">
        <is>
          <t>Integration</t>
        </is>
      </c>
    </row>
    <row r="659" ht="36" customHeight="1">
      <c r="A659" s="12" t="inlineStr">
        <is>
          <t>Balances &amp; Wallet Consistency (EMI-5944)</t>
        </is>
      </c>
      <c r="B659" s="12" t="inlineStr">
        <is>
          <t>Wallet Daily Close</t>
        </is>
      </c>
      <c r="C659" s="12" t="inlineStr">
        <is>
          <t>Seal</t>
        </is>
      </c>
      <c r="D659" s="13" t="inlineStr">
        <is>
          <t>TC-Close-06</t>
        </is>
      </c>
      <c r="E659" s="12" t="inlineStr">
        <is>
          <t>Sealing Requires a Passing Verification Run or a Signed-Off Variance</t>
        </is>
      </c>
      <c r="F659" s="13" t="inlineStr">
        <is>
          <t>High</t>
        </is>
      </c>
      <c r="G659" s="12" t="inlineStr">
        <is>
          <t>A day with recorded variance against the ledger</t>
        </is>
      </c>
      <c r="H659" s="12" t="inlineStr">
        <is>
          <t>1. Run the close with the variance present
2. Attempt to seal without sign-off
3. Sign off as Finance Lead</t>
        </is>
      </c>
      <c r="I659" s="12" t="inlineStr">
        <is>
          <t>Sealing is held until either verification passes with zero variance and estate tie-out, or the Finance Lead signs off the recorded variance; the variance is recorded on the close</t>
        </is>
      </c>
      <c r="J659" s="13" t="inlineStr">
        <is>
          <t>Not Tested</t>
        </is>
      </c>
      <c r="K659" s="13" t="inlineStr">
        <is>
          <t>Edge / Boundary</t>
        </is>
      </c>
    </row>
    <row r="660" ht="36" customHeight="1">
      <c r="A660" s="12" t="inlineStr">
        <is>
          <t>Balances &amp; Wallet Consistency (EMI-5944)</t>
        </is>
      </c>
      <c r="B660" s="12" t="inlineStr">
        <is>
          <t>Wallet Daily Close</t>
        </is>
      </c>
      <c r="C660" s="12" t="inlineStr">
        <is>
          <t>Seal</t>
        </is>
      </c>
      <c r="D660" s="13" t="inlineStr">
        <is>
          <t>TC-Close-07</t>
        </is>
      </c>
      <c r="E660" s="12" t="inlineStr">
        <is>
          <t>Sealed Records Are Immutable</t>
        </is>
      </c>
      <c r="F660" s="13" t="inlineStr">
        <is>
          <t>High</t>
        </is>
      </c>
      <c r="G660" s="12" t="inlineStr">
        <is>
          <t>A sealed close</t>
        </is>
      </c>
      <c r="H660" s="12" t="inlineStr">
        <is>
          <t>1. Attempt to update the sealed close
2. Attempt to delete it</t>
        </is>
      </c>
      <c r="I660" s="12" t="inlineStr">
        <is>
          <t>Both are rejected; no update or delete path exists for a sealed close</t>
        </is>
      </c>
      <c r="J660" s="13" t="inlineStr">
        <is>
          <t>Not Tested</t>
        </is>
      </c>
      <c r="K660" s="13" t="inlineStr">
        <is>
          <t>Negative</t>
        </is>
      </c>
    </row>
    <row r="661" ht="36" customHeight="1">
      <c r="A661" s="12" t="inlineStr">
        <is>
          <t>Balances &amp; Wallet Consistency (EMI-5944)</t>
        </is>
      </c>
      <c r="B661" s="12" t="inlineStr">
        <is>
          <t>Wallet Daily Close</t>
        </is>
      </c>
      <c r="C661" s="12" t="inlineStr">
        <is>
          <t>Cutoff</t>
        </is>
      </c>
      <c r="D661" s="13" t="inlineStr">
        <is>
          <t>TC-Close-08</t>
        </is>
      </c>
      <c r="E661" s="12" t="inlineStr">
        <is>
          <t>Postings After Sealing Belong to the Next Business Day</t>
        </is>
      </c>
      <c r="F661" s="13" t="inlineStr">
        <is>
          <t>High</t>
        </is>
      </c>
      <c r="G661" s="12" t="inlineStr">
        <is>
          <t>A sealed close for the day</t>
        </is>
      </c>
      <c r="H661" s="12" t="inlineStr">
        <is>
          <t>1. Post a transaction after the seal
2. Inspect the sealed record and the next day's opening</t>
        </is>
      </c>
      <c r="I661" s="12" t="inlineStr">
        <is>
          <t>The posting lands in the next business day; the sealed close is untouched and history is not mutated</t>
        </is>
      </c>
      <c r="J661" s="13" t="inlineStr">
        <is>
          <t>Not Tested</t>
        </is>
      </c>
      <c r="K661" s="13" t="inlineStr">
        <is>
          <t>Functional</t>
        </is>
      </c>
    </row>
    <row r="662" ht="36" customHeight="1">
      <c r="A662" s="12" t="inlineStr">
        <is>
          <t>Balances &amp; Wallet Consistency (EMI-5944)</t>
        </is>
      </c>
      <c r="B662" s="12" t="inlineStr">
        <is>
          <t>Wallet Daily Close</t>
        </is>
      </c>
      <c r="C662" s="12" t="inlineStr">
        <is>
          <t>Cutoff</t>
        </is>
      </c>
      <c r="D662" s="13" t="inlineStr">
        <is>
          <t>TC-Close-09</t>
        </is>
      </c>
      <c r="E662" s="12" t="inlineStr">
        <is>
          <t>EOD Cutoff Time Is Configurable</t>
        </is>
      </c>
      <c r="F662" s="13" t="inlineStr">
        <is>
          <t>Medium</t>
        </is>
      </c>
      <c r="G662" s="12" t="inlineStr">
        <is>
          <t>Cutoff configuration accessible</t>
        </is>
      </c>
      <c r="H662" s="12" t="inlineStr">
        <is>
          <t>1. Change the EOD cutoff
2. Run the close</t>
        </is>
      </c>
      <c r="I662" s="12" t="inlineStr">
        <is>
          <t>The new cutoff takes effect and determines which postings fall into the day</t>
        </is>
      </c>
      <c r="J662" s="13" t="inlineStr">
        <is>
          <t>Not Tested</t>
        </is>
      </c>
      <c r="K662" s="13" t="inlineStr">
        <is>
          <t>Functional</t>
        </is>
      </c>
    </row>
    <row r="663" ht="36" customHeight="1">
      <c r="A663" s="12" t="inlineStr">
        <is>
          <t>Balances &amp; Wallet Consistency (EMI-5944)</t>
        </is>
      </c>
      <c r="B663" s="12" t="inlineStr">
        <is>
          <t>Wallet Daily Close</t>
        </is>
      </c>
      <c r="C663" s="12" t="inlineStr">
        <is>
          <t>Anchor</t>
        </is>
      </c>
      <c r="D663" s="13" t="inlineStr">
        <is>
          <t>TC-Close-10</t>
        </is>
      </c>
      <c r="E663" s="12" t="inlineStr">
        <is>
          <t>Rebuild Consumes the Sealed Close as Its Anchor</t>
        </is>
      </c>
      <c r="F663" s="13" t="inlineStr">
        <is>
          <t>High</t>
        </is>
      </c>
      <c r="G663" s="12" t="inlineStr">
        <is>
          <t>A sealed close and a rebuild window starting after it</t>
        </is>
      </c>
      <c r="H663" s="12" t="inlineStr">
        <is>
          <t>1. Trigger an EMI-5945 rebuild
2. Inspect the anchor it uses</t>
        </is>
      </c>
      <c r="I663" s="12" t="inlineStr">
        <is>
          <t>The rebuild anchors on the sealed close rather than on a running-balance entry or on the live wallet balance, which would be circular</t>
        </is>
      </c>
      <c r="J663" s="13" t="inlineStr">
        <is>
          <t>Not Tested</t>
        </is>
      </c>
      <c r="K663" s="13" t="inlineStr">
        <is>
          <t>Functional</t>
        </is>
      </c>
    </row>
    <row r="664" ht="36" customHeight="1">
      <c r="A664" s="12" t="inlineStr">
        <is>
          <t>Balances &amp; Wallet Consistency (EMI-5944)</t>
        </is>
      </c>
      <c r="B664" s="12" t="inlineStr">
        <is>
          <t>Wallet Daily Close</t>
        </is>
      </c>
      <c r="C664" s="12" t="inlineStr">
        <is>
          <t>Anchor</t>
        </is>
      </c>
      <c r="D664" s="13" t="inlineStr">
        <is>
          <t>TC-Close-11</t>
        </is>
      </c>
      <c r="E664" s="12" t="inlineStr">
        <is>
          <t>Rebuild Across an Unsealed Boundary Is Rejected Without Override</t>
        </is>
      </c>
      <c r="F664" s="13" t="inlineStr">
        <is>
          <t>High</t>
        </is>
      </c>
      <c r="G664" s="12" t="inlineStr">
        <is>
          <t>A rebuild window crossing a day that has not been sealed</t>
        </is>
      </c>
      <c r="H664" s="12" t="inlineStr">
        <is>
          <t>1. Request the rebuild without an override
2. Request it with a Finance Lead override</t>
        </is>
      </c>
      <c r="I664" s="12" t="inlineStr">
        <is>
          <t>The first is rejected; the second proceeds and the override is recorded on the run</t>
        </is>
      </c>
      <c r="J664" s="13" t="inlineStr">
        <is>
          <t>Not Tested</t>
        </is>
      </c>
      <c r="K664" s="13" t="inlineStr">
        <is>
          <t>Negative</t>
        </is>
      </c>
    </row>
    <row r="665" ht="36" customHeight="1">
      <c r="A665" s="12" t="inlineStr">
        <is>
          <t>Balances &amp; Wallet Consistency (EMI-5944)</t>
        </is>
      </c>
      <c r="B665" s="12" t="inlineStr">
        <is>
          <t>Wallet Daily Close</t>
        </is>
      </c>
      <c r="C665" s="12" t="inlineStr">
        <is>
          <t>Genesis</t>
        </is>
      </c>
      <c r="D665" s="13" t="inlineStr">
        <is>
          <t>TC-Close-12</t>
        </is>
      </c>
      <c r="E665" s="12" t="inlineStr">
        <is>
          <t>Genesis Wallet Opens at Zero Across All Four Buckets</t>
        </is>
      </c>
      <c r="F665" s="13" t="inlineStr">
        <is>
          <t>Medium</t>
        </is>
      </c>
      <c r="G665" s="12" t="inlineStr">
        <is>
          <t>A wallet with no prior close</t>
        </is>
      </c>
      <c r="H665" s="12" t="inlineStr">
        <is>
          <t>1. Run its first close
2. Inspect the opening figures</t>
        </is>
      </c>
      <c r="I665" s="12" t="inlineStr">
        <is>
          <t>It opens at zero on all four buckets and the genesis condition is recorded</t>
        </is>
      </c>
      <c r="J665" s="13" t="inlineStr">
        <is>
          <t>Not Tested</t>
        </is>
      </c>
      <c r="K665" s="13" t="inlineStr">
        <is>
          <t>Edge / Boundary</t>
        </is>
      </c>
    </row>
    <row r="666" ht="36" customHeight="1">
      <c r="A666" s="12" t="inlineStr">
        <is>
          <t>Balances &amp; Wallet Consistency (EMI-5944)</t>
        </is>
      </c>
      <c r="B666" s="12" t="inlineStr">
        <is>
          <t>Wallet Daily Close</t>
        </is>
      </c>
      <c r="C666" s="12" t="inlineStr">
        <is>
          <t>Evidence</t>
        </is>
      </c>
      <c r="D666" s="13" t="inlineStr">
        <is>
          <t>TC-Close-13</t>
        </is>
      </c>
      <c r="E666" s="12" t="inlineStr">
        <is>
          <t>Closes Are Exportable as Daily Reconciliation Evidence</t>
        </is>
      </c>
      <c r="F666" s="13" t="inlineStr">
        <is>
          <t>High</t>
        </is>
      </c>
      <c r="G666" s="12" t="inlineStr">
        <is>
          <t>Sealed closes across a period</t>
        </is>
      </c>
      <c r="H666" s="12" t="inlineStr">
        <is>
          <t>1. Export the closes as CSV and as PDF</t>
        </is>
      </c>
      <c r="I666" s="12" t="inlineStr">
        <is>
          <t>Both exports succeed and are usable as daily reconciliation evidence for SAMA safeguarding purposes</t>
        </is>
      </c>
      <c r="J666" s="13" t="inlineStr">
        <is>
          <t>Not Tested</t>
        </is>
      </c>
      <c r="K666" s="13" t="inlineStr">
        <is>
          <t>Reporting</t>
        </is>
      </c>
    </row>
    <row r="667" ht="36" customHeight="1">
      <c r="A667" s="12" t="inlineStr">
        <is>
          <t>Balances &amp; Wallet Consistency (EMI-5944)</t>
        </is>
      </c>
      <c r="B667" s="12" t="inlineStr">
        <is>
          <t>Wallet Daily Close</t>
        </is>
      </c>
      <c r="C667" s="12" t="inlineStr">
        <is>
          <t>Evidence</t>
        </is>
      </c>
      <c r="D667" s="13" t="inlineStr">
        <is>
          <t>TC-Close-14</t>
        </is>
      </c>
      <c r="E667" s="12" t="inlineStr">
        <is>
          <t>Closes Are Retained Per Audit Policy</t>
        </is>
      </c>
      <c r="F667" s="13" t="inlineStr">
        <is>
          <t>Medium</t>
        </is>
      </c>
      <c r="G667" s="12" t="inlineStr">
        <is>
          <t>Sealed closes older than the active window</t>
        </is>
      </c>
      <c r="H667" s="12" t="inlineStr">
        <is>
          <t>1. Query historical closes</t>
        </is>
      </c>
      <c r="I667" s="12" t="inlineStr">
        <is>
          <t>They are retained and queryable per the platform audit retention policy</t>
        </is>
      </c>
      <c r="J667" s="13" t="inlineStr">
        <is>
          <t>Not Tested</t>
        </is>
      </c>
      <c r="K667" s="13" t="inlineStr">
        <is>
          <t>Reporting</t>
        </is>
      </c>
    </row>
    <row r="668" ht="36" customHeight="1">
      <c r="A668" s="12" t="inlineStr">
        <is>
          <t>Balances &amp; Wallet Consistency (EMI-5944)</t>
        </is>
      </c>
      <c r="B668" s="12" t="inlineStr">
        <is>
          <t>Wallet Daily Close</t>
        </is>
      </c>
      <c r="C668" s="12" t="inlineStr">
        <is>
          <t>Integration</t>
        </is>
      </c>
      <c r="D668" s="13" t="inlineStr">
        <is>
          <t>TC-Close-15</t>
        </is>
      </c>
      <c r="E668" s="12" t="inlineStr">
        <is>
          <t>Balance Variance at Close Invokes Recompute</t>
        </is>
      </c>
      <c r="F668" s="13" t="inlineStr">
        <is>
          <t>High</t>
        </is>
      </c>
      <c r="G668" s="12" t="inlineStr">
        <is>
          <t>A day whose close verification finds a balance variance</t>
        </is>
      </c>
      <c r="H668" s="12" t="inlineStr">
        <is>
          <t>1. Run the close
2. Observe what is invoked</t>
        </is>
      </c>
      <c r="I668" s="12" t="inlineStr">
        <is>
          <t>EMI-5946 recompute is invoked for the affected scope; the close is not sealed until the position is resolved or signed off</t>
        </is>
      </c>
      <c r="J668" s="13" t="inlineStr">
        <is>
          <t>Not Tested</t>
        </is>
      </c>
      <c r="K668" s="13" t="inlineStr">
        <is>
          <t>Integration</t>
        </is>
      </c>
    </row>
    <row r="669" ht="36" customHeight="1">
      <c r="A669" s="12" t="inlineStr">
        <is>
          <t>Balances &amp; Wallet Consistency (EMI-5944)</t>
        </is>
      </c>
      <c r="B669" s="12" t="inlineStr">
        <is>
          <t>Wallet Daily Close</t>
        </is>
      </c>
      <c r="C669" s="12" t="inlineStr">
        <is>
          <t>Integration</t>
        </is>
      </c>
      <c r="D669" s="13" t="inlineStr">
        <is>
          <t>TC-Close-16</t>
        </is>
      </c>
      <c r="E669" s="12" t="inlineStr">
        <is>
          <t>Estate Tie-Out Feeds the Sealing Gate</t>
        </is>
      </c>
      <c r="F669" s="13" t="inlineStr">
        <is>
          <t>High</t>
        </is>
      </c>
      <c r="G669" s="12" t="inlineStr">
        <is>
          <t>A day where the estate tie-out fails</t>
        </is>
      </c>
      <c r="H669" s="12" t="inlineStr">
        <is>
          <t>1. Run the close</t>
        </is>
      </c>
      <c r="I669" s="12" t="inlineStr">
        <is>
          <t>The EMI-5950 estate tie-out result gates sealing; a failed tie-out prevents an automatic seal</t>
        </is>
      </c>
      <c r="J669" s="13" t="inlineStr">
        <is>
          <t>Not Tested</t>
        </is>
      </c>
      <c r="K669" s="13" t="inlineStr">
        <is>
          <t>Integration</t>
        </is>
      </c>
    </row>
    <row r="670" ht="36" customHeight="1">
      <c r="A670" s="12" t="inlineStr">
        <is>
          <t>Balances &amp; Wallet Consistency (EMI-5944)</t>
        </is>
      </c>
      <c r="B670" s="12" t="inlineStr">
        <is>
          <t>Wallet Daily Close</t>
        </is>
      </c>
      <c r="C670" s="12" t="inlineStr">
        <is>
          <t>Integration</t>
        </is>
      </c>
      <c r="D670" s="13" t="inlineStr">
        <is>
          <t>TC-Close-17</t>
        </is>
      </c>
      <c r="E670" s="12" t="inlineStr">
        <is>
          <t>Adjustments Posted After a Seal Land in the Next Business Day</t>
        </is>
      </c>
      <c r="F670" s="13" t="inlineStr">
        <is>
          <t>High</t>
        </is>
      </c>
      <c r="G670" s="12" t="inlineStr">
        <is>
          <t>A sealed close followed by a reconciliation adjustment posting</t>
        </is>
      </c>
      <c r="H670" s="12" t="inlineStr">
        <is>
          <t>1. Post an EMI-5955 adjustment after the seal
2. Inspect both days</t>
        </is>
      </c>
      <c r="I670" s="12" t="inlineStr">
        <is>
          <t>The adjustment belongs to the next business day; the sealed close is unchanged</t>
        </is>
      </c>
      <c r="J670" s="13" t="inlineStr">
        <is>
          <t>Not Tested</t>
        </is>
      </c>
      <c r="K670" s="13" t="inlineStr">
        <is>
          <t>Integration</t>
        </is>
      </c>
    </row>
    <row r="671" ht="36" customHeight="1">
      <c r="A671" s="12" t="inlineStr">
        <is>
          <t>Balances &amp; Wallet Consistency (EMI-5944)</t>
        </is>
      </c>
      <c r="B671" s="12" t="inlineStr">
        <is>
          <t>Wallet Daily Close</t>
        </is>
      </c>
      <c r="C671" s="12" t="inlineStr">
        <is>
          <t>Non-Functional</t>
        </is>
      </c>
      <c r="D671" s="13" t="inlineStr">
        <is>
          <t>TC-Close-18</t>
        </is>
      </c>
      <c r="E671" s="12" t="inlineStr">
        <is>
          <t>Set-Based Computation With Indexed Access</t>
        </is>
      </c>
      <c r="F671" s="13" t="inlineStr">
        <is>
          <t>High</t>
        </is>
      </c>
      <c r="G671" s="12" t="inlineStr">
        <is>
          <t>Production-scale data volume</t>
        </is>
      </c>
      <c r="H671" s="12" t="inlineStr">
        <is>
          <t>1. Run the estate close and capture query plans and timing</t>
        </is>
      </c>
      <c r="I671" s="12" t="inlineStr">
        <is>
          <t>Computation is set-based and indexed on (wallet_id, posting_time), streams in bounded batches with no full-table scan, and completes inside the maintenance window</t>
        </is>
      </c>
      <c r="J671" s="13" t="inlineStr">
        <is>
          <t>Not Tested</t>
        </is>
      </c>
      <c r="K671" s="13" t="inlineStr">
        <is>
          <t>Performance / NFR</t>
        </is>
      </c>
    </row>
    <row r="672" ht="36" customHeight="1">
      <c r="A672" s="12" t="inlineStr">
        <is>
          <t>Balances &amp; Wallet Consistency (EMI-5944)</t>
        </is>
      </c>
      <c r="B672" s="12" t="inlineStr">
        <is>
          <t>Wallet Daily Close</t>
        </is>
      </c>
      <c r="C672" s="12" t="inlineStr">
        <is>
          <t>Non-Functional</t>
        </is>
      </c>
      <c r="D672" s="13" t="inlineStr">
        <is>
          <t>TC-Close-19</t>
        </is>
      </c>
      <c r="E672" s="12" t="inlineStr">
        <is>
          <t>Monetary Precision</t>
        </is>
      </c>
      <c r="F672" s="13" t="inlineStr">
        <is>
          <t>Medium</t>
        </is>
      </c>
      <c r="G672" s="12" t="inlineStr">
        <is>
          <t>Any close</t>
        </is>
      </c>
      <c r="H672" s="12" t="inlineStr">
        <is>
          <t>1. Inspect the arithmetic types used</t>
        </is>
      </c>
      <c r="I672" s="12" t="inlineStr">
        <is>
          <t>The platform monetary type is used with no float; currency SAR</t>
        </is>
      </c>
      <c r="J672" s="13" t="inlineStr">
        <is>
          <t>Not Tested</t>
        </is>
      </c>
      <c r="K672" s="13" t="inlineStr">
        <is>
          <t>Performance / NFR</t>
        </is>
      </c>
    </row>
    <row r="673" ht="36" customHeight="1">
      <c r="A673" s="12" t="inlineStr">
        <is>
          <t>Balances &amp; Wallet Consistency (EMI-5944)</t>
        </is>
      </c>
      <c r="B673" s="12" t="inlineStr">
        <is>
          <t>Wallet Daily Close</t>
        </is>
      </c>
      <c r="C673" s="12" t="inlineStr">
        <is>
          <t>Non-Functional</t>
        </is>
      </c>
      <c r="D673" s="13" t="inlineStr">
        <is>
          <t>TC-Close-20</t>
        </is>
      </c>
      <c r="E673" s="12" t="inlineStr">
        <is>
          <t>Close Does Not Block Live Traffic</t>
        </is>
      </c>
      <c r="F673" s="13" t="inlineStr">
        <is>
          <t>Medium</t>
        </is>
      </c>
      <c r="G673" s="12" t="inlineStr">
        <is>
          <t>Live traffic during the EOD window</t>
        </is>
      </c>
      <c r="H673" s="12" t="inlineStr">
        <is>
          <t>1. Transact while the close job runs</t>
        </is>
      </c>
      <c r="I673" s="12" t="inlineStr">
        <is>
          <t>Live transactions are unaffected; the job holds no long locks</t>
        </is>
      </c>
      <c r="J673" s="13" t="inlineStr">
        <is>
          <t>Not Tested</t>
        </is>
      </c>
      <c r="K673" s="13" t="inlineStr">
        <is>
          <t>Performance / NFR</t>
        </is>
      </c>
    </row>
    <row r="674" ht="36" customHeight="1">
      <c r="A674" s="12" t="inlineStr">
        <is>
          <t>Balances &amp; Wallet Consistency (EMI-5944)</t>
        </is>
      </c>
      <c r="B674" s="12" t="inlineStr">
        <is>
          <t>EMI_MISSING Resolution</t>
        </is>
      </c>
      <c r="C674" s="12" t="inlineStr">
        <is>
          <t>Auto Path</t>
        </is>
      </c>
      <c r="D674" s="13" t="inlineStr">
        <is>
          <t>TC-Missing-01</t>
        </is>
      </c>
      <c r="E674" s="12" t="inlineStr">
        <is>
          <t>Item Passing All Checks Is Auto-Inserted as an Adjustment Posting</t>
        </is>
      </c>
      <c r="F674" s="13" t="inlineStr">
        <is>
          <t>High</t>
        </is>
      </c>
      <c r="G674" s="12" t="inlineStr">
        <is>
          <t>An EMI_MISSING bank-statement item that passes limits, balance rules and wallet status/KYC checks</t>
        </is>
      </c>
      <c r="H674" s="12" t="inlineStr">
        <is>
          <t>1. Run reconciliation over the statement
2. Inspect the resulting posting</t>
        </is>
      </c>
      <c r="I674" s="12" t="inlineStr">
        <is>
          <t>An appended adjustment posting is created with transaction type RECON_ADJUSTMENT, carrying the recon_id and the bank statement reference</t>
        </is>
      </c>
      <c r="J674" s="13" t="inlineStr">
        <is>
          <t>Not Tested</t>
        </is>
      </c>
      <c r="K674" s="13" t="inlineStr">
        <is>
          <t>Functional</t>
        </is>
      </c>
    </row>
    <row r="675" ht="36" customHeight="1">
      <c r="A675" s="12" t="inlineStr">
        <is>
          <t>Balances &amp; Wallet Consistency (EMI-5944)</t>
        </is>
      </c>
      <c r="B675" s="12" t="inlineStr">
        <is>
          <t>EMI_MISSING Resolution</t>
        </is>
      </c>
      <c r="C675" s="12" t="inlineStr">
        <is>
          <t>Auto Path</t>
        </is>
      </c>
      <c r="D675" s="13" t="inlineStr">
        <is>
          <t>TC-Missing-02</t>
        </is>
      </c>
      <c r="E675" s="12" t="inlineStr">
        <is>
          <t>Adjustment Carries the Bank Statement Reference</t>
        </is>
      </c>
      <c r="F675" s="13" t="inlineStr">
        <is>
          <t>High</t>
        </is>
      </c>
      <c r="G675" s="12" t="inlineStr">
        <is>
          <t>An auto-inserted adjustment</t>
        </is>
      </c>
      <c r="H675" s="12" t="inlineStr">
        <is>
          <t>1. Inspect the posting's references</t>
        </is>
      </c>
      <c r="I675" s="12" t="inlineStr">
        <is>
          <t>It carries both the recon_id and the bank statement reference (AcctSvcrRef or entry ref), so it is traceable back to the source statement line</t>
        </is>
      </c>
      <c r="J675" s="13" t="inlineStr">
        <is>
          <t>Not Tested</t>
        </is>
      </c>
      <c r="K675" s="13" t="inlineStr">
        <is>
          <t>Integration</t>
        </is>
      </c>
    </row>
    <row r="676" ht="36" customHeight="1">
      <c r="A676" s="12" t="inlineStr">
        <is>
          <t>Balances &amp; Wallet Consistency (EMI-5944)</t>
        </is>
      </c>
      <c r="B676" s="12" t="inlineStr">
        <is>
          <t>EMI_MISSING Resolution</t>
        </is>
      </c>
      <c r="C676" s="12" t="inlineStr">
        <is>
          <t>Auto Path</t>
        </is>
      </c>
      <c r="D676" s="13" t="inlineStr">
        <is>
          <t>TC-Missing-03</t>
        </is>
      </c>
      <c r="E676" s="12" t="inlineStr">
        <is>
          <t>Ledger History Is Never Edited</t>
        </is>
      </c>
      <c r="F676" s="13" t="inlineStr">
        <is>
          <t>High</t>
        </is>
      </c>
      <c r="G676" s="12" t="inlineStr">
        <is>
          <t>An EMI_MISSING item resolved automatically</t>
        </is>
      </c>
      <c r="H676" s="12" t="inlineStr">
        <is>
          <t>1. Compare the ledger before and after resolution</t>
        </is>
      </c>
      <c r="I676" s="12" t="inlineStr">
        <is>
          <t>No existing posting is edited or deleted; the resolution is purely an appended posting. The bank statement is the control we reconcile against, not a licence to edit our ledger</t>
        </is>
      </c>
      <c r="J676" s="13" t="inlineStr">
        <is>
          <t>Not Tested</t>
        </is>
      </c>
      <c r="K676" s="13" t="inlineStr">
        <is>
          <t>Functional</t>
        </is>
      </c>
    </row>
    <row r="677" ht="36" customHeight="1">
      <c r="A677" s="12" t="inlineStr">
        <is>
          <t>Balances &amp; Wallet Consistency (EMI-5944)</t>
        </is>
      </c>
      <c r="B677" s="12" t="inlineStr">
        <is>
          <t>EMI_MISSING Resolution</t>
        </is>
      </c>
      <c r="C677" s="12" t="inlineStr">
        <is>
          <t>Escalation</t>
        </is>
      </c>
      <c r="D677" s="13" t="inlineStr">
        <is>
          <t>TC-Missing-04</t>
        </is>
      </c>
      <c r="E677" s="12" t="inlineStr">
        <is>
          <t>Item Failing a Limit Check Is Escalated, Not Auto-Inserted</t>
        </is>
      </c>
      <c r="F677" s="13" t="inlineStr">
        <is>
          <t>High</t>
        </is>
      </c>
      <c r="G677" s="12" t="inlineStr">
        <is>
          <t>An EMI_MISSING item that breaches a configured limit</t>
        </is>
      </c>
      <c r="H677" s="12" t="inlineStr">
        <is>
          <t>1. Run reconciliation
2. Inspect the outcome</t>
        </is>
      </c>
      <c r="I677" s="12" t="inlineStr">
        <is>
          <t>The item goes to the exception queue for manual review; no posting is created automatically</t>
        </is>
      </c>
      <c r="J677" s="13" t="inlineStr">
        <is>
          <t>Not Tested</t>
        </is>
      </c>
      <c r="K677" s="13" t="inlineStr">
        <is>
          <t>Negative</t>
        </is>
      </c>
    </row>
    <row r="678" ht="36" customHeight="1">
      <c r="A678" s="12" t="inlineStr">
        <is>
          <t>Balances &amp; Wallet Consistency (EMI-5944)</t>
        </is>
      </c>
      <c r="B678" s="12" t="inlineStr">
        <is>
          <t>EMI_MISSING Resolution</t>
        </is>
      </c>
      <c r="C678" s="12" t="inlineStr">
        <is>
          <t>Escalation</t>
        </is>
      </c>
      <c r="D678" s="13" t="inlineStr">
        <is>
          <t>TC-Missing-05</t>
        </is>
      </c>
      <c r="E678" s="12" t="inlineStr">
        <is>
          <t>Item Failing a Wallet Status or KYC Check Is Escalated</t>
        </is>
      </c>
      <c r="F678" s="13" t="inlineStr">
        <is>
          <t>High</t>
        </is>
      </c>
      <c r="G678" s="12" t="inlineStr">
        <is>
          <t>An EMI_MISSING item for a wallet in a non-transactable or KYC-incomplete state</t>
        </is>
      </c>
      <c r="H678" s="12" t="inlineStr">
        <is>
          <t>1. Run reconciliation</t>
        </is>
      </c>
      <c r="I678" s="12" t="inlineStr">
        <is>
          <t>The item is escalated to the exception queue rather than auto-inserted</t>
        </is>
      </c>
      <c r="J678" s="13" t="inlineStr">
        <is>
          <t>Not Tested</t>
        </is>
      </c>
      <c r="K678" s="13" t="inlineStr">
        <is>
          <t>Negative</t>
        </is>
      </c>
    </row>
    <row r="679" ht="36" customHeight="1">
      <c r="A679" s="12" t="inlineStr">
        <is>
          <t>Balances &amp; Wallet Consistency (EMI-5944)</t>
        </is>
      </c>
      <c r="B679" s="12" t="inlineStr">
        <is>
          <t>EMI_MISSING Resolution</t>
        </is>
      </c>
      <c r="C679" s="12" t="inlineStr">
        <is>
          <t>Escalation</t>
        </is>
      </c>
      <c r="D679" s="13" t="inlineStr">
        <is>
          <t>TC-Missing-06</t>
        </is>
      </c>
      <c r="E679" s="12" t="inlineStr">
        <is>
          <t>Item Failing a Balance Rule Is Escalated</t>
        </is>
      </c>
      <c r="F679" s="13" t="inlineStr">
        <is>
          <t>Medium</t>
        </is>
      </c>
      <c r="G679" s="12" t="inlineStr">
        <is>
          <t>An EMI_MISSING item that would breach a balance rule</t>
        </is>
      </c>
      <c r="H679" s="12" t="inlineStr">
        <is>
          <t>1. Run reconciliation</t>
        </is>
      </c>
      <c r="I679" s="12" t="inlineStr">
        <is>
          <t>The item is escalated; the system does not resolve it silently</t>
        </is>
      </c>
      <c r="J679" s="13" t="inlineStr">
        <is>
          <t>Not Tested</t>
        </is>
      </c>
      <c r="K679" s="13" t="inlineStr">
        <is>
          <t>Negative</t>
        </is>
      </c>
    </row>
    <row r="680" ht="36" customHeight="1">
      <c r="A680" s="12" t="inlineStr">
        <is>
          <t>Balances &amp; Wallet Consistency (EMI-5944)</t>
        </is>
      </c>
      <c r="B680" s="12" t="inlineStr">
        <is>
          <t>EMI_MISSING Resolution</t>
        </is>
      </c>
      <c r="C680" s="12" t="inlineStr">
        <is>
          <t>Escalation</t>
        </is>
      </c>
      <c r="D680" s="13" t="inlineStr">
        <is>
          <t>TC-Missing-07</t>
        </is>
      </c>
      <c r="E680" s="12" t="inlineStr">
        <is>
          <t>Manual Resolution Is Also by Adjustment Posting With Reviewer Recorded</t>
        </is>
      </c>
      <c r="F680" s="13" t="inlineStr">
        <is>
          <t>High</t>
        </is>
      </c>
      <c r="G680" s="12" t="inlineStr">
        <is>
          <t>An escalated item in the exception queue</t>
        </is>
      </c>
      <c r="H680" s="12" t="inlineStr">
        <is>
          <t>1. Resolve it as a reviewer
2. Inspect the resulting posting and the audit record</t>
        </is>
      </c>
      <c r="I680" s="12" t="inlineStr">
        <is>
          <t>Resolution creates an appended adjustment posting like the auto path, and the reviewer's identity is recorded against it</t>
        </is>
      </c>
      <c r="J680" s="13" t="inlineStr">
        <is>
          <t>Not Tested</t>
        </is>
      </c>
      <c r="K680" s="13" t="inlineStr">
        <is>
          <t>Negative</t>
        </is>
      </c>
    </row>
    <row r="681" ht="36" customHeight="1">
      <c r="A681" s="12" t="inlineStr">
        <is>
          <t>Balances &amp; Wallet Consistency (EMI-5944)</t>
        </is>
      </c>
      <c r="B681" s="12" t="inlineStr">
        <is>
          <t>EMI_MISSING Resolution</t>
        </is>
      </c>
      <c r="C681" s="12" t="inlineStr">
        <is>
          <t>Projection</t>
        </is>
      </c>
      <c r="D681" s="13" t="inlineStr">
        <is>
          <t>TC-Missing-08</t>
        </is>
      </c>
      <c r="E681" s="12" t="inlineStr">
        <is>
          <t>Inserted Postings Flow Through the Normal CDC Path</t>
        </is>
      </c>
      <c r="F681" s="13" t="inlineStr">
        <is>
          <t>High</t>
        </is>
      </c>
      <c r="G681" s="12" t="inlineStr">
        <is>
          <t>An auto-inserted adjustment posting</t>
        </is>
      </c>
      <c r="H681" s="12" t="inlineStr">
        <is>
          <t>1. Trace how the posting reaches running_balance</t>
        </is>
      </c>
      <c r="I681" s="12" t="inlineStr">
        <is>
          <t>It flows through the normal CDC and consumer path; there is no direct running-balance write and no special-case code path</t>
        </is>
      </c>
      <c r="J681" s="13" t="inlineStr">
        <is>
          <t>Not Tested</t>
        </is>
      </c>
      <c r="K681" s="13" t="inlineStr">
        <is>
          <t>Integration</t>
        </is>
      </c>
    </row>
    <row r="682" ht="36" customHeight="1">
      <c r="A682" s="12" t="inlineStr">
        <is>
          <t>Balances &amp; Wallet Consistency (EMI-5944)</t>
        </is>
      </c>
      <c r="B682" s="12" t="inlineStr">
        <is>
          <t>EMI_MISSING Resolution</t>
        </is>
      </c>
      <c r="C682" s="12" t="inlineStr">
        <is>
          <t>Projection</t>
        </is>
      </c>
      <c r="D682" s="13" t="inlineStr">
        <is>
          <t>TC-Missing-09</t>
        </is>
      </c>
      <c r="E682" s="12" t="inlineStr">
        <is>
          <t>Resulting Balance Matches a Recompute</t>
        </is>
      </c>
      <c r="F682" s="13" t="inlineStr">
        <is>
          <t>High</t>
        </is>
      </c>
      <c r="G682" s="12" t="inlineStr">
        <is>
          <t>A wallet with an inserted adjustment posting</t>
        </is>
      </c>
      <c r="H682" s="12" t="inlineStr">
        <is>
          <t>1. Let the projection settle
2. Run an EMI-5946 recompute and compare</t>
        </is>
      </c>
      <c r="I682" s="12" t="inlineStr">
        <is>
          <t>The projected balance matches the ledger-derived recompute exactly; the adjustment is aggregated with no special-casing</t>
        </is>
      </c>
      <c r="J682" s="13" t="inlineStr">
        <is>
          <t>Not Tested</t>
        </is>
      </c>
      <c r="K682" s="13" t="inlineStr">
        <is>
          <t>Edge / Boundary</t>
        </is>
      </c>
    </row>
    <row r="683" ht="36" customHeight="1">
      <c r="A683" s="12" t="inlineStr">
        <is>
          <t>Balances &amp; Wallet Consistency (EMI-5944)</t>
        </is>
      </c>
      <c r="B683" s="12" t="inlineStr">
        <is>
          <t>EMI_MISSING Resolution</t>
        </is>
      </c>
      <c r="C683" s="12" t="inlineStr">
        <is>
          <t>Settled Corrections</t>
        </is>
      </c>
      <c r="D683" s="13" t="inlineStr">
        <is>
          <t>TC-Missing-10</t>
        </is>
      </c>
      <c r="E683" s="12" t="inlineStr">
        <is>
          <t>Status Mismatch Uses the Four-Step Pair-Adjustment Unwind</t>
        </is>
      </c>
      <c r="F683" s="13" t="inlineStr">
        <is>
          <t>High</t>
        </is>
      </c>
      <c r="G683" s="12" t="inlineStr">
        <is>
          <t>A settled transaction with a STATUS_MISMATCH against the bank statement</t>
        </is>
      </c>
      <c r="H683" s="12" t="inlineStr">
        <is>
          <t>1. Resolve the mismatch
2. Inspect the postings created</t>
        </is>
      </c>
      <c r="I683" s="12" t="inlineStr">
        <is>
          <t>The EMI-602 four-step pair-adjustment unwind is applied — reverse success, reverse pending, append new pending, append new success — as four appended entries with no edit</t>
        </is>
      </c>
      <c r="J683" s="13" t="inlineStr">
        <is>
          <t>Not Tested</t>
        </is>
      </c>
      <c r="K683" s="13" t="inlineStr">
        <is>
          <t>Functional</t>
        </is>
      </c>
    </row>
    <row r="684" ht="36" customHeight="1">
      <c r="A684" s="12" t="inlineStr">
        <is>
          <t>Balances &amp; Wallet Consistency (EMI-5944)</t>
        </is>
      </c>
      <c r="B684" s="12" t="inlineStr">
        <is>
          <t>EMI_MISSING Resolution</t>
        </is>
      </c>
      <c r="C684" s="12" t="inlineStr">
        <is>
          <t>Settled Corrections</t>
        </is>
      </c>
      <c r="D684" s="13" t="inlineStr">
        <is>
          <t>TC-Missing-11</t>
        </is>
      </c>
      <c r="E684" s="12" t="inlineStr">
        <is>
          <t>Amount Mismatch Uses the Same Unwind</t>
        </is>
      </c>
      <c r="F684" s="13" t="inlineStr">
        <is>
          <t>High</t>
        </is>
      </c>
      <c r="G684" s="12" t="inlineStr">
        <is>
          <t>A settled transaction with an AMOUNT_MISMATCH against the bank statement</t>
        </is>
      </c>
      <c r="H684" s="12" t="inlineStr">
        <is>
          <t>1. Resolve the mismatch
2. Inspect the postings and the resulting balance</t>
        </is>
      </c>
      <c r="I684" s="12" t="inlineStr">
        <is>
          <t>The four-step unwind is applied and the corrected amount is reflected; no posting is edited in place</t>
        </is>
      </c>
      <c r="J684" s="13" t="inlineStr">
        <is>
          <t>Not Tested</t>
        </is>
      </c>
      <c r="K684" s="13" t="inlineStr">
        <is>
          <t>Functional</t>
        </is>
      </c>
    </row>
    <row r="685" ht="36" customHeight="1">
      <c r="A685" s="12" t="inlineStr">
        <is>
          <t>Balances &amp; Wallet Consistency (EMI-5944)</t>
        </is>
      </c>
      <c r="B685" s="12" t="inlineStr">
        <is>
          <t>EMI_MISSING Resolution</t>
        </is>
      </c>
      <c r="C685" s="12" t="inlineStr">
        <is>
          <t>Settled Corrections</t>
        </is>
      </c>
      <c r="D685" s="13" t="inlineStr">
        <is>
          <t>TC-Missing-12</t>
        </is>
      </c>
      <c r="E685" s="12" t="inlineStr">
        <is>
          <t>Unwind Postings Replay and Recompute With No Special-Casing</t>
        </is>
      </c>
      <c r="F685" s="13" t="inlineStr">
        <is>
          <t>High</t>
        </is>
      </c>
      <c r="G685" s="12" t="inlineStr">
        <is>
          <t>A wallet carrying a completed pair-adjustment unwind</t>
        </is>
      </c>
      <c r="H685" s="12" t="inlineStr">
        <is>
          <t>1. Run an EMI-5946 recompute
2. Run an EMI-5945 rebuild over the range</t>
        </is>
      </c>
      <c r="I685" s="12" t="inlineStr">
        <is>
          <t>Both handle the four postings as ordinary postings and produce the corrected position</t>
        </is>
      </c>
      <c r="J685" s="13" t="inlineStr">
        <is>
          <t>Not Tested</t>
        </is>
      </c>
      <c r="K685" s="13" t="inlineStr">
        <is>
          <t>Integration</t>
        </is>
      </c>
    </row>
    <row r="686" ht="36" customHeight="1">
      <c r="A686" s="12" t="inlineStr">
        <is>
          <t>Balances &amp; Wallet Consistency (EMI-5944)</t>
        </is>
      </c>
      <c r="B686" s="12" t="inlineStr">
        <is>
          <t>EMI_MISSING Resolution</t>
        </is>
      </c>
      <c r="C686" s="12" t="inlineStr">
        <is>
          <t>Idempotency</t>
        </is>
      </c>
      <c r="D686" s="13" t="inlineStr">
        <is>
          <t>TC-Missing-13</t>
        </is>
      </c>
      <c r="E686" s="12" t="inlineStr">
        <is>
          <t>Re-Running Reconciliation Never Inserts the Same Adjustment Twice</t>
        </is>
      </c>
      <c r="F686" s="13" t="inlineStr">
        <is>
          <t>High</t>
        </is>
      </c>
      <c r="G686" s="12" t="inlineStr">
        <is>
          <t>A statement already reconciled once</t>
        </is>
      </c>
      <c r="H686" s="12" t="inlineStr">
        <is>
          <t>1. Re-run reconciliation over the same statement
2. Count the adjustment postings</t>
        </is>
      </c>
      <c r="I686" s="12" t="inlineStr">
        <is>
          <t>No duplicate adjustment is inserted; idempotency is keyed on the bank reference plus the recon scope</t>
        </is>
      </c>
      <c r="J686" s="13" t="inlineStr">
        <is>
          <t>Not Tested</t>
        </is>
      </c>
      <c r="K686" s="13" t="inlineStr">
        <is>
          <t>Integration</t>
        </is>
      </c>
    </row>
    <row r="687" ht="36" customHeight="1">
      <c r="A687" s="12" t="inlineStr">
        <is>
          <t>Balances &amp; Wallet Consistency (EMI-5944)</t>
        </is>
      </c>
      <c r="B687" s="12" t="inlineStr">
        <is>
          <t>EMI_MISSING Resolution</t>
        </is>
      </c>
      <c r="C687" s="12" t="inlineStr">
        <is>
          <t>Idempotency</t>
        </is>
      </c>
      <c r="D687" s="13" t="inlineStr">
        <is>
          <t>TC-Missing-14</t>
        </is>
      </c>
      <c r="E687" s="12" t="inlineStr">
        <is>
          <t>Partial Re-Run Over an Overlapping Statement Window</t>
        </is>
      </c>
      <c r="F687" s="13" t="inlineStr">
        <is>
          <t>High</t>
        </is>
      </c>
      <c r="G687" s="12" t="inlineStr">
        <is>
          <t>Two reconciliation runs whose statement windows overlap</t>
        </is>
      </c>
      <c r="H687" s="12" t="inlineStr">
        <is>
          <t>1. Run both
2. Inspect the postings for items in the overlap</t>
        </is>
      </c>
      <c r="I687" s="12" t="inlineStr">
        <is>
          <t>Items in the overlap are resolved exactly once; the overlap creates no duplicates</t>
        </is>
      </c>
      <c r="J687" s="13" t="inlineStr">
        <is>
          <t>Not Tested</t>
        </is>
      </c>
      <c r="K687" s="13" t="inlineStr">
        <is>
          <t>Integration</t>
        </is>
      </c>
    </row>
    <row r="688" ht="36" customHeight="1">
      <c r="A688" s="12" t="inlineStr">
        <is>
          <t>Balances &amp; Wallet Consistency (EMI-5944)</t>
        </is>
      </c>
      <c r="B688" s="12" t="inlineStr">
        <is>
          <t>EMI_MISSING Resolution</t>
        </is>
      </c>
      <c r="C688" s="12" t="inlineStr">
        <is>
          <t>Traceability</t>
        </is>
      </c>
      <c r="D688" s="13" t="inlineStr">
        <is>
          <t>TC-Missing-15</t>
        </is>
      </c>
      <c r="E688" s="12" t="inlineStr">
        <is>
          <t>Auto-Inserts Are Distinguishable From Organic Postings</t>
        </is>
      </c>
      <c r="F688" s="13" t="inlineStr">
        <is>
          <t>High</t>
        </is>
      </c>
      <c r="G688" s="12" t="inlineStr">
        <is>
          <t>A ledger containing both auto-inserted adjustments and organic postings</t>
        </is>
      </c>
      <c r="H688" s="12" t="inlineStr">
        <is>
          <t>1. Open the reconciliation report
2. Query the ledger for auto-inserts</t>
        </is>
      </c>
      <c r="I688" s="12" t="inlineStr">
        <is>
          <t>Every auto-insert appears in the report with its recon_id and is distinguishable from an organic posting</t>
        </is>
      </c>
      <c r="J688" s="13" t="inlineStr">
        <is>
          <t>Not Tested</t>
        </is>
      </c>
      <c r="K688" s="13" t="inlineStr">
        <is>
          <t>Observability</t>
        </is>
      </c>
    </row>
    <row r="689" ht="36" customHeight="1">
      <c r="A689" s="12" t="inlineStr">
        <is>
          <t>Balances &amp; Wallet Consistency (EMI-5944)</t>
        </is>
      </c>
      <c r="B689" s="12" t="inlineStr">
        <is>
          <t>EMI_MISSING Resolution</t>
        </is>
      </c>
      <c r="C689" s="12" t="inlineStr">
        <is>
          <t>Traceability</t>
        </is>
      </c>
      <c r="D689" s="13" t="inlineStr">
        <is>
          <t>TC-Missing-16</t>
        </is>
      </c>
      <c r="E689" s="12" t="inlineStr">
        <is>
          <t>Daily Auto-Insert Count and Value Are Trended and Threshold-Alerted</t>
        </is>
      </c>
      <c r="F689" s="13" t="inlineStr">
        <is>
          <t>High</t>
        </is>
      </c>
      <c r="G689" s="12" t="inlineStr">
        <is>
          <t>A period of reconciliation activity</t>
        </is>
      </c>
      <c r="H689" s="12" t="inlineStr">
        <is>
          <t>1. Open the trend view
2. Cross the configured alert threshold</t>
        </is>
      </c>
      <c r="I689" s="12" t="inlineStr">
        <is>
          <t>Daily count and value of auto-inserts are trended; crossing the threshold raises an alert, so a rising auto-insert rate is visible before it becomes an incident</t>
        </is>
      </c>
      <c r="J689" s="13" t="inlineStr">
        <is>
          <t>Not Tested</t>
        </is>
      </c>
      <c r="K689" s="13" t="inlineStr">
        <is>
          <t>Observability</t>
        </is>
      </c>
    </row>
    <row r="690" ht="36" customHeight="1">
      <c r="A690" s="12" t="inlineStr">
        <is>
          <t>Balances &amp; Wallet Consistency (EMI-5944)</t>
        </is>
      </c>
      <c r="B690" s="12" t="inlineStr">
        <is>
          <t>EMI_MISSING Resolution</t>
        </is>
      </c>
      <c r="C690" s="12" t="inlineStr">
        <is>
          <t>Traceability</t>
        </is>
      </c>
      <c r="D690" s="13" t="inlineStr">
        <is>
          <t>TC-Missing-17</t>
        </is>
      </c>
      <c r="E690" s="12" t="inlineStr">
        <is>
          <t>Escalated Items Are Traceable From Detection to Resolution</t>
        </is>
      </c>
      <c r="F690" s="13" t="inlineStr">
        <is>
          <t>Medium</t>
        </is>
      </c>
      <c r="G690" s="12" t="inlineStr">
        <is>
          <t>An escalated item resolved by a reviewer</t>
        </is>
      </c>
      <c r="H690" s="12" t="inlineStr">
        <is>
          <t>1. Trace the item from detection through the queue to its posting</t>
        </is>
      </c>
      <c r="I690" s="12" t="inlineStr">
        <is>
          <t>The full chain is traceable, carrying the recon_id, the bank reference and the reviewer identity</t>
        </is>
      </c>
      <c r="J690" s="13" t="inlineStr">
        <is>
          <t>Not Tested</t>
        </is>
      </c>
      <c r="K690" s="13" t="inlineStr">
        <is>
          <t>Integration</t>
        </is>
      </c>
    </row>
    <row r="691" ht="36" customHeight="1">
      <c r="A691" s="12" t="inlineStr">
        <is>
          <t>Balances &amp; Wallet Consistency (EMI-5944)</t>
        </is>
      </c>
      <c r="B691" s="12" t="inlineStr">
        <is>
          <t>EMI_MISSING Resolution</t>
        </is>
      </c>
      <c r="C691" s="12" t="inlineStr">
        <is>
          <t>Integration</t>
        </is>
      </c>
      <c r="D691" s="13" t="inlineStr">
        <is>
          <t>TC-Missing-18</t>
        </is>
      </c>
      <c r="E691" s="12" t="inlineStr">
        <is>
          <t>Adjustment After a Sealed Close Belongs to the Next Business Day</t>
        </is>
      </c>
      <c r="F691" s="13" t="inlineStr">
        <is>
          <t>High</t>
        </is>
      </c>
      <c r="G691" s="12" t="inlineStr">
        <is>
          <t>A sealed EMI-5954 close and an adjustment resolving an item for that day</t>
        </is>
      </c>
      <c r="H691" s="12" t="inlineStr">
        <is>
          <t>1. Insert the adjustment after the seal
2. Inspect the sealed close and the next day</t>
        </is>
      </c>
      <c r="I691" s="12" t="inlineStr">
        <is>
          <t>The adjustment lands in the next business day and the sealed close is untouched</t>
        </is>
      </c>
      <c r="J691" s="13" t="inlineStr">
        <is>
          <t>Not Tested</t>
        </is>
      </c>
      <c r="K691" s="13" t="inlineStr">
        <is>
          <t>Integration</t>
        </is>
      </c>
    </row>
    <row r="692" ht="36" customHeight="1">
      <c r="A692" s="12" t="inlineStr">
        <is>
          <t>Balances &amp; Wallet Consistency (EMI-5944)</t>
        </is>
      </c>
      <c r="B692" s="12" t="inlineStr">
        <is>
          <t>E2E Balances Flows</t>
        </is>
      </c>
      <c r="C692" s="12" t="inlineStr">
        <is>
          <t>E2E - Detect to Repair</t>
        </is>
      </c>
      <c r="D692" s="13" t="inlineStr">
        <is>
          <t>TC-BalE2E-01</t>
        </is>
      </c>
      <c r="E692" s="12" t="inlineStr">
        <is>
          <t>Drifted Wallet Detected, Quarantined, Recomputed and Cleared</t>
        </is>
      </c>
      <c r="F692" s="13" t="inlineStr">
        <is>
          <t>High</t>
        </is>
      </c>
      <c r="G692" s="12" t="inlineStr">
        <is>
          <t>A wallet whose buckets have drifted from the ledger; detection, recompute and reporting all enabled</t>
        </is>
      </c>
      <c r="H692" s="12" t="inlineStr">
        <is>
          <t>1. Introduce the drift
2. Let the EMI-5950 sweep detect it
3. Observe the quarantine
4. Let EMI-5946 recompute run
5. Re-run the sweep</t>
        </is>
      </c>
      <c r="I692" s="12" t="inlineStr">
        <is>
          <t>The sweep detects the variance and records it per bucket; only that wallet is quarantined; recompute is invoked for that scope alone and corrects the buckets; the follow-up sweep is clean and the whole chain shares one run id</t>
        </is>
      </c>
      <c r="J692" s="13" t="inlineStr">
        <is>
          <t>Not Tested</t>
        </is>
      </c>
      <c r="K692" s="13" t="inlineStr">
        <is>
          <t>Functional</t>
        </is>
      </c>
    </row>
    <row r="693" ht="36" customHeight="1">
      <c r="A693" s="12" t="inlineStr">
        <is>
          <t>Balances &amp; Wallet Consistency (EMI-5944)</t>
        </is>
      </c>
      <c r="B693" s="12" t="inlineStr">
        <is>
          <t>E2E Balances Flows</t>
        </is>
      </c>
      <c r="C693" s="12" t="inlineStr">
        <is>
          <t>E2E - Detect to Repair</t>
        </is>
      </c>
      <c r="D693" s="13" t="inlineStr">
        <is>
          <t>TC-BalE2E-02</t>
        </is>
      </c>
      <c r="E693" s="12" t="inlineStr">
        <is>
          <t>Missing VAT Leg Found by Conservation and Traced to Its Cause</t>
        </is>
      </c>
      <c r="F693" s="13" t="inlineStr">
        <is>
          <t>High</t>
        </is>
      </c>
      <c r="G693" s="12" t="inlineStr">
        <is>
          <t>A transaction whose VAT leg was never applied, leaving every wallet internally consistent</t>
        </is>
      </c>
      <c r="H693" s="12" t="inlineStr">
        <is>
          <t>1. Run the per-wallet identity check
2. Run the cross-wallet conservation check
3. Follow the attribution</t>
        </is>
      </c>
      <c r="I693" s="12" t="inlineStr">
        <is>
          <t>Per-wallet passes, conservation reports a shortfall, and the shortfall is attributed to lifecycle ordering (EMI-5949) rather than to duplicate application. The failure is diagnosable from the record alone</t>
        </is>
      </c>
      <c r="J693" s="13" t="inlineStr">
        <is>
          <t>Not Tested</t>
        </is>
      </c>
      <c r="K693" s="13" t="inlineStr">
        <is>
          <t>Integration</t>
        </is>
      </c>
    </row>
    <row r="694" ht="36" customHeight="1">
      <c r="A694" s="12" t="inlineStr">
        <is>
          <t>Balances &amp; Wallet Consistency (EMI-5944)</t>
        </is>
      </c>
      <c r="B694" s="12" t="inlineStr">
        <is>
          <t>E2E Balances Flows</t>
        </is>
      </c>
      <c r="C694" s="12" t="inlineStr">
        <is>
          <t>E2E - Detect to Repair</t>
        </is>
      </c>
      <c r="D694" s="13" t="inlineStr">
        <is>
          <t>TC-BalE2E-03</t>
        </is>
      </c>
      <c r="E694" s="12" t="inlineStr">
        <is>
          <t>Duplicated Leg Found as a Surplus and Attributed to Idempotency</t>
        </is>
      </c>
      <c r="F694" s="13" t="inlineStr">
        <is>
          <t>High</t>
        </is>
      </c>
      <c r="G694" s="12" t="inlineStr">
        <is>
          <t>A destination leg applied twice</t>
        </is>
      </c>
      <c r="H694" s="12" t="inlineStr">
        <is>
          <t>1. Run the conservation check
2. Follow the attribution</t>
        </is>
      </c>
      <c r="I694" s="12" t="inlineStr">
        <is>
          <t>A surplus is recorded, distinguished from a shortfall, and attributed to consumer idempotency (EMI-5948). Recompute then restores the correct position</t>
        </is>
      </c>
      <c r="J694" s="13" t="inlineStr">
        <is>
          <t>Not Tested</t>
        </is>
      </c>
      <c r="K694" s="13" t="inlineStr">
        <is>
          <t>Integration</t>
        </is>
      </c>
    </row>
    <row r="695" ht="36" customHeight="1">
      <c r="A695" s="12" t="inlineStr">
        <is>
          <t>Balances &amp; Wallet Consistency (EMI-5944)</t>
        </is>
      </c>
      <c r="B695" s="12" t="inlineStr">
        <is>
          <t>E2E Balances Flows</t>
        </is>
      </c>
      <c r="C695" s="12" t="inlineStr">
        <is>
          <t>E2E - Two Repair Modes</t>
        </is>
      </c>
      <c r="D695" s="13" t="inlineStr">
        <is>
          <t>TC-BalE2E-04</t>
        </is>
      </c>
      <c r="E695" s="12" t="inlineStr">
        <is>
          <t>Balance Wrong but Statement Right Routes to Recompute Only</t>
        </is>
      </c>
      <c r="F695" s="13" t="inlineStr">
        <is>
          <t>High</t>
        </is>
      </c>
      <c r="G695" s="12" t="inlineStr">
        <is>
          <t>A wallet whose buckets are wrong while its statement rows are correct</t>
        </is>
      </c>
      <c r="H695" s="12" t="inlineStr">
        <is>
          <t>1. Let detection classify the variance
2. Observe which repair runs
3. Compare the statement sequence before and after</t>
        </is>
      </c>
      <c r="I695" s="12" t="inlineStr">
        <is>
          <t>Recompute runs and completes in seconds; the statement rebuild is not invoked; the running_balance entry sequence is provably unchanged</t>
        </is>
      </c>
      <c r="J695" s="13" t="inlineStr">
        <is>
          <t>Not Tested</t>
        </is>
      </c>
      <c r="K695" s="13" t="inlineStr">
        <is>
          <t>Functional</t>
        </is>
      </c>
    </row>
    <row r="696" ht="36" customHeight="1">
      <c r="A696" s="12" t="inlineStr">
        <is>
          <t>Balances &amp; Wallet Consistency (EMI-5944)</t>
        </is>
      </c>
      <c r="B696" s="12" t="inlineStr">
        <is>
          <t>E2E Balances Flows</t>
        </is>
      </c>
      <c r="C696" s="12" t="inlineStr">
        <is>
          <t>E2E - Two Repair Modes</t>
        </is>
      </c>
      <c r="D696" s="13" t="inlineStr">
        <is>
          <t>TC-BalE2E-05</t>
        </is>
      </c>
      <c r="E696" s="12" t="inlineStr">
        <is>
          <t>Statement Wrong Routes to Rebuild After Explicit Confirmation</t>
        </is>
      </c>
      <c r="F696" s="13" t="inlineStr">
        <is>
          <t>High</t>
        </is>
      </c>
      <c r="G696" s="12" t="inlineStr">
        <is>
          <t>A wallet whose per-entry before and after values are wrong</t>
        </is>
      </c>
      <c r="H696" s="12" t="inlineStr">
        <is>
          <t>1. Let detection flag that a statement rebuild is required
2. Confirm and trigger the rebuild explicitly
3. Verify the regenerated sequence</t>
        </is>
      </c>
      <c r="I696" s="12" t="inlineStr">
        <is>
          <t>The rebuild is flagged but never auto-invoked; once triggered it archives, replays in deterministic order and reports variance; the regenerated sequence is reproducible on a second run</t>
        </is>
      </c>
      <c r="J696" s="13" t="inlineStr">
        <is>
          <t>Not Tested</t>
        </is>
      </c>
      <c r="K696" s="13" t="inlineStr">
        <is>
          <t>Integration</t>
        </is>
      </c>
    </row>
    <row r="697" ht="36" customHeight="1">
      <c r="A697" s="12" t="inlineStr">
        <is>
          <t>Balances &amp; Wallet Consistency (EMI-5944)</t>
        </is>
      </c>
      <c r="B697" s="12" t="inlineStr">
        <is>
          <t>E2E Balances Flows</t>
        </is>
      </c>
      <c r="C697" s="12" t="inlineStr">
        <is>
          <t>E2E - Two Repair Modes</t>
        </is>
      </c>
      <c r="D697" s="13" t="inlineStr">
        <is>
          <t>TC-BalE2E-06</t>
        </is>
      </c>
      <c r="E697" s="12" t="inlineStr">
        <is>
          <t>The Two Repair Modes Never Run Concurrently on One Wallet</t>
        </is>
      </c>
      <c r="F697" s="13" t="inlineStr">
        <is>
          <t>High</t>
        </is>
      </c>
      <c r="G697" s="12" t="inlineStr">
        <is>
          <t>A repair in flight on a wallet</t>
        </is>
      </c>
      <c r="H697" s="12" t="inlineStr">
        <is>
          <t>1. Start a recompute and request a rebuild for the same wallet
2. Reverse the order and repeat</t>
        </is>
      </c>
      <c r="I697" s="12" t="inlineStr">
        <is>
          <t>Whichever starts second is rejected with a conflict error in both directions; scope locking is mutually exclusive</t>
        </is>
      </c>
      <c r="J697" s="13" t="inlineStr">
        <is>
          <t>Not Tested</t>
        </is>
      </c>
      <c r="K697" s="13" t="inlineStr">
        <is>
          <t>Integration</t>
        </is>
      </c>
    </row>
    <row r="698" ht="36" customHeight="1">
      <c r="A698" s="12" t="inlineStr">
        <is>
          <t>Balances &amp; Wallet Consistency (EMI-5944)</t>
        </is>
      </c>
      <c r="B698" s="12" t="inlineStr">
        <is>
          <t>E2E Balances Flows</t>
        </is>
      </c>
      <c r="C698" s="12" t="inlineStr">
        <is>
          <t>E2E - Lifecycle</t>
        </is>
      </c>
      <c r="D698" s="13" t="inlineStr">
        <is>
          <t>TC-BalE2E-07</t>
        </is>
      </c>
      <c r="E698" s="12" t="inlineStr">
        <is>
          <t>Full Transaction Lifecycle Keeps the Identity at Every Step</t>
        </is>
      </c>
      <c r="F698" s="13" t="inlineStr">
        <is>
          <t>High</t>
        </is>
      </c>
      <c r="G698" s="12" t="inlineStr">
        <is>
          <t>A transaction with principal, commission and VAT legs</t>
        </is>
      </c>
      <c r="H698" s="12" t="inlineStr">
        <is>
          <t>1. Reserve, then settle
2. After each posting, assert the per-wallet identity on every participating wallet and the cross-wallet conservation</t>
        </is>
      </c>
      <c r="I698" s="12" t="inlineStr">
        <is>
          <t>current = available + reserve_debit holds on every wallet after every posting; reserve_credit is excluded from current throughout; conservation holds for the whole reserve window and resolves to zero on settlement</t>
        </is>
      </c>
      <c r="J698" s="13" t="inlineStr">
        <is>
          <t>Not Tested</t>
        </is>
      </c>
      <c r="K698" s="13" t="inlineStr">
        <is>
          <t>Edge / Boundary</t>
        </is>
      </c>
    </row>
    <row r="699" ht="36" customHeight="1">
      <c r="A699" s="12" t="inlineStr">
        <is>
          <t>Balances &amp; Wallet Consistency (EMI-5944)</t>
        </is>
      </c>
      <c r="B699" s="12" t="inlineStr">
        <is>
          <t>E2E Balances Flows</t>
        </is>
      </c>
      <c r="C699" s="12" t="inlineStr">
        <is>
          <t>E2E - Lifecycle</t>
        </is>
      </c>
      <c r="D699" s="13" t="inlineStr">
        <is>
          <t>TC-BalE2E-08</t>
        </is>
      </c>
      <c r="E699" s="12" t="inlineStr">
        <is>
          <t>Failed Transaction Returns Every Party to Its Starting Position</t>
        </is>
      </c>
      <c r="F699" s="13" t="inlineStr">
        <is>
          <t>High</t>
        </is>
      </c>
      <c r="G699" s="12" t="inlineStr">
        <is>
          <t>A transaction that reserves then fails</t>
        </is>
      </c>
      <c r="H699" s="12" t="inlineStr">
        <is>
          <t>1. Record all four buckets for every participating wallet
2. Reserve, then fail
3. Re-read all buckets</t>
        </is>
      </c>
      <c r="I699" s="12" t="inlineStr">
        <is>
          <t>Every wallet returns exactly to its starting position across all four buckets; no reserve is left behind on any leg including commission and VAT</t>
        </is>
      </c>
      <c r="J699" s="13" t="inlineStr">
        <is>
          <t>Not Tested</t>
        </is>
      </c>
      <c r="K699" s="13" t="inlineStr">
        <is>
          <t>Edge / Boundary</t>
        </is>
      </c>
    </row>
    <row r="700" ht="36" customHeight="1">
      <c r="A700" s="12" t="inlineStr">
        <is>
          <t>Balances &amp; Wallet Consistency (EMI-5944)</t>
        </is>
      </c>
      <c r="B700" s="12" t="inlineStr">
        <is>
          <t>E2E Balances Flows</t>
        </is>
      </c>
      <c r="C700" s="12" t="inlineStr">
        <is>
          <t>E2E - Lifecycle</t>
        </is>
      </c>
      <c r="D700" s="13" t="inlineStr">
        <is>
          <t>TC-BalE2E-09</t>
        </is>
      </c>
      <c r="E700" s="12" t="inlineStr">
        <is>
          <t>Adjustment of a Settled Transaction Flows Through Every Layer</t>
        </is>
      </c>
      <c r="F700" s="13" t="inlineStr">
        <is>
          <t>High</t>
        </is>
      </c>
      <c r="G700" s="12" t="inlineStr">
        <is>
          <t>A settled transaction requiring correction</t>
        </is>
      </c>
      <c r="H700" s="12" t="inlineStr">
        <is>
          <t>1. Apply the four-step pair-adjustment unwind
2. Let the projection settle
3. Run a recompute
4. Run a rebuild over the range</t>
        </is>
      </c>
      <c r="I700" s="12" t="inlineStr">
        <is>
          <t>The four appended postings flow through the consumer, the recompute aggregate and the replay with no special-casing anywhere; all three layers agree on the corrected position and no history is edited</t>
        </is>
      </c>
      <c r="J700" s="13" t="inlineStr">
        <is>
          <t>Not Tested</t>
        </is>
      </c>
      <c r="K700" s="13" t="inlineStr">
        <is>
          <t>Integration</t>
        </is>
      </c>
    </row>
    <row r="701" ht="36" customHeight="1">
      <c r="A701" s="12" t="inlineStr">
        <is>
          <t>Balances &amp; Wallet Consistency (EMI-5944)</t>
        </is>
      </c>
      <c r="B701" s="12" t="inlineStr">
        <is>
          <t>E2E Balances Flows</t>
        </is>
      </c>
      <c r="C701" s="12" t="inlineStr">
        <is>
          <t>E2E - Stuck Reserves</t>
        </is>
      </c>
      <c r="D701" s="13" t="inlineStr">
        <is>
          <t>TC-BalE2E-10</t>
        </is>
      </c>
      <c r="E701" s="12" t="inlineStr">
        <is>
          <t>Stuck Reserve Detected, Traced and Resolved Through the Correction Path</t>
        </is>
      </c>
      <c r="F701" s="13" t="inlineStr">
        <is>
          <t>High</t>
        </is>
      </c>
      <c r="G701" s="12" t="inlineStr">
        <is>
          <t>A reserve with no releasing event, aged past its threshold</t>
        </is>
      </c>
      <c r="H701" s="12" t="inlineStr">
        <is>
          <t>1. Let EMI-5951 detection flag it
2. Trace it to the absent releasing event
3. Resolve it through the existing correction path
4. Re-run detection and recompute</t>
        </is>
      </c>
      <c r="I701" s="12" t="inlineStr">
        <is>
          <t>The reserve is flagged with correct age and amount, traceable to its origin, resolved without any new money-movement path, and the item records its resolution; the follow-up detection run is clean</t>
        </is>
      </c>
      <c r="J701" s="13" t="inlineStr">
        <is>
          <t>Not Tested</t>
        </is>
      </c>
      <c r="K701" s="13" t="inlineStr">
        <is>
          <t>Integration</t>
        </is>
      </c>
    </row>
    <row r="702" ht="36" customHeight="1">
      <c r="A702" s="12" t="inlineStr">
        <is>
          <t>Balances &amp; Wallet Consistency (EMI-5944)</t>
        </is>
      </c>
      <c r="B702" s="12" t="inlineStr">
        <is>
          <t>E2E Balances Flows</t>
        </is>
      </c>
      <c r="C702" s="12" t="inlineStr">
        <is>
          <t>E2E - Stuck Reserves</t>
        </is>
      </c>
      <c r="D702" s="13" t="inlineStr">
        <is>
          <t>TC-BalE2E-11</t>
        </is>
      </c>
      <c r="E702" s="12" t="inlineStr">
        <is>
          <t>TTL Prevention and Stuck-Reserve Detection Never Double-Act</t>
        </is>
      </c>
      <c r="F702" s="13" t="inlineStr">
        <is>
          <t>High</t>
        </is>
      </c>
      <c r="G702" s="12" t="inlineStr">
        <is>
          <t>A pending item that both the Payments TTL job and stuck-reserve detection could act on</t>
        </is>
      </c>
      <c r="H702" s="12" t="inlineStr">
        <is>
          <t>1. Let both run over the same item</t>
        </is>
      </c>
      <c r="I702" s="12" t="inlineStr">
        <is>
          <t>Exactly one acts. EMI-6031 prevents on a clock and EMI-5951 detects what slips through; neither double-acts on the same item and no duplicate compensating posting is created</t>
        </is>
      </c>
      <c r="J702" s="13" t="inlineStr">
        <is>
          <t>Not Tested</t>
        </is>
      </c>
      <c r="K702" s="13" t="inlineStr">
        <is>
          <t>Integration</t>
        </is>
      </c>
    </row>
    <row r="703" ht="36" customHeight="1">
      <c r="A703" s="12" t="inlineStr">
        <is>
          <t>Balances &amp; Wallet Consistency (EMI-5944)</t>
        </is>
      </c>
      <c r="B703" s="12" t="inlineStr">
        <is>
          <t>E2E Balances Flows</t>
        </is>
      </c>
      <c r="C703" s="12" t="inlineStr">
        <is>
          <t>E2E - Daily Close</t>
        </is>
      </c>
      <c r="D703" s="13" t="inlineStr">
        <is>
          <t>TC-BalE2E-12</t>
        </is>
      </c>
      <c r="E703" s="12" t="inlineStr">
        <is>
          <t>Clean Day Seals and Anchors the Next Day</t>
        </is>
      </c>
      <c r="F703" s="13" t="inlineStr">
        <is>
          <t>High</t>
        </is>
      </c>
      <c r="G703" s="12" t="inlineStr">
        <is>
          <t>A trading day with zero variance</t>
        </is>
      </c>
      <c r="H703" s="12" t="inlineStr">
        <is>
          <t>1. Run the day's transactions
2. Let the EOD close compute and verify
3. Observe sealing
4. Run the next day and compare its opening</t>
        </is>
      </c>
      <c r="I703" s="12" t="inlineStr">
        <is>
          <t>The close verifies against the ledger, passes the estate tie-out and seals; the next day opens exactly on the sealed closing across all four buckets</t>
        </is>
      </c>
      <c r="J703" s="13" t="inlineStr">
        <is>
          <t>Not Tested</t>
        </is>
      </c>
      <c r="K703" s="13" t="inlineStr">
        <is>
          <t>Edge / Boundary</t>
        </is>
      </c>
    </row>
    <row r="704" ht="36" customHeight="1">
      <c r="A704" s="12" t="inlineStr">
        <is>
          <t>Balances &amp; Wallet Consistency (EMI-5944)</t>
        </is>
      </c>
      <c r="B704" s="12" t="inlineStr">
        <is>
          <t>E2E Balances Flows</t>
        </is>
      </c>
      <c r="C704" s="12" t="inlineStr">
        <is>
          <t>E2E - Daily Close</t>
        </is>
      </c>
      <c r="D704" s="13" t="inlineStr">
        <is>
          <t>TC-BalE2E-13</t>
        </is>
      </c>
      <c r="E704" s="12" t="inlineStr">
        <is>
          <t>Variance Day Holds Sealing Until Repaired or Signed Off</t>
        </is>
      </c>
      <c r="F704" s="13" t="inlineStr">
        <is>
          <t>High</t>
        </is>
      </c>
      <c r="G704" s="12" t="inlineStr">
        <is>
          <t>A trading day whose close verification finds variance</t>
        </is>
      </c>
      <c r="H704" s="12" t="inlineStr">
        <is>
          <t>1. Run the close
2. Observe the sealing gate
3. Let recompute run
4. Re-verify and seal</t>
        </is>
      </c>
      <c r="I704" s="12" t="inlineStr">
        <is>
          <t>Sealing is held; recompute is invoked for the affected scope; once the position is corrected the close verifies and seals, with the variance recorded on the close</t>
        </is>
      </c>
      <c r="J704" s="13" t="inlineStr">
        <is>
          <t>Not Tested</t>
        </is>
      </c>
      <c r="K704" s="13" t="inlineStr">
        <is>
          <t>Functional</t>
        </is>
      </c>
    </row>
    <row r="705" ht="36" customHeight="1">
      <c r="A705" s="12" t="inlineStr">
        <is>
          <t>Balances &amp; Wallet Consistency (EMI-5944)</t>
        </is>
      </c>
      <c r="B705" s="12" t="inlineStr">
        <is>
          <t>E2E Balances Flows</t>
        </is>
      </c>
      <c r="C705" s="12" t="inlineStr">
        <is>
          <t>E2E - Reconciliation</t>
        </is>
      </c>
      <c r="D705" s="13" t="inlineStr">
        <is>
          <t>TC-BalE2E-14</t>
        </is>
      </c>
      <c r="E705" s="12" t="inlineStr">
        <is>
          <t>EMI_MISSING Item Resolved and Reflected in the Sealed Close</t>
        </is>
      </c>
      <c r="F705" s="13" t="inlineStr">
        <is>
          <t>High</t>
        </is>
      </c>
      <c r="G705" s="12" t="inlineStr">
        <is>
          <t>A bank statement carrying an EMI_MISSING item that passes all checks</t>
        </is>
      </c>
      <c r="H705" s="12" t="inlineStr">
        <is>
          <t>1. Run reconciliation and let the adjustment be auto-inserted
2. Let the projection settle
3. Run the EOD close</t>
        </is>
      </c>
      <c r="I705" s="12" t="inlineStr">
        <is>
          <t>The adjustment is appended, flows through the normal CDC path, is aggregated by recompute with no special-casing, and is reflected in that day's close; the ledger is never edited</t>
        </is>
      </c>
      <c r="J705" s="13" t="inlineStr">
        <is>
          <t>Not Tested</t>
        </is>
      </c>
      <c r="K705" s="13" t="inlineStr">
        <is>
          <t>Negative</t>
        </is>
      </c>
    </row>
    <row r="706" ht="36" customHeight="1">
      <c r="A706" s="12" t="inlineStr">
        <is>
          <t>Balances &amp; Wallet Consistency (EMI-5944)</t>
        </is>
      </c>
      <c r="B706" s="12" t="inlineStr">
        <is>
          <t>E2E Balances Flows</t>
        </is>
      </c>
      <c r="C706" s="12" t="inlineStr">
        <is>
          <t>E2E - Reconciliation</t>
        </is>
      </c>
      <c r="D706" s="13" t="inlineStr">
        <is>
          <t>TC-BalE2E-15</t>
        </is>
      </c>
      <c r="E706" s="12" t="inlineStr">
        <is>
          <t>Estate Tie-Out Reconciles Against the Safeguarding Position</t>
        </is>
      </c>
      <c r="F706" s="13" t="inlineStr">
        <is>
          <t>High</t>
        </is>
      </c>
      <c r="G706" s="12" t="inlineStr">
        <is>
          <t>A full estate at end of day with unsettled incoming payments present</t>
        </is>
      </c>
      <c r="H706" s="12" t="inlineStr">
        <is>
          <t>1. Run the estate tie-out
2. Compare the wallet sum against settled ledger postings and against the safeguarding account</t>
        </is>
      </c>
      <c r="I706" s="12" t="inlineStr">
        <is>
          <t>The sums agree and tie to the safeguarding position; reserve_credit is excluded so issued e-money is not overstated by unsettled incoming payments</t>
        </is>
      </c>
      <c r="J706" s="13" t="inlineStr">
        <is>
          <t>Not Tested</t>
        </is>
      </c>
      <c r="K706" s="13" t="inlineStr">
        <is>
          <t>Functional</t>
        </is>
      </c>
    </row>
    <row r="707" ht="36" customHeight="1">
      <c r="A707" s="12" t="inlineStr">
        <is>
          <t>Balances &amp; Wallet Consistency (EMI-5944)</t>
        </is>
      </c>
      <c r="B707" s="12" t="inlineStr">
        <is>
          <t>E2E Balances Flows</t>
        </is>
      </c>
      <c r="C707" s="12" t="inlineStr">
        <is>
          <t>E2E - Resilience</t>
        </is>
      </c>
      <c r="D707" s="13" t="inlineStr">
        <is>
          <t>TC-BalE2E-16</t>
        </is>
      </c>
      <c r="E707" s="12" t="inlineStr">
        <is>
          <t>Full Repair Cycle Is Idempotent End to End</t>
        </is>
      </c>
      <c r="F707" s="13" t="inlineStr">
        <is>
          <t>High</t>
        </is>
      </c>
      <c r="G707" s="12" t="inlineStr">
        <is>
          <t>A wallet requiring both a recompute and a rebuild</t>
        </is>
      </c>
      <c r="H707" s="12" t="inlineStr">
        <is>
          <t>1. Run detection, recompute, rebuild and close in sequence
2. Re-run the entire sequence over the unchanged ledger</t>
        </is>
      </c>
      <c r="I707" s="12" t="inlineStr">
        <is>
          <t>The second pass changes nothing: recompute is a NO_OP, rebuild is a NO_OP, the close is unchanged, and every run is still recorded so the checks themselves stay auditable</t>
        </is>
      </c>
      <c r="J707" s="13" t="inlineStr">
        <is>
          <t>Not Tested</t>
        </is>
      </c>
      <c r="K707" s="13" t="inlineStr">
        <is>
          <t>Integration</t>
        </is>
      </c>
    </row>
    <row r="708" ht="36" customHeight="1">
      <c r="A708" s="12" t="inlineStr">
        <is>
          <t>Balances &amp; Wallet Consistency (EMI-5944)</t>
        </is>
      </c>
      <c r="B708" s="12" t="inlineStr">
        <is>
          <t>E2E Balances Flows</t>
        </is>
      </c>
      <c r="C708" s="12" t="inlineStr">
        <is>
          <t>E2E - Prevention</t>
        </is>
      </c>
      <c r="D708" s="13" t="inlineStr">
        <is>
          <t>TC-BalE2E-17</t>
        </is>
      </c>
      <c r="E708" s="12" t="inlineStr">
        <is>
          <t>All Three Guards Together Under a Hostile Delivery Profile</t>
        </is>
      </c>
      <c r="F708" s="13" t="inlineStr">
        <is>
          <t>High</t>
        </is>
      </c>
      <c r="G708" s="12" t="inlineStr">
        <is>
          <t>Partitioning, idempotency and the lifecycle guard all active; a transaction spanning source, destination, commission and VAT wallets</t>
        </is>
      </c>
      <c r="H708" s="12" t="inlineStr">
        <is>
          <t>1. Deliver the full lifecycle out of order, with duplicates, across a forced consumer rebalance and a connector restart
2. Let the pipeline converge
3. Assert per-wallet identity and cross-wallet conservation on every participating wallet
4. Run an EMI-5946 recompute and compare</t>
        </is>
      </c>
      <c r="I708" s="12" t="inlineStr">
        <is>
          <t>Per-wallet ordering holds, duplicates are discarded and counted, out-of-order dependants are parked and resolve on arrival; all four buckets converge correctly on every wallet, conservation holds, and recompute agrees with the projection</t>
        </is>
      </c>
      <c r="J708" s="13" t="inlineStr">
        <is>
          <t>Not Tested</t>
        </is>
      </c>
      <c r="K708" s="13" t="inlineStr">
        <is>
          <t>Integration</t>
        </is>
      </c>
    </row>
    <row r="709" ht="36" customHeight="1">
      <c r="A709" s="12" t="inlineStr">
        <is>
          <t>Balances &amp; Wallet Consistency (EMI-5944)</t>
        </is>
      </c>
      <c r="B709" s="12" t="inlineStr">
        <is>
          <t>E2E Balances Flows</t>
        </is>
      </c>
      <c r="C709" s="12" t="inlineStr">
        <is>
          <t>E2E - Prevention</t>
        </is>
      </c>
      <c r="D709" s="13" t="inlineStr">
        <is>
          <t>TC-BalE2E-18</t>
        </is>
      </c>
      <c r="E709" s="12" t="inlineStr">
        <is>
          <t>Prevention Reduces the Work Detection and Repair Have to Do</t>
        </is>
      </c>
      <c r="F709" s="13" t="inlineStr">
        <is>
          <t>High</t>
        </is>
      </c>
      <c r="G709" s="12" t="inlineStr">
        <is>
          <t>A comparable traffic period run with the three guards active and with them disabled</t>
        </is>
      </c>
      <c r="H709" s="12" t="inlineStr">
        <is>
          <t>1. Run the same traffic profile in both configurations
2. Compare variance records from EMI-5950, stuck reserves from EMI-5951 and the number of repairs invoked</t>
        </is>
      </c>
      <c r="I709" s="12" t="inlineStr">
        <is>
          <t>With the guards active, detected variance, stuck reserves and repair invocations all drop materially. Detection and repair still run and still find the residue; prevention does not remove the need for either</t>
        </is>
      </c>
      <c r="J709" s="13" t="inlineStr">
        <is>
          <t>Not Tested</t>
        </is>
      </c>
      <c r="K709" s="13" t="inlineStr">
        <is>
          <t>Functional</t>
        </is>
      </c>
    </row>
    <row r="710" ht="36" customHeight="1">
      <c r="A710" s="12" t="inlineStr">
        <is>
          <t>Balances &amp; Wallet Consistency (EMI-5944)</t>
        </is>
      </c>
      <c r="B710" s="12" t="inlineStr">
        <is>
          <t>E2E Balances Flows</t>
        </is>
      </c>
      <c r="C710" s="12" t="inlineStr">
        <is>
          <t>E2E - Prevention</t>
        </is>
      </c>
      <c r="D710" s="13" t="inlineStr">
        <is>
          <t>TC-BalE2E-19</t>
        </is>
      </c>
      <c r="E710" s="12" t="inlineStr">
        <is>
          <t>A Leg Never Produced Is Caught by Detection, Not by Prevention</t>
        </is>
      </c>
      <c r="F710" s="13" t="inlineStr">
        <is>
          <t>High</t>
        </is>
      </c>
      <c r="G710" s="12" t="inlineStr">
        <is>
          <t>All three guards active, with one transaction leg deliberately never produced at all</t>
        </is>
      </c>
      <c r="H710" s="12" t="inlineStr">
        <is>
          <t>1. Run the transaction
2. Observe that no guard fires
3. Run the EMI-5950 cross-wallet conservation check
4. Follow the attribution and the repair</t>
        </is>
      </c>
      <c r="I710" s="12" t="inlineStr">
        <is>
          <t>No prevention guard fires, because nothing arrived out of order or twice. Conservation reports a shortfall, recompute restores the position, and the case is attributed correctly. This is the boundary between the two halves of the epic</t>
        </is>
      </c>
      <c r="J710" s="13" t="inlineStr">
        <is>
          <t>Not Tested</t>
        </is>
      </c>
      <c r="K710" s="13" t="inlineStr">
        <is>
          <t>Edge / Boundary</t>
        </is>
      </c>
    </row>
    <row r="711" ht="36" customHeight="1">
      <c r="A711" s="12" t="inlineStr">
        <is>
          <t>Balances &amp; Wallet Consistency (EMI-5944)</t>
        </is>
      </c>
      <c r="B711" s="12" t="inlineStr">
        <is>
          <t>E2E Balances Flows</t>
        </is>
      </c>
      <c r="C711" s="12" t="inlineStr">
        <is>
          <t>E2E - Prevention</t>
        </is>
      </c>
      <c r="D711" s="13" t="inlineStr">
        <is>
          <t>TC-BalE2E-20</t>
        </is>
      </c>
      <c r="E711" s="12" t="inlineStr">
        <is>
          <t>Full Epic Chain From Delivery to Sealed Close</t>
        </is>
      </c>
      <c r="F711" s="13" t="inlineStr">
        <is>
          <t>High</t>
        </is>
      </c>
      <c r="G711" s="12" t="inlineStr">
        <is>
          <t>All seven story and task behaviours active across one trading day</t>
        </is>
      </c>
      <c r="H711" s="12" t="inlineStr">
        <is>
          <t>1. Run a day of traffic through the guarded pipeline
2. Let detection sweep and repair anything it finds
3. Run the EOD close and let it verify and seal
4. Rebuild a window of statement history and compare</t>
        </is>
      </c>
      <c r="I711" s="12" t="inlineStr">
        <is>
          <t>Postings apply in order, exactly once, with lifecycle respected; detection finds nothing or repairs what it finds; the close verifies against the ledger, passes the estate tie-out and seals; the statement rebuild over the sealed window reproduces the same sequence and reports no variance</t>
        </is>
      </c>
      <c r="J711" s="13" t="inlineStr">
        <is>
          <t>Not Tested</t>
        </is>
      </c>
      <c r="K711" s="13" t="inlineStr">
        <is>
          <t>Edge / Boundary</t>
        </is>
      </c>
    </row>
    <row r="712" ht="36" customHeight="1">
      <c r="A712" s="12" t="inlineStr">
        <is>
          <t>PoS Device Management (EMI-5824)</t>
        </is>
      </c>
      <c r="B712" s="12" t="inlineStr">
        <is>
          <t>PoS Device Management</t>
        </is>
      </c>
      <c r="C712" s="12" t="inlineStr">
        <is>
          <t>Directory</t>
        </is>
      </c>
      <c r="D712" s="13" t="inlineStr">
        <is>
          <t>TC-Device-01</t>
        </is>
      </c>
      <c r="E712" s="12" t="inlineStr">
        <is>
          <t>Admin All-Devices Directory Lists Every Mapped Device</t>
        </is>
      </c>
      <c r="F712" s="13" t="inlineStr">
        <is>
          <t>High</t>
        </is>
      </c>
      <c r="G712" s="12" t="inlineStr">
        <is>
          <t>Several businesses each with mapped devices; platform admin signed in</t>
        </is>
      </c>
      <c r="H712" s="12" t="inlineStr">
        <is>
          <t>1. Open the admin Devices page
2. Inspect the columns</t>
        </is>
      </c>
      <c r="I712" s="12" t="inlineStr">
        <is>
          <t>Every mapped device across all businesses is listed with TID, Business, Label, Model, Main Wallet, Location, Status, Activated, Ledger Balance and Last Seen</t>
        </is>
      </c>
      <c r="J712" s="13" t="inlineStr">
        <is>
          <t>Not Tested</t>
        </is>
      </c>
      <c r="K712" s="13" t="inlineStr">
        <is>
          <t>Functional</t>
        </is>
      </c>
    </row>
    <row r="713" ht="36" customHeight="1">
      <c r="A713" s="12" t="inlineStr">
        <is>
          <t>PoS Device Management (EMI-5824)</t>
        </is>
      </c>
      <c r="B713" s="12" t="inlineStr">
        <is>
          <t>PoS Device Management</t>
        </is>
      </c>
      <c r="C713" s="12" t="inlineStr">
        <is>
          <t>Directory</t>
        </is>
      </c>
      <c r="D713" s="13" t="inlineStr">
        <is>
          <t>TC-Device-02</t>
        </is>
      </c>
      <c r="E713" s="12" t="inlineStr">
        <is>
          <t>Admin Directory Filters and Search</t>
        </is>
      </c>
      <c r="F713" s="13" t="inlineStr">
        <is>
          <t>Medium</t>
        </is>
      </c>
      <c r="G713" s="12" t="inlineStr">
        <is>
          <t>A populated device directory</t>
        </is>
      </c>
      <c r="H713" s="12" t="inlineStr">
        <is>
          <t>1. Filter by business, status, wallet, order ref and location in turn
2. Search by TID and by serial number</t>
        </is>
      </c>
      <c r="I713" s="12" t="inlineStr">
        <is>
          <t>Each filter and search returns the correct subset</t>
        </is>
      </c>
      <c r="J713" s="13" t="inlineStr">
        <is>
          <t>Not Tested</t>
        </is>
      </c>
      <c r="K713" s="13" t="inlineStr">
        <is>
          <t>Functional</t>
        </is>
      </c>
    </row>
    <row r="714" ht="36" customHeight="1">
      <c r="A714" s="12" t="inlineStr">
        <is>
          <t>PoS Device Management (EMI-5824)</t>
        </is>
      </c>
      <c r="B714" s="12" t="inlineStr">
        <is>
          <t>PoS Device Management</t>
        </is>
      </c>
      <c r="C714" s="12" t="inlineStr">
        <is>
          <t>Directory</t>
        </is>
      </c>
      <c r="D714" s="13" t="inlineStr">
        <is>
          <t>TC-Device-03</t>
        </is>
      </c>
      <c r="E714" s="12" t="inlineStr">
        <is>
          <t>Admin Bulk Select and Export</t>
        </is>
      </c>
      <c r="F714" s="13" t="inlineStr">
        <is>
          <t>Medium</t>
        </is>
      </c>
      <c r="G714" s="12" t="inlineStr">
        <is>
          <t>A populated device directory</t>
        </is>
      </c>
      <c r="H714" s="12" t="inlineStr">
        <is>
          <t>1. Bulk-select devices
2. Export the selection</t>
        </is>
      </c>
      <c r="I714" s="12" t="inlineStr">
        <is>
          <t>The export succeeds and matches the on-screen rows</t>
        </is>
      </c>
      <c r="J714" s="13" t="inlineStr">
        <is>
          <t>Not Tested</t>
        </is>
      </c>
      <c r="K714" s="13" t="inlineStr">
        <is>
          <t>Functional</t>
        </is>
      </c>
    </row>
    <row r="715" ht="36" customHeight="1">
      <c r="A715" s="12" t="inlineStr">
        <is>
          <t>PoS Device Management (EMI-5824)</t>
        </is>
      </c>
      <c r="B715" s="12" t="inlineStr">
        <is>
          <t>PoS Device Management</t>
        </is>
      </c>
      <c r="C715" s="12" t="inlineStr">
        <is>
          <t>Directory</t>
        </is>
      </c>
      <c r="D715" s="13" t="inlineStr">
        <is>
          <t>TC-Device-04</t>
        </is>
      </c>
      <c r="E715" s="12" t="inlineStr">
        <is>
          <t>Business My-Devices View Is Scoped to the Owning Business</t>
        </is>
      </c>
      <c r="F715" s="13" t="inlineStr">
        <is>
          <t>High</t>
        </is>
      </c>
      <c r="G715" s="12" t="inlineStr">
        <is>
          <t>Two businesses each with devices; a business user signed in</t>
        </is>
      </c>
      <c r="H715" s="12" t="inlineStr">
        <is>
          <t>1. Open the My Devices view
2. Compare against the full device set</t>
        </is>
      </c>
      <c r="I715" s="12" t="inlineStr">
        <is>
          <t>Only the signed-in business's own devices are listed; another business's devices are never visible</t>
        </is>
      </c>
      <c r="J715" s="13" t="inlineStr">
        <is>
          <t>Not Tested</t>
        </is>
      </c>
      <c r="K715" s="13" t="inlineStr">
        <is>
          <t>Functional</t>
        </is>
      </c>
    </row>
    <row r="716" ht="36" customHeight="1">
      <c r="A716" s="12" t="inlineStr">
        <is>
          <t>PoS Device Management (EMI-5824)</t>
        </is>
      </c>
      <c r="B716" s="12" t="inlineStr">
        <is>
          <t>PoS Device Management</t>
        </is>
      </c>
      <c r="C716" s="12" t="inlineStr">
        <is>
          <t>Directory</t>
        </is>
      </c>
      <c r="D716" s="13" t="inlineStr">
        <is>
          <t>TC-Device-05</t>
        </is>
      </c>
      <c r="E716" s="12" t="inlineStr">
        <is>
          <t>Devices Reachable From the Client Profile</t>
        </is>
      </c>
      <c r="F716" s="13" t="inlineStr">
        <is>
          <t>Medium</t>
        </is>
      </c>
      <c r="G716" s="12" t="inlineStr">
        <is>
          <t>A business with mapped devices; admin signed in</t>
        </is>
      </c>
      <c r="H716" s="12" t="inlineStr">
        <is>
          <t>1. Open that client's profile and navigate to its devices</t>
        </is>
      </c>
      <c r="I716" s="12" t="inlineStr">
        <is>
          <t>The client's devices are reachable from the profile, consistent with order and device visibility in EMI-5719</t>
        </is>
      </c>
      <c r="J716" s="13" t="inlineStr">
        <is>
          <t>Not Tested</t>
        </is>
      </c>
      <c r="K716" s="13" t="inlineStr">
        <is>
          <t>Functional</t>
        </is>
      </c>
    </row>
    <row r="717" ht="36" customHeight="1">
      <c r="A717" s="12" t="inlineStr">
        <is>
          <t>PoS Device Management (EMI-5824)</t>
        </is>
      </c>
      <c r="B717" s="12" t="inlineStr">
        <is>
          <t>PoS Device Management</t>
        </is>
      </c>
      <c r="C717" s="12" t="inlineStr">
        <is>
          <t>Profile</t>
        </is>
      </c>
      <c r="D717" s="13" t="inlineStr">
        <is>
          <t>TC-Device-06</t>
        </is>
      </c>
      <c r="E717" s="12" t="inlineStr">
        <is>
          <t>Device Detail Shows Identity, Owner and Provenance</t>
        </is>
      </c>
      <c r="F717" s="13" t="inlineStr">
        <is>
          <t>High</t>
        </is>
      </c>
      <c r="G717" s="12" t="inlineStr">
        <is>
          <t>A mapped device created through the order flow</t>
        </is>
      </c>
      <c r="H717" s="12" t="inlineStr">
        <is>
          <t>1. Open the device detail</t>
        </is>
      </c>
      <c r="I717" s="12" t="inlineStr">
        <is>
          <t>Identity (TID, serial, model, label), owner (business, main wallet) and provenance (order ref, delivery group, location, delivery contact) are all shown</t>
        </is>
      </c>
      <c r="J717" s="13" t="inlineStr">
        <is>
          <t>Not Tested</t>
        </is>
      </c>
      <c r="K717" s="13" t="inlineStr">
        <is>
          <t>Functional</t>
        </is>
      </c>
    </row>
    <row r="718" ht="36" customHeight="1">
      <c r="A718" s="12" t="inlineStr">
        <is>
          <t>PoS Device Management (EMI-5824)</t>
        </is>
      </c>
      <c r="B718" s="12" t="inlineStr">
        <is>
          <t>PoS Device Management</t>
        </is>
      </c>
      <c r="C718" s="12" t="inlineStr">
        <is>
          <t>Profile</t>
        </is>
      </c>
      <c r="D718" s="13" t="inlineStr">
        <is>
          <t>TC-Device-07</t>
        </is>
      </c>
      <c r="E718" s="12" t="inlineStr">
        <is>
          <t>Status History Is an Append-Only Timeline</t>
        </is>
      </c>
      <c r="F718" s="13" t="inlineStr">
        <is>
          <t>High</t>
        </is>
      </c>
      <c r="G718" s="12" t="inlineStr">
        <is>
          <t>A device that has been through several lifecycle actions</t>
        </is>
      </c>
      <c r="H718" s="12" t="inlineStr">
        <is>
          <t>1. Open the status history
2. Attempt to edit or delete an entry</t>
        </is>
      </c>
      <c r="I718" s="12" t="inlineStr">
        <is>
          <t>The timeline shows actor, timestamp and note for each transition and is append-only; edits and deletes are rejected</t>
        </is>
      </c>
      <c r="J718" s="13" t="inlineStr">
        <is>
          <t>Not Tested</t>
        </is>
      </c>
      <c r="K718" s="13" t="inlineStr">
        <is>
          <t>Negative</t>
        </is>
      </c>
    </row>
    <row r="719" ht="36" customHeight="1">
      <c r="A719" s="12" t="inlineStr">
        <is>
          <t>PoS Device Management (EMI-5824)</t>
        </is>
      </c>
      <c r="B719" s="12" t="inlineStr">
        <is>
          <t>PoS Device Management</t>
        </is>
      </c>
      <c r="C719" s="12" t="inlineStr">
        <is>
          <t>Lifecycle</t>
        </is>
      </c>
      <c r="D719" s="13" t="inlineStr">
        <is>
          <t>TC-Device-08</t>
        </is>
      </c>
      <c r="E719" s="12" t="inlineStr">
        <is>
          <t>Suspend Then Reactivate</t>
        </is>
      </c>
      <c r="F719" s="13" t="inlineStr">
        <is>
          <t>High</t>
        </is>
      </c>
      <c r="G719" s="12" t="inlineStr">
        <is>
          <t>An Active device</t>
        </is>
      </c>
      <c r="H719" s="12" t="inlineStr">
        <is>
          <t>1. Suspend the device with a reason
2. Attempt a transaction on it
3. Reactivate it
4. Transact again</t>
        </is>
      </c>
      <c r="I719" s="12" t="inlineStr">
        <is>
          <t>Status toggles Active to Suspended to Active; transactions are blocked while suspended and succeed after reactivation; the ledger is preserved throughout and status-history plus audit entries are written for both actions</t>
        </is>
      </c>
      <c r="J719" s="13" t="inlineStr">
        <is>
          <t>Not Tested</t>
        </is>
      </c>
      <c r="K719" s="13" t="inlineStr">
        <is>
          <t>Functional</t>
        </is>
      </c>
    </row>
    <row r="720" ht="36" customHeight="1">
      <c r="A720" s="12" t="inlineStr">
        <is>
          <t>PoS Device Management (EMI-5824)</t>
        </is>
      </c>
      <c r="B720" s="12" t="inlineStr">
        <is>
          <t>PoS Device Management</t>
        </is>
      </c>
      <c r="C720" s="12" t="inlineStr">
        <is>
          <t>Lifecycle</t>
        </is>
      </c>
      <c r="D720" s="13" t="inlineStr">
        <is>
          <t>TC-Device-09</t>
        </is>
      </c>
      <c r="E720" s="12" t="inlineStr">
        <is>
          <t>Block Requires a Mandatory Reason</t>
        </is>
      </c>
      <c r="F720" s="13" t="inlineStr">
        <is>
          <t>High</t>
        </is>
      </c>
      <c r="G720" s="12" t="inlineStr">
        <is>
          <t>An Active device</t>
        </is>
      </c>
      <c r="H720" s="12" t="inlineStr">
        <is>
          <t>1. Attempt to block the device without a reason
2. Block it with a reason</t>
        </is>
      </c>
      <c r="I720" s="12" t="inlineStr">
        <is>
          <t>The first attempt is rejected; the second succeeds and the device is Blocked with the reason recorded</t>
        </is>
      </c>
      <c r="J720" s="13" t="inlineStr">
        <is>
          <t>Not Tested</t>
        </is>
      </c>
      <c r="K720" s="13" t="inlineStr">
        <is>
          <t>Negative</t>
        </is>
      </c>
    </row>
    <row r="721" ht="36" customHeight="1">
      <c r="A721" s="12" t="inlineStr">
        <is>
          <t>PoS Device Management (EMI-5824)</t>
        </is>
      </c>
      <c r="B721" s="12" t="inlineStr">
        <is>
          <t>PoS Device Management</t>
        </is>
      </c>
      <c r="C721" s="12" t="inlineStr">
        <is>
          <t>Lifecycle</t>
        </is>
      </c>
      <c r="D721" s="13" t="inlineStr">
        <is>
          <t>TC-Device-10</t>
        </is>
      </c>
      <c r="E721" s="12" t="inlineStr">
        <is>
          <t>Blocked Device Requires Admin Unblock to Resume</t>
        </is>
      </c>
      <c r="F721" s="13" t="inlineStr">
        <is>
          <t>High</t>
        </is>
      </c>
      <c r="G721" s="12" t="inlineStr">
        <is>
          <t>A Blocked device</t>
        </is>
      </c>
      <c r="H721" s="12" t="inlineStr">
        <is>
          <t>1. Attempt to transact on it
2. Attempt to reactivate it by any route other than admin unblock
3. Unblock as an admin</t>
        </is>
      </c>
      <c r="I721" s="12" t="inlineStr">
        <is>
          <t>Transactions are refused; only an admin unblock returns the device to Active</t>
        </is>
      </c>
      <c r="J721" s="13" t="inlineStr">
        <is>
          <t>Not Tested</t>
        </is>
      </c>
      <c r="K721" s="13" t="inlineStr">
        <is>
          <t>Negative</t>
        </is>
      </c>
    </row>
    <row r="722" ht="36" customHeight="1">
      <c r="A722" s="12" t="inlineStr">
        <is>
          <t>PoS Device Management (EMI-5824)</t>
        </is>
      </c>
      <c r="B722" s="12" t="inlineStr">
        <is>
          <t>PoS Device Management</t>
        </is>
      </c>
      <c r="C722" s="12" t="inlineStr">
        <is>
          <t>Lifecycle</t>
        </is>
      </c>
      <c r="D722" s="13" t="inlineStr">
        <is>
          <t>TC-Device-11</t>
        </is>
      </c>
      <c r="E722" s="12" t="inlineStr">
        <is>
          <t>Replace Preserves History and Sub-Ledger Continuity</t>
        </is>
      </c>
      <c r="F722" s="13" t="inlineStr">
        <is>
          <t>High</t>
        </is>
      </c>
      <c r="G722" s="12" t="inlineStr">
        <is>
          <t>An Active device with transaction history and a non-zero ledger balance</t>
        </is>
      </c>
      <c r="H722" s="12" t="inlineStr">
        <is>
          <t>1. Replace the device, mapping a successor TID
2. Inspect the old and new device records and the sub-ledger</t>
        </is>
      </c>
      <c r="I722" s="12" t="inlineStr">
        <is>
          <t>The old TID is retired as Replaced and the successor TID is linked; the successor inherits the ledger lineage and the history and sub-ledger continuity are preserved</t>
        </is>
      </c>
      <c r="J722" s="13" t="inlineStr">
        <is>
          <t>Not Tested</t>
        </is>
      </c>
      <c r="K722" s="13" t="inlineStr">
        <is>
          <t>Functional</t>
        </is>
      </c>
    </row>
    <row r="723" ht="36" customHeight="1">
      <c r="A723" s="12" t="inlineStr">
        <is>
          <t>PoS Device Management (EMI-5824)</t>
        </is>
      </c>
      <c r="B723" s="12" t="inlineStr">
        <is>
          <t>PoS Device Management</t>
        </is>
      </c>
      <c r="C723" s="12" t="inlineStr">
        <is>
          <t>Lifecycle</t>
        </is>
      </c>
      <c r="D723" s="13" t="inlineStr">
        <is>
          <t>TC-Device-12</t>
        </is>
      </c>
      <c r="E723" s="12" t="inlineStr">
        <is>
          <t>Replace With a TID Already in Use Is Rejected</t>
        </is>
      </c>
      <c r="F723" s="13" t="inlineStr">
        <is>
          <t>High</t>
        </is>
      </c>
      <c r="G723" s="12" t="inlineStr">
        <is>
          <t>A TID already mapped to another device</t>
        </is>
      </c>
      <c r="H723" s="12" t="inlineStr">
        <is>
          <t>1. Attempt a replace using that TID</t>
        </is>
      </c>
      <c r="I723" s="12" t="inlineStr">
        <is>
          <t>Rejected; TID uniqueness is enforced platform-wide</t>
        </is>
      </c>
      <c r="J723" s="13" t="inlineStr">
        <is>
          <t>Not Tested</t>
        </is>
      </c>
      <c r="K723" s="13" t="inlineStr">
        <is>
          <t>Negative</t>
        </is>
      </c>
    </row>
    <row r="724" ht="36" customHeight="1">
      <c r="A724" s="12" t="inlineStr">
        <is>
          <t>PoS Device Management (EMI-5824)</t>
        </is>
      </c>
      <c r="B724" s="12" t="inlineStr">
        <is>
          <t>PoS Device Management</t>
        </is>
      </c>
      <c r="C724" s="12" t="inlineStr">
        <is>
          <t>Lifecycle</t>
        </is>
      </c>
      <c r="D724" s="13" t="inlineStr">
        <is>
          <t>TC-Device-13</t>
        </is>
      </c>
      <c r="E724" s="12" t="inlineStr">
        <is>
          <t>Relocate and Relabel</t>
        </is>
      </c>
      <c r="F724" s="13" t="inlineStr">
        <is>
          <t>Medium</t>
        </is>
      </c>
      <c r="G724" s="12" t="inlineStr">
        <is>
          <t>An Active device</t>
        </is>
      </c>
      <c r="H724" s="12" t="inlineStr">
        <is>
          <t>1. Update the device location and its label
2. Inspect the record and the audit trail</t>
        </is>
      </c>
      <c r="I724" s="12" t="inlineStr">
        <is>
          <t>Location and label are updated and an audit entry is written for each change</t>
        </is>
      </c>
      <c r="J724" s="13" t="inlineStr">
        <is>
          <t>Not Tested</t>
        </is>
      </c>
      <c r="K724" s="13" t="inlineStr">
        <is>
          <t>Functional</t>
        </is>
      </c>
    </row>
    <row r="725" ht="36" customHeight="1">
      <c r="A725" s="12" t="inlineStr">
        <is>
          <t>PoS Device Management (EMI-5824)</t>
        </is>
      </c>
      <c r="B725" s="12" t="inlineStr">
        <is>
          <t>PoS Device Management</t>
        </is>
      </c>
      <c r="C725" s="12" t="inlineStr">
        <is>
          <t>Lifecycle</t>
        </is>
      </c>
      <c r="D725" s="13" t="inlineStr">
        <is>
          <t>TC-Device-14</t>
        </is>
      </c>
      <c r="E725" s="12" t="inlineStr">
        <is>
          <t>Invalid State Transition Is Rejected With Allowed Next States</t>
        </is>
      </c>
      <c r="F725" s="13" t="inlineStr">
        <is>
          <t>High</t>
        </is>
      </c>
      <c r="G725" s="12" t="inlineStr">
        <is>
          <t>A device in a terminal or otherwise restricted state</t>
        </is>
      </c>
      <c r="H725" s="12" t="inlineStr">
        <is>
          <t>1. Attempt a transition that the status model does not permit</t>
        </is>
      </c>
      <c r="I725" s="12" t="inlineStr">
        <is>
          <t>Rejected server-side with the allowed next states returned; the transition is never accepted client-side only</t>
        </is>
      </c>
      <c r="J725" s="13" t="inlineStr">
        <is>
          <t>Not Tested</t>
        </is>
      </c>
      <c r="K725" s="13" t="inlineStr">
        <is>
          <t>Negative</t>
        </is>
      </c>
    </row>
    <row r="726" ht="36" customHeight="1">
      <c r="A726" s="12" t="inlineStr">
        <is>
          <t>PoS Device Management (EMI-5824)</t>
        </is>
      </c>
      <c r="B726" s="12" t="inlineStr">
        <is>
          <t>PoS Device Management</t>
        </is>
      </c>
      <c r="C726" s="12" t="inlineStr">
        <is>
          <t>Lifecycle</t>
        </is>
      </c>
      <c r="D726" s="13" t="inlineStr">
        <is>
          <t>TC-Device-15</t>
        </is>
      </c>
      <c r="E726" s="12" t="inlineStr">
        <is>
          <t>Terminated Device and Ledger Are Retained Read-Only</t>
        </is>
      </c>
      <c r="F726" s="13" t="inlineStr">
        <is>
          <t>High</t>
        </is>
      </c>
      <c r="G726" s="12" t="inlineStr">
        <is>
          <t>A device terminated through the EMI-5719 termination flow</t>
        </is>
      </c>
      <c r="H726" s="12" t="inlineStr">
        <is>
          <t>1. Open the terminated device and its sub-ledger
2. Attempt any lifecycle action</t>
        </is>
      </c>
      <c r="I726" s="12" t="inlineStr">
        <is>
          <t>Device and ledger are retained and readable for audit; no further lifecycle action is possible</t>
        </is>
      </c>
      <c r="J726" s="13" t="inlineStr">
        <is>
          <t>Not Tested</t>
        </is>
      </c>
      <c r="K726" s="13" t="inlineStr">
        <is>
          <t>Functional</t>
        </is>
      </c>
    </row>
    <row r="727" ht="36" customHeight="1">
      <c r="A727" s="12" t="inlineStr">
        <is>
          <t>PoS Device Management (EMI-5824)</t>
        </is>
      </c>
      <c r="B727" s="12" t="inlineStr">
        <is>
          <t>PoS Device Management</t>
        </is>
      </c>
      <c r="C727" s="12" t="inlineStr">
        <is>
          <t>Lifecycle</t>
        </is>
      </c>
      <c r="D727" s="13" t="inlineStr">
        <is>
          <t>TC-Device-16</t>
        </is>
      </c>
      <c r="E727" s="12" t="inlineStr">
        <is>
          <t>Every Lifecycle Action Is Enforced Server-Side and Audited</t>
        </is>
      </c>
      <c r="F727" s="13" t="inlineStr">
        <is>
          <t>High</t>
        </is>
      </c>
      <c r="G727" s="12" t="inlineStr">
        <is>
          <t>API access to the device endpoints</t>
        </is>
      </c>
      <c r="H727" s="12" t="inlineStr">
        <is>
          <t>1. Attempt each lifecycle action directly against the API, bypassing the UI
2. Inspect the audit trail</t>
        </is>
      </c>
      <c r="I727" s="12" t="inlineStr">
        <is>
          <t>Validity is enforced server-side for every action; each writes an audit record carrying identity, action, reason and timestamp</t>
        </is>
      </c>
      <c r="J727" s="13" t="inlineStr">
        <is>
          <t>Not Tested</t>
        </is>
      </c>
      <c r="K727" s="13" t="inlineStr">
        <is>
          <t>Functional</t>
        </is>
      </c>
    </row>
    <row r="728" ht="36" customHeight="1">
      <c r="A728" s="12" t="inlineStr">
        <is>
          <t>PoS Device Management (EMI-5824)</t>
        </is>
      </c>
      <c r="B728" s="12" t="inlineStr">
        <is>
          <t>PoS Device Management</t>
        </is>
      </c>
      <c r="C728" s="12" t="inlineStr">
        <is>
          <t>Self-Service</t>
        </is>
      </c>
      <c r="D728" s="13" t="inlineStr">
        <is>
          <t>TC-Device-17</t>
        </is>
      </c>
      <c r="E728" s="12" t="inlineStr">
        <is>
          <t>Business Can Relabel Its Own Device</t>
        </is>
      </c>
      <c r="F728" s="13" t="inlineStr">
        <is>
          <t>Medium</t>
        </is>
      </c>
      <c r="G728" s="12" t="inlineStr">
        <is>
          <t>A business user with an own device</t>
        </is>
      </c>
      <c r="H728" s="12" t="inlineStr">
        <is>
          <t>1. Relabel the device</t>
        </is>
      </c>
      <c r="I728" s="12" t="inlineStr">
        <is>
          <t>The nickname updates with no state change; the action is scoped to the owning business</t>
        </is>
      </c>
      <c r="J728" s="13" t="inlineStr">
        <is>
          <t>Not Tested</t>
        </is>
      </c>
      <c r="K728" s="13" t="inlineStr">
        <is>
          <t>Functional</t>
        </is>
      </c>
    </row>
    <row r="729" ht="36" customHeight="1">
      <c r="A729" s="12" t="inlineStr">
        <is>
          <t>PoS Device Management (EMI-5824)</t>
        </is>
      </c>
      <c r="B729" s="12" t="inlineStr">
        <is>
          <t>PoS Device Management</t>
        </is>
      </c>
      <c r="C729" s="12" t="inlineStr">
        <is>
          <t>Self-Service</t>
        </is>
      </c>
      <c r="D729" s="13" t="inlineStr">
        <is>
          <t>TC-Device-18</t>
        </is>
      </c>
      <c r="E729" s="12" t="inlineStr">
        <is>
          <t>Business Can Report an Issue Without Changing State</t>
        </is>
      </c>
      <c r="F729" s="13" t="inlineStr">
        <is>
          <t>Medium</t>
        </is>
      </c>
      <c r="G729" s="12" t="inlineStr">
        <is>
          <t>A business user with an own device</t>
        </is>
      </c>
      <c r="H729" s="12" t="inlineStr">
        <is>
          <t>1. Report an issue on the device
2. Inspect the device state</t>
        </is>
      </c>
      <c r="I729" s="12" t="inlineStr">
        <is>
          <t>A support or OPS ticket is raised and the device state is unchanged</t>
        </is>
      </c>
      <c r="J729" s="13" t="inlineStr">
        <is>
          <t>Not Tested</t>
        </is>
      </c>
      <c r="K729" s="13" t="inlineStr">
        <is>
          <t>Functional</t>
        </is>
      </c>
    </row>
    <row r="730" ht="36" customHeight="1">
      <c r="A730" s="12" t="inlineStr">
        <is>
          <t>PoS Device Management (EMI-5824)</t>
        </is>
      </c>
      <c r="B730" s="12" t="inlineStr">
        <is>
          <t>PoS Device Management</t>
        </is>
      </c>
      <c r="C730" s="12" t="inlineStr">
        <is>
          <t>Self-Service</t>
        </is>
      </c>
      <c r="D730" s="13" t="inlineStr">
        <is>
          <t>TC-Device-19</t>
        </is>
      </c>
      <c r="E730" s="12" t="inlineStr">
        <is>
          <t>Business Can Request Termination for Admin Confirmation</t>
        </is>
      </c>
      <c r="F730" s="13" t="inlineStr">
        <is>
          <t>Medium</t>
        </is>
      </c>
      <c r="G730" s="12" t="inlineStr">
        <is>
          <t>A business user with an own device</t>
        </is>
      </c>
      <c r="H730" s="12" t="inlineStr">
        <is>
          <t>1. Request termination
2. Observe the flow and the device state</t>
        </is>
      </c>
      <c r="I730" s="12" t="inlineStr">
        <is>
          <t>The EMI-5719 termination flow is initiated and awaits admin confirmation; the business cannot terminate unilaterally</t>
        </is>
      </c>
      <c r="J730" s="13" t="inlineStr">
        <is>
          <t>Not Tested</t>
        </is>
      </c>
      <c r="K730" s="13" t="inlineStr">
        <is>
          <t>Functional</t>
        </is>
      </c>
    </row>
    <row r="731" ht="36" customHeight="1">
      <c r="A731" s="12" t="inlineStr">
        <is>
          <t>PoS Device Management (EMI-5824)</t>
        </is>
      </c>
      <c r="B731" s="12" t="inlineStr">
        <is>
          <t>PoS Device Management</t>
        </is>
      </c>
      <c r="C731" s="12" t="inlineStr">
        <is>
          <t>Self-Service</t>
        </is>
      </c>
      <c r="D731" s="13" t="inlineStr">
        <is>
          <t>TC-Device-20</t>
        </is>
      </c>
      <c r="E731" s="12" t="inlineStr">
        <is>
          <t>Business Cannot Perform Hard State Changes</t>
        </is>
      </c>
      <c r="F731" s="13" t="inlineStr">
        <is>
          <t>High</t>
        </is>
      </c>
      <c r="G731" s="12" t="inlineStr">
        <is>
          <t>A business user with an own device</t>
        </is>
      </c>
      <c r="H731" s="12" t="inlineStr">
        <is>
          <t>1. Attempt to suspend, block, replace and relocate the device through every available route including the API</t>
        </is>
      </c>
      <c r="I731" s="12" t="inlineStr">
        <is>
          <t>All four are refused; suspend, block, replace and relocate remain admin-only</t>
        </is>
      </c>
      <c r="J731" s="13" t="inlineStr">
        <is>
          <t>Not Tested</t>
        </is>
      </c>
      <c r="K731" s="13" t="inlineStr">
        <is>
          <t>Negative</t>
        </is>
      </c>
    </row>
    <row r="732" ht="36" customHeight="1">
      <c r="A732" s="12" t="inlineStr">
        <is>
          <t>PoS Device Management (EMI-5824)</t>
        </is>
      </c>
      <c r="B732" s="12" t="inlineStr">
        <is>
          <t>PoS Device Management</t>
        </is>
      </c>
      <c r="C732" s="12" t="inlineStr">
        <is>
          <t>Authorization</t>
        </is>
      </c>
      <c r="D732" s="13" t="inlineStr">
        <is>
          <t>TC-Device-21</t>
        </is>
      </c>
      <c r="E732" s="12" t="inlineStr">
        <is>
          <t>Business Acting on a Non-Owned Device Is Refused Without Leakage</t>
        </is>
      </c>
      <c r="F732" s="13" t="inlineStr">
        <is>
          <t>High</t>
        </is>
      </c>
      <c r="G732" s="12" t="inlineStr">
        <is>
          <t>Two businesses with devices; a business user signed in</t>
        </is>
      </c>
      <c r="H732" s="12" t="inlineStr">
        <is>
          <t>1. Attempt to read and to act on another business's device by direct reference</t>
        </is>
      </c>
      <c r="I732" s="12" t="inlineStr">
        <is>
          <t>Refused with 403 or not-found; no detail about the other business's device leaks in the response</t>
        </is>
      </c>
      <c r="J732" s="13" t="inlineStr">
        <is>
          <t>Not Tested</t>
        </is>
      </c>
      <c r="K732" s="13" t="inlineStr">
        <is>
          <t>Security</t>
        </is>
      </c>
    </row>
    <row r="733" ht="36" customHeight="1">
      <c r="A733" s="12" t="inlineStr">
        <is>
          <t>PoS Device Management (EMI-5824)</t>
        </is>
      </c>
      <c r="B733" s="12" t="inlineStr">
        <is>
          <t>PoS Device Management</t>
        </is>
      </c>
      <c r="C733" s="12" t="inlineStr">
        <is>
          <t>Authorization</t>
        </is>
      </c>
      <c r="D733" s="13" t="inlineStr">
        <is>
          <t>TC-Device-22</t>
        </is>
      </c>
      <c r="E733" s="12" t="inlineStr">
        <is>
          <t>Business Queries Are Hard-Scoped Server-Side</t>
        </is>
      </c>
      <c r="F733" s="13" t="inlineStr">
        <is>
          <t>High</t>
        </is>
      </c>
      <c r="G733" s="12" t="inlineStr">
        <is>
          <t>API access as a business user</t>
        </is>
      </c>
      <c r="H733" s="12" t="inlineStr">
        <is>
          <t>1. Call the device and sub-ledger endpoints attempting to widen the scope beyond the caller's business</t>
        </is>
      </c>
      <c r="I733" s="12" t="inlineStr">
        <is>
          <t>Queries are hard-scoped to the caller's businessId server-side; cross-business access is impossible regardless of the request</t>
        </is>
      </c>
      <c r="J733" s="13" t="inlineStr">
        <is>
          <t>Not Tested</t>
        </is>
      </c>
      <c r="K733" s="13" t="inlineStr">
        <is>
          <t>Security</t>
        </is>
      </c>
    </row>
    <row r="734" ht="36" customHeight="1">
      <c r="A734" s="12" t="inlineStr">
        <is>
          <t>PoS Device Management (EMI-5824)</t>
        </is>
      </c>
      <c r="B734" s="12" t="inlineStr">
        <is>
          <t>PoS Device Management</t>
        </is>
      </c>
      <c r="C734" s="12" t="inlineStr">
        <is>
          <t>Sub-Ledger</t>
        </is>
      </c>
      <c r="D734" s="13" t="inlineStr">
        <is>
          <t>TC-Device-23</t>
        </is>
      </c>
      <c r="E734" s="12" t="inlineStr">
        <is>
          <t>Sub-Ledger Shows Running Balance, Statement and Transaction List</t>
        </is>
      </c>
      <c r="F734" s="13" t="inlineStr">
        <is>
          <t>High</t>
        </is>
      </c>
      <c r="G734" s="12" t="inlineStr">
        <is>
          <t>A device with sales, refunds and a settlement payment attributed to it</t>
        </is>
      </c>
      <c r="H734" s="12" t="inlineStr">
        <is>
          <t>1. Open the device sub-ledger</t>
        </is>
      </c>
      <c r="I734" s="12" t="inlineStr">
        <is>
          <t>The header shows the running balance; the Statement section shows posted entries with a running balance; the Transactions section shows the raw transaction list with amount, type, timestamp, reference and counterparty where available</t>
        </is>
      </c>
      <c r="J734" s="13" t="inlineStr">
        <is>
          <t>Not Tested</t>
        </is>
      </c>
      <c r="K734" s="13" t="inlineStr">
        <is>
          <t>Functional</t>
        </is>
      </c>
    </row>
    <row r="735" ht="36" customHeight="1">
      <c r="A735" s="12" t="inlineStr">
        <is>
          <t>PoS Device Management (EMI-5824)</t>
        </is>
      </c>
      <c r="B735" s="12" t="inlineStr">
        <is>
          <t>PoS Device Management</t>
        </is>
      </c>
      <c r="C735" s="12" t="inlineStr">
        <is>
          <t>Sub-Ledger</t>
        </is>
      </c>
      <c r="D735" s="13" t="inlineStr">
        <is>
          <t>TC-Device-24</t>
        </is>
      </c>
      <c r="E735" s="12" t="inlineStr">
        <is>
          <t>A Wallet Transaction Tagged With the Device TID Appears in Its Sub-Ledger</t>
        </is>
      </c>
      <c r="F735" s="13" t="inlineStr">
        <is>
          <t>High</t>
        </is>
      </c>
      <c r="G735" s="12" t="inlineStr">
        <is>
          <t>An active device on a business main wallet</t>
        </is>
      </c>
      <c r="H735" s="12" t="inlineStr">
        <is>
          <t>1. Post a wallet transaction carrying that device's tid and deviceRef in its metadata
2. Open the device sub-ledger</t>
        </is>
      </c>
      <c r="I735" s="12" t="inlineStr">
        <is>
          <t>The entry appears in that device's sub-ledger with the correct running balance</t>
        </is>
      </c>
      <c r="J735" s="13" t="inlineStr">
        <is>
          <t>Not Tested</t>
        </is>
      </c>
      <c r="K735" s="13" t="inlineStr">
        <is>
          <t>Functional</t>
        </is>
      </c>
    </row>
    <row r="736" ht="36" customHeight="1">
      <c r="A736" s="12" t="inlineStr">
        <is>
          <t>PoS Device Management (EMI-5824)</t>
        </is>
      </c>
      <c r="B736" s="12" t="inlineStr">
        <is>
          <t>PoS Device Management</t>
        </is>
      </c>
      <c r="C736" s="12" t="inlineStr">
        <is>
          <t>Sub-Ledger</t>
        </is>
      </c>
      <c r="D736" s="13" t="inlineStr">
        <is>
          <t>TC-Device-25</t>
        </is>
      </c>
      <c r="E736" s="12" t="inlineStr">
        <is>
          <t>A Transaction Without Device Metadata Appears in No Sub-Ledger</t>
        </is>
      </c>
      <c r="F736" s="13" t="inlineStr">
        <is>
          <t>High</t>
        </is>
      </c>
      <c r="G736" s="12" t="inlineStr">
        <is>
          <t>A business main wallet shared by several devices</t>
        </is>
      </c>
      <c r="H736" s="12" t="inlineStr">
        <is>
          <t>1. Post a wallet transaction with no tid or deviceRef in its metadata
2. Inspect every device sub-ledger for that business</t>
        </is>
      </c>
      <c r="I736" s="12" t="inlineStr">
        <is>
          <t>The transaction appears in no device sub-ledger and is not silently attributed to an arbitrary device</t>
        </is>
      </c>
      <c r="J736" s="13" t="inlineStr">
        <is>
          <t>Not Tested</t>
        </is>
      </c>
      <c r="K736" s="13" t="inlineStr">
        <is>
          <t>Functional</t>
        </is>
      </c>
    </row>
    <row r="737" ht="36" customHeight="1">
      <c r="A737" s="12" t="inlineStr">
        <is>
          <t>PoS Device Management (EMI-5824)</t>
        </is>
      </c>
      <c r="B737" s="12" t="inlineStr">
        <is>
          <t>PoS Device Management</t>
        </is>
      </c>
      <c r="C737" s="12" t="inlineStr">
        <is>
          <t>Sub-Ledger</t>
        </is>
      </c>
      <c r="D737" s="13" t="inlineStr">
        <is>
          <t>TC-Device-26</t>
        </is>
      </c>
      <c r="E737" s="12" t="inlineStr">
        <is>
          <t>Multi-Device Wallet Attributes Each Transaction to the Correct Device</t>
        </is>
      </c>
      <c r="F737" s="13" t="inlineStr">
        <is>
          <t>High</t>
        </is>
      </c>
      <c r="G737" s="12" t="inlineStr">
        <is>
          <t>One business main wallet with several active devices</t>
        </is>
      </c>
      <c r="H737" s="12" t="inlineStr">
        <is>
          <t>1. Post transactions from each device
2. Compare each device sub-ledger against the wallet ledger</t>
        </is>
      </c>
      <c r="I737" s="12" t="inlineStr">
        <is>
          <t>Each transaction lands only in the sub-ledger of the device whose tid it carries; the device sub-ledgers plus unattributed entries account for the wallet ledger exactly, with nothing double-counted</t>
        </is>
      </c>
      <c r="J737" s="13" t="inlineStr">
        <is>
          <t>Not Tested</t>
        </is>
      </c>
      <c r="K737" s="13" t="inlineStr">
        <is>
          <t>Edge / Boundary</t>
        </is>
      </c>
    </row>
    <row r="738" ht="36" customHeight="1">
      <c r="A738" s="12" t="inlineStr">
        <is>
          <t>PoS Device Management (EMI-5824)</t>
        </is>
      </c>
      <c r="B738" s="12" t="inlineStr">
        <is>
          <t>PoS Device Management</t>
        </is>
      </c>
      <c r="C738" s="12" t="inlineStr">
        <is>
          <t>Sub-Ledger</t>
        </is>
      </c>
      <c r="D738" s="13" t="inlineStr">
        <is>
          <t>TC-Device-27</t>
        </is>
      </c>
      <c r="E738" s="12" t="inlineStr">
        <is>
          <t>Sub-Ledger Is a Read Model With No Money Movement</t>
        </is>
      </c>
      <c r="F738" s="13" t="inlineStr">
        <is>
          <t>High</t>
        </is>
      </c>
      <c r="G738" s="12" t="inlineStr">
        <is>
          <t>A device with a sub-ledger balance</t>
        </is>
      </c>
      <c r="H738" s="12" t="inlineStr">
        <is>
          <t>1. Inspect every action available from the sub-ledger surface
2. Attempt any payout, hold or transfer from it</t>
        </is>
      </c>
      <c r="I738" s="12" t="inlineStr">
        <is>
          <t>The sub-ledger is a read model over wallet-ledger entries; no money can be moved from it. Per-device settlement and payout are explicitly out of scope this phase</t>
        </is>
      </c>
      <c r="J738" s="13" t="inlineStr">
        <is>
          <t>Not Tested</t>
        </is>
      </c>
      <c r="K738" s="13" t="inlineStr">
        <is>
          <t>Functional</t>
        </is>
      </c>
    </row>
    <row r="739" ht="36" customHeight="1">
      <c r="A739" s="12" t="inlineStr">
        <is>
          <t>PoS Device Management (EMI-5824)</t>
        </is>
      </c>
      <c r="B739" s="12" t="inlineStr">
        <is>
          <t>PoS Device Management</t>
        </is>
      </c>
      <c r="C739" s="12" t="inlineStr">
        <is>
          <t>Sub-Ledger</t>
        </is>
      </c>
      <c r="D739" s="13" t="inlineStr">
        <is>
          <t>TC-Device-28</t>
        </is>
      </c>
      <c r="E739" s="12" t="inlineStr">
        <is>
          <t>Sub-Ledger Never Writes to the Wallet Ledger</t>
        </is>
      </c>
      <c r="F739" s="13" t="inlineStr">
        <is>
          <t>High</t>
        </is>
      </c>
      <c r="G739" s="12" t="inlineStr">
        <is>
          <t>Instrumentation on the wallet ledger</t>
        </is>
      </c>
      <c r="H739" s="12" t="inlineStr">
        <is>
          <t>1. Exercise every sub-ledger operation
2. Watch for writes to the wallet ledger</t>
        </is>
      </c>
      <c r="I739" s="12" t="inlineStr">
        <is>
          <t>No write to the wallet ledger originates from this surface; the wallet ledger remains the single source of truth for money</t>
        </is>
      </c>
      <c r="J739" s="13" t="inlineStr">
        <is>
          <t>Not Tested</t>
        </is>
      </c>
      <c r="K739" s="13" t="inlineStr">
        <is>
          <t>Functional</t>
        </is>
      </c>
    </row>
    <row r="740" ht="36" customHeight="1">
      <c r="A740" s="12" t="inlineStr">
        <is>
          <t>PoS Device Management (EMI-5824)</t>
        </is>
      </c>
      <c r="B740" s="12" t="inlineStr">
        <is>
          <t>PoS Device Management</t>
        </is>
      </c>
      <c r="C740" s="12" t="inlineStr">
        <is>
          <t>Sub-Ledger</t>
        </is>
      </c>
      <c r="D740" s="13" t="inlineStr">
        <is>
          <t>TC-Device-29</t>
        </is>
      </c>
      <c r="E740" s="12" t="inlineStr">
        <is>
          <t>Sub-Ledger Reconciles Exactly With the Filtered Wallet Ledger</t>
        </is>
      </c>
      <c r="F740" s="13" t="inlineStr">
        <is>
          <t>High</t>
        </is>
      </c>
      <c r="G740" s="12" t="inlineStr">
        <is>
          <t>A device with a period of activity</t>
        </is>
      </c>
      <c r="H740" s="12" t="inlineStr">
        <is>
          <t>1. Extract the wallet-ledger entries filtered by that device's metadata
2. Compare against the sub-ledger figures line by line and in total</t>
        </is>
      </c>
      <c r="I740" s="12" t="inlineStr">
        <is>
          <t>The sub-ledger reconciles exactly with the filtered wallet-ledger entries; every line and the closing balance agree</t>
        </is>
      </c>
      <c r="J740" s="13" t="inlineStr">
        <is>
          <t>Not Tested</t>
        </is>
      </c>
      <c r="K740" s="13" t="inlineStr">
        <is>
          <t>Edge / Boundary</t>
        </is>
      </c>
    </row>
    <row r="741" ht="36" customHeight="1">
      <c r="A741" s="12" t="inlineStr">
        <is>
          <t>PoS Device Management (EMI-5824)</t>
        </is>
      </c>
      <c r="B741" s="12" t="inlineStr">
        <is>
          <t>PoS Device Management</t>
        </is>
      </c>
      <c r="C741" s="12" t="inlineStr">
        <is>
          <t>Sub-Ledger</t>
        </is>
      </c>
      <c r="D741" s="13" t="inlineStr">
        <is>
          <t>TC-Device-30</t>
        </is>
      </c>
      <c r="E741" s="12" t="inlineStr">
        <is>
          <t>Sub-Ledger Mismatch Flags a Reconciliation Error Rather Than Displaying</t>
        </is>
      </c>
      <c r="F741" s="13" t="inlineStr">
        <is>
          <t>High</t>
        </is>
      </c>
      <c r="G741" s="12" t="inlineStr">
        <is>
          <t>A forced mismatch between the projection and the wallet ledger</t>
        </is>
      </c>
      <c r="H741" s="12" t="inlineStr">
        <is>
          <t>1. Open the device sub-ledger</t>
        </is>
      </c>
      <c r="I741" s="12" t="inlineStr">
        <is>
          <t>A reconciliation error is flagged and the unverified balance is not displayed; a wrong number is never shown as if it were correct</t>
        </is>
      </c>
      <c r="J741" s="13" t="inlineStr">
        <is>
          <t>Not Tested</t>
        </is>
      </c>
      <c r="K741" s="13" t="inlineStr">
        <is>
          <t>Functional</t>
        </is>
      </c>
    </row>
    <row r="742" ht="36" customHeight="1">
      <c r="A742" s="12" t="inlineStr">
        <is>
          <t>PoS Device Management (EMI-5824)</t>
        </is>
      </c>
      <c r="B742" s="12" t="inlineStr">
        <is>
          <t>PoS Device Management</t>
        </is>
      </c>
      <c r="C742" s="12" t="inlineStr">
        <is>
          <t>Sub-Ledger</t>
        </is>
      </c>
      <c r="D742" s="13" t="inlineStr">
        <is>
          <t>TC-Device-31</t>
        </is>
      </c>
      <c r="E742" s="12" t="inlineStr">
        <is>
          <t>Statement Export for a Date Range</t>
        </is>
      </c>
      <c r="F742" s="13" t="inlineStr">
        <is>
          <t>Medium</t>
        </is>
      </c>
      <c r="G742" s="12" t="inlineStr">
        <is>
          <t>A device with activity across a date range</t>
        </is>
      </c>
      <c r="H742" s="12" t="inlineStr">
        <is>
          <t>1. Export the statement as CSV, Excel and PDF for the range</t>
        </is>
      </c>
      <c r="I742" s="12" t="inlineStr">
        <is>
          <t>All three exports succeed and match the on-screen figures for the same range</t>
        </is>
      </c>
      <c r="J742" s="13" t="inlineStr">
        <is>
          <t>Not Tested</t>
        </is>
      </c>
      <c r="K742" s="13" t="inlineStr">
        <is>
          <t>Functional</t>
        </is>
      </c>
    </row>
    <row r="743" ht="36" customHeight="1">
      <c r="A743" s="12" t="inlineStr">
        <is>
          <t>PoS Device Management (EMI-5824)</t>
        </is>
      </c>
      <c r="B743" s="12" t="inlineStr">
        <is>
          <t>PoS Device Management</t>
        </is>
      </c>
      <c r="C743" s="12" t="inlineStr">
        <is>
          <t>Sub-Ledger</t>
        </is>
      </c>
      <c r="D743" s="13" t="inlineStr">
        <is>
          <t>TC-Device-32</t>
        </is>
      </c>
      <c r="E743" s="12" t="inlineStr">
        <is>
          <t>Export Failure Delivers No Partial File</t>
        </is>
      </c>
      <c r="F743" s="13" t="inlineStr">
        <is>
          <t>Medium</t>
        </is>
      </c>
      <c r="G743" s="12" t="inlineStr">
        <is>
          <t>An export forced to fail part-way</t>
        </is>
      </c>
      <c r="H743" s="12" t="inlineStr">
        <is>
          <t>1. Trigger the export</t>
        </is>
      </c>
      <c r="I743" s="12" t="inlineStr">
        <is>
          <t>The failure is surfaced and retryable; no partial file is delivered</t>
        </is>
      </c>
      <c r="J743" s="13" t="inlineStr">
        <is>
          <t>Not Tested</t>
        </is>
      </c>
      <c r="K743" s="13" t="inlineStr">
        <is>
          <t>Negative</t>
        </is>
      </c>
    </row>
    <row r="744" ht="36" customHeight="1">
      <c r="A744" s="12" t="inlineStr">
        <is>
          <t>PoS Device Management (EMI-5824)</t>
        </is>
      </c>
      <c r="B744" s="12" t="inlineStr">
        <is>
          <t>PoS Device Management</t>
        </is>
      </c>
      <c r="C744" s="12" t="inlineStr">
        <is>
          <t>Sub-Ledger</t>
        </is>
      </c>
      <c r="D744" s="13" t="inlineStr">
        <is>
          <t>TC-Device-33</t>
        </is>
      </c>
      <c r="E744" s="12" t="inlineStr">
        <is>
          <t>Ledger Continuity Across a Replace</t>
        </is>
      </c>
      <c r="F744" s="13" t="inlineStr">
        <is>
          <t>High</t>
        </is>
      </c>
      <c r="G744" s="12" t="inlineStr">
        <is>
          <t>A device with sub-ledger history that is then replaced</t>
        </is>
      </c>
      <c r="H744" s="12" t="inlineStr">
        <is>
          <t>1. Replace the device
2. Open the successor's sub-ledger and request the full history</t>
        </is>
      </c>
      <c r="I744" s="12" t="inlineStr">
        <is>
          <t>The successor's sub-ledger presents continuous history across the swap; no entries are orphaned on the retired TID and none are duplicated</t>
        </is>
      </c>
      <c r="J744" s="13" t="inlineStr">
        <is>
          <t>Not Tested</t>
        </is>
      </c>
      <c r="K744" s="13" t="inlineStr">
        <is>
          <t>Integration</t>
        </is>
      </c>
    </row>
    <row r="745" ht="36" customHeight="1">
      <c r="A745" s="12" t="inlineStr">
        <is>
          <t>PoS Device Management (EMI-5824)</t>
        </is>
      </c>
      <c r="B745" s="12" t="inlineStr">
        <is>
          <t>PoS Device Management</t>
        </is>
      </c>
      <c r="C745" s="12" t="inlineStr">
        <is>
          <t>Non-Functional</t>
        </is>
      </c>
      <c r="D745" s="13" t="inlineStr">
        <is>
          <t>TC-Device-34</t>
        </is>
      </c>
      <c r="E745" s="12" t="inlineStr">
        <is>
          <t>Device List and Statement Load Within Budget</t>
        </is>
      </c>
      <c r="F745" s="13" t="inlineStr">
        <is>
          <t>High</t>
        </is>
      </c>
      <c r="G745" s="12" t="inlineStr">
        <is>
          <t>A production-scale device population and a device with 12 months of activity</t>
        </is>
      </c>
      <c r="H745" s="12" t="inlineStr">
        <is>
          <t>1. Load the admin device list and time it
2. Load and page a 12-month statement and time it</t>
        </is>
      </c>
      <c r="I745" s="12" t="inlineStr">
        <is>
          <t>The device list loads within 2 seconds; the statement paginates and a 12-month range renders within 3 seconds</t>
        </is>
      </c>
      <c r="J745" s="13" t="inlineStr">
        <is>
          <t>Not Tested</t>
        </is>
      </c>
      <c r="K745" s="13" t="inlineStr">
        <is>
          <t>Performance / NFR</t>
        </is>
      </c>
    </row>
    <row r="746" ht="36" customHeight="1">
      <c r="A746" s="12" t="inlineStr">
        <is>
          <t>PoS Device Management (EMI-5824)</t>
        </is>
      </c>
      <c r="B746" s="12" t="inlineStr">
        <is>
          <t>PoS Device Management</t>
        </is>
      </c>
      <c r="C746" s="12" t="inlineStr">
        <is>
          <t>Non-Functional</t>
        </is>
      </c>
      <c r="D746" s="13" t="inlineStr">
        <is>
          <t>TC-Device-35</t>
        </is>
      </c>
      <c r="E746" s="12" t="inlineStr">
        <is>
          <t>TID and Serial Handling Is Encrypted and Unique</t>
        </is>
      </c>
      <c r="F746" s="13" t="inlineStr">
        <is>
          <t>High</t>
        </is>
      </c>
      <c r="G746" s="12" t="inlineStr">
        <is>
          <t>Access to storage and to the mapping flow</t>
        </is>
      </c>
      <c r="H746" s="12" t="inlineStr">
        <is>
          <t>1. Inspect how tid and serialNumber are stored
2. Attempt to map a duplicate TID</t>
        </is>
      </c>
      <c r="I746" s="12" t="inlineStr">
        <is>
          <t>Both are encrypted at rest and TID uniqueness is enforced platform-wide, consistent with EMI-5719</t>
        </is>
      </c>
      <c r="J746" s="13" t="inlineStr">
        <is>
          <t>Not Tested</t>
        </is>
      </c>
      <c r="K746" s="13" t="inlineStr">
        <is>
          <t>Security</t>
        </is>
      </c>
    </row>
    <row r="747" ht="36" customHeight="1">
      <c r="A747" s="12" t="inlineStr">
        <is>
          <t>PoS Device Management (EMI-5824)</t>
        </is>
      </c>
      <c r="B747" s="12" t="inlineStr">
        <is>
          <t>PoS Device Management</t>
        </is>
      </c>
      <c r="C747" s="12" t="inlineStr">
        <is>
          <t>Integration</t>
        </is>
      </c>
      <c r="D747" s="13" t="inlineStr">
        <is>
          <t>TC-Device-36</t>
        </is>
      </c>
      <c r="E747" s="12" t="inlineStr">
        <is>
          <t>Device Record Created on a TID Mapping Event</t>
        </is>
      </c>
      <c r="F747" s="13" t="inlineStr">
        <is>
          <t>High</t>
        </is>
      </c>
      <c r="G747" s="12" t="inlineStr">
        <is>
          <t>An order flow that maps a TID to a main wallet</t>
        </is>
      </c>
      <c r="H747" s="12" t="inlineStr">
        <is>
          <t>1. Complete the mapping in EMI-5719
2. Inspect the device directory</t>
        </is>
      </c>
      <c r="I747" s="12" t="inlineStr">
        <is>
          <t>A device record is created carrying its provenance from the order; this story consumes the event and does not own order creation, delivery or mapping</t>
        </is>
      </c>
      <c r="J747" s="13" t="inlineStr">
        <is>
          <t>Not Tested</t>
        </is>
      </c>
      <c r="K747" s="13" t="inlineStr">
        <is>
          <t>Integration</t>
        </is>
      </c>
    </row>
    <row r="748" ht="36" customHeight="1">
      <c r="A748" s="12" t="inlineStr">
        <is>
          <t>Payments TTL &amp; Invalidation (EMI-6031)</t>
        </is>
      </c>
      <c r="B748" s="12" t="inlineStr">
        <is>
          <t>Payments TTL &amp; Invalidation</t>
        </is>
      </c>
      <c r="C748" s="12" t="inlineStr">
        <is>
          <t>Draft Expiry</t>
        </is>
      </c>
      <c r="D748" s="13" t="inlineStr">
        <is>
          <t>TC-TTL-01</t>
        </is>
      </c>
      <c r="E748" s="12" t="inlineStr">
        <is>
          <t>Draft With No OTP Expires and Moves No Money</t>
        </is>
      </c>
      <c r="F748" s="13" t="inlineStr">
        <is>
          <t>High</t>
        </is>
      </c>
      <c r="G748" s="12" t="inlineStr">
        <is>
          <t>A draft created and left at PENDING_OTP; TTL configured</t>
        </is>
      </c>
      <c r="H748" s="12" t="inlineStr">
        <is>
          <t>1. Create the draft and never enter the OTP
2. Let the TTL elapse
3. Inspect the draft, the ledger and all balance buckets</t>
        </is>
      </c>
      <c r="I748" s="12" t="inlineStr">
        <is>
          <t>The draft moves to EXPIRED, which is terminal; no ledger posting is created and no balance bucket changes, because a draft never affected a balance</t>
        </is>
      </c>
      <c r="J748" s="13" t="inlineStr">
        <is>
          <t>Not Tested</t>
        </is>
      </c>
      <c r="K748" s="13" t="inlineStr">
        <is>
          <t>Negative</t>
        </is>
      </c>
    </row>
    <row r="749" ht="36" customHeight="1">
      <c r="A749" s="12" t="inlineStr">
        <is>
          <t>Payments TTL &amp; Invalidation (EMI-6031)</t>
        </is>
      </c>
      <c r="B749" s="12" t="inlineStr">
        <is>
          <t>Payments TTL &amp; Invalidation</t>
        </is>
      </c>
      <c r="C749" s="12" t="inlineStr">
        <is>
          <t>Draft Expiry</t>
        </is>
      </c>
      <c r="D749" s="13" t="inlineStr">
        <is>
          <t>TC-TTL-02</t>
        </is>
      </c>
      <c r="E749" s="12" t="inlineStr">
        <is>
          <t>Expired Draft Cannot Be Replayed</t>
        </is>
      </c>
      <c r="F749" s="13" t="inlineStr">
        <is>
          <t>High</t>
        </is>
      </c>
      <c r="G749" s="12" t="inlineStr">
        <is>
          <t>An expired draft</t>
        </is>
      </c>
      <c r="H749" s="12" t="inlineStr">
        <is>
          <t>1. Replay the draft via a direct HTTP call
2. Replay it via a page refresh</t>
        </is>
      </c>
      <c r="I749" s="12" t="inlineStr">
        <is>
          <t>Both are rejected with a terminal error and no transaction is created. This closes the EMI-2012 replay exploit</t>
        </is>
      </c>
      <c r="J749" s="13" t="inlineStr">
        <is>
          <t>Not Tested</t>
        </is>
      </c>
      <c r="K749" s="13" t="inlineStr">
        <is>
          <t>Integration</t>
        </is>
      </c>
    </row>
    <row r="750" ht="36" customHeight="1">
      <c r="A750" s="12" t="inlineStr">
        <is>
          <t>Payments TTL &amp; Invalidation (EMI-6031)</t>
        </is>
      </c>
      <c r="B750" s="12" t="inlineStr">
        <is>
          <t>Payments TTL &amp; Invalidation</t>
        </is>
      </c>
      <c r="C750" s="12" t="inlineStr">
        <is>
          <t>Draft Expiry</t>
        </is>
      </c>
      <c r="D750" s="13" t="inlineStr">
        <is>
          <t>TC-TTL-03</t>
        </is>
      </c>
      <c r="E750" s="12" t="inlineStr">
        <is>
          <t>Expiry Releases Limit Headroom in Full</t>
        </is>
      </c>
      <c r="F750" s="13" t="inlineStr">
        <is>
          <t>High</t>
        </is>
      </c>
      <c r="G750" s="12" t="inlineStr">
        <is>
          <t>A customer holding limit headroom against a draft that then expires</t>
        </is>
      </c>
      <c r="H750" s="12" t="inlineStr">
        <is>
          <t>1. Let the draft expire
2. Attempt a new transaction of the same size</t>
        </is>
      </c>
      <c r="I750" s="12" t="inlineStr">
        <is>
          <t>Headroom is released in full, both amount and count, and the subsequent transaction passes</t>
        </is>
      </c>
      <c r="J750" s="13" t="inlineStr">
        <is>
          <t>Not Tested</t>
        </is>
      </c>
      <c r="K750" s="13" t="inlineStr">
        <is>
          <t>Functional</t>
        </is>
      </c>
    </row>
    <row r="751" ht="36" customHeight="1">
      <c r="A751" s="12" t="inlineStr">
        <is>
          <t>Payments TTL &amp; Invalidation (EMI-6031)</t>
        </is>
      </c>
      <c r="B751" s="12" t="inlineStr">
        <is>
          <t>Payments TTL &amp; Invalidation</t>
        </is>
      </c>
      <c r="C751" s="12" t="inlineStr">
        <is>
          <t>Draft Expiry</t>
        </is>
      </c>
      <c r="D751" s="13" t="inlineStr">
        <is>
          <t>TC-TTL-04</t>
        </is>
      </c>
      <c r="E751" s="12" t="inlineStr">
        <is>
          <t>Promotion and Expiry Are Mutually Exclusive Under Concurrency</t>
        </is>
      </c>
      <c r="F751" s="13" t="inlineStr">
        <is>
          <t>High</t>
        </is>
      </c>
      <c r="G751" s="12" t="inlineStr">
        <is>
          <t>A draft at the exact moment the TTL job selects it while it is also being promoted</t>
        </is>
      </c>
      <c r="H751" s="12" t="inlineStr">
        <is>
          <t>1. Force the race between promotion and expiry
2. Inspect the outcome and the limit counters</t>
        </is>
      </c>
      <c r="I751" s="12" t="inlineStr">
        <is>
          <t>Exactly one outcome occurs, promoted or expired but never both; no double count against limits. The transition is a conditional state change, not check-then-write</t>
        </is>
      </c>
      <c r="J751" s="13" t="inlineStr">
        <is>
          <t>Not Tested</t>
        </is>
      </c>
      <c r="K751" s="13" t="inlineStr">
        <is>
          <t>Integration</t>
        </is>
      </c>
    </row>
    <row r="752" ht="36" customHeight="1">
      <c r="A752" s="12" t="inlineStr">
        <is>
          <t>Payments TTL &amp; Invalidation (EMI-6031)</t>
        </is>
      </c>
      <c r="B752" s="12" t="inlineStr">
        <is>
          <t>Payments TTL &amp; Invalidation</t>
        </is>
      </c>
      <c r="C752" s="12" t="inlineStr">
        <is>
          <t>Draft Expiry</t>
        </is>
      </c>
      <c r="D752" s="13" t="inlineStr">
        <is>
          <t>TC-TTL-05</t>
        </is>
      </c>
      <c r="E752" s="12" t="inlineStr">
        <is>
          <t>Explicit Cancel Follows the Same Release Path</t>
        </is>
      </c>
      <c r="F752" s="13" t="inlineStr">
        <is>
          <t>Medium</t>
        </is>
      </c>
      <c r="G752" s="12" t="inlineStr">
        <is>
          <t>A draft cancelled by the customer before its TTL</t>
        </is>
      </c>
      <c r="H752" s="12" t="inlineStr">
        <is>
          <t>1. Cancel the draft
2. Let the TTL job run later</t>
        </is>
      </c>
      <c r="I752" s="12" t="inlineStr">
        <is>
          <t>Cancellation releases headroom by the same path as expiry, and the job later treats the item as a no-op</t>
        </is>
      </c>
      <c r="J752" s="13" t="inlineStr">
        <is>
          <t>Not Tested</t>
        </is>
      </c>
      <c r="K752" s="13" t="inlineStr">
        <is>
          <t>Functional</t>
        </is>
      </c>
    </row>
    <row r="753" ht="36" customHeight="1">
      <c r="A753" s="12" t="inlineStr">
        <is>
          <t>Payments TTL &amp; Invalidation (EMI-6031)</t>
        </is>
      </c>
      <c r="B753" s="12" t="inlineStr">
        <is>
          <t>Payments TTL &amp; Invalidation</t>
        </is>
      </c>
      <c r="C753" s="12" t="inlineStr">
        <is>
          <t>Draft Expiry</t>
        </is>
      </c>
      <c r="D753" s="13" t="inlineStr">
        <is>
          <t>TC-TTL-06</t>
        </is>
      </c>
      <c r="E753" s="12" t="inlineStr">
        <is>
          <t>expires_at Is Stamped at Creation From the Type TTL</t>
        </is>
      </c>
      <c r="F753" s="13" t="inlineStr">
        <is>
          <t>Medium</t>
        </is>
      </c>
      <c r="G753" s="12" t="inlineStr">
        <is>
          <t>TTL configured per transaction type</t>
        </is>
      </c>
      <c r="H753" s="12" t="inlineStr">
        <is>
          <t>1. Create drafts of several transaction types
2. Inspect expires_at on each</t>
        </is>
      </c>
      <c r="I753" s="12" t="inlineStr">
        <is>
          <t>Each carries an expires_at derived from the TTL configured for its type; the default is the OTP validity window</t>
        </is>
      </c>
      <c r="J753" s="13" t="inlineStr">
        <is>
          <t>Not Tested</t>
        </is>
      </c>
      <c r="K753" s="13" t="inlineStr">
        <is>
          <t>Functional</t>
        </is>
      </c>
    </row>
    <row r="754" ht="36" customHeight="1">
      <c r="A754" s="12" t="inlineStr">
        <is>
          <t>Payments TTL &amp; Invalidation (EMI-6031)</t>
        </is>
      </c>
      <c r="B754" s="12" t="inlineStr">
        <is>
          <t>Payments TTL &amp; Invalidation</t>
        </is>
      </c>
      <c r="C754" s="12" t="inlineStr">
        <is>
          <t>Ledger</t>
        </is>
      </c>
      <c r="D754" s="13" t="inlineStr">
        <is>
          <t>TC-TTL-07</t>
        </is>
      </c>
      <c r="E754" s="12" t="inlineStr">
        <is>
          <t>Expired Outbound Posting Appends a Compensating Posting</t>
        </is>
      </c>
      <c r="F754" s="13" t="inlineStr">
        <is>
          <t>High</t>
        </is>
      </c>
      <c r="G754" s="12" t="inlineStr">
        <is>
          <t>A wallet-to-wallet posting stuck in LEDGER_PENDING past its TTL, with the rail confirmed failed</t>
        </is>
      </c>
      <c r="H754" s="12" t="inlineStr">
        <is>
          <t>1. Let the job run
2. Inspect the original entry, the new posting and the buckets</t>
        </is>
      </c>
      <c r="I754" s="12" t="inlineStr">
        <is>
          <t>A compensating posting is appended and reserve_debit returns to available; the original entry is not modified, because the ledger is append-only</t>
        </is>
      </c>
      <c r="J754" s="13" t="inlineStr">
        <is>
          <t>Not Tested</t>
        </is>
      </c>
      <c r="K754" s="13" t="inlineStr">
        <is>
          <t>Negative</t>
        </is>
      </c>
    </row>
    <row r="755" ht="36" customHeight="1">
      <c r="A755" s="12" t="inlineStr">
        <is>
          <t>Payments TTL &amp; Invalidation (EMI-6031)</t>
        </is>
      </c>
      <c r="B755" s="12" t="inlineStr">
        <is>
          <t>Payments TTL &amp; Invalidation</t>
        </is>
      </c>
      <c r="C755" s="12" t="inlineStr">
        <is>
          <t>Ledger</t>
        </is>
      </c>
      <c r="D755" s="13" t="inlineStr">
        <is>
          <t>TC-TTL-08</t>
        </is>
      </c>
      <c r="E755" s="12" t="inlineStr">
        <is>
          <t>Expired Inbound Legs All Unwind Together</t>
        </is>
      </c>
      <c r="F755" s="13" t="inlineStr">
        <is>
          <t>High</t>
        </is>
      </c>
      <c r="G755" s="12" t="inlineStr">
        <is>
          <t>An expiring transaction with receiver, commission and VAT legs</t>
        </is>
      </c>
      <c r="H755" s="12" t="inlineStr">
        <is>
          <t>1. Let the job expire the transaction
2. Inspect every leg and the source</t>
        </is>
      </c>
      <c r="I755" s="12" t="inlineStr">
        <is>
          <t>reserve_credit is released on the receiver, commission and VAT wallets and the source's reserve_debit returns to zero; the legs release together or not at all, and the invariant holds leg by leg rather than only in aggregate</t>
        </is>
      </c>
      <c r="J755" s="13" t="inlineStr">
        <is>
          <t>Not Tested</t>
        </is>
      </c>
      <c r="K755" s="13" t="inlineStr">
        <is>
          <t>Negative</t>
        </is>
      </c>
    </row>
    <row r="756" ht="36" customHeight="1">
      <c r="A756" s="12" t="inlineStr">
        <is>
          <t>Payments TTL &amp; Invalidation (EMI-6031)</t>
        </is>
      </c>
      <c r="B756" s="12" t="inlineStr">
        <is>
          <t>Payments TTL &amp; Invalidation</t>
        </is>
      </c>
      <c r="C756" s="12" t="inlineStr">
        <is>
          <t>Ledger</t>
        </is>
      </c>
      <c r="D756" s="13" t="inlineStr">
        <is>
          <t>TC-TTL-09</t>
        </is>
      </c>
      <c r="E756" s="12" t="inlineStr">
        <is>
          <t>Terminal Postings Are Never Touched</t>
        </is>
      </c>
      <c r="F756" s="13" t="inlineStr">
        <is>
          <t>High</t>
        </is>
      </c>
      <c r="G756" s="12" t="inlineStr">
        <is>
          <t>Postings in SUCCESS and FAILED, and a reversed entry, all aged well past any TTL</t>
        </is>
      </c>
      <c r="H756" s="12" t="inlineStr">
        <is>
          <t>1. Run the job
2. Inspect all three</t>
        </is>
      </c>
      <c r="I756" s="12" t="inlineStr">
        <is>
          <t>None is touched. Terminal is terminal</t>
        </is>
      </c>
      <c r="J756" s="13" t="inlineStr">
        <is>
          <t>Not Tested</t>
        </is>
      </c>
      <c r="K756" s="13" t="inlineStr">
        <is>
          <t>Functional</t>
        </is>
      </c>
    </row>
    <row r="757" ht="36" customHeight="1">
      <c r="A757" s="12" t="inlineStr">
        <is>
          <t>Payments TTL &amp; Invalidation (EMI-6031)</t>
        </is>
      </c>
      <c r="B757" s="12" t="inlineStr">
        <is>
          <t>Payments TTL &amp; Invalidation</t>
        </is>
      </c>
      <c r="C757" s="12" t="inlineStr">
        <is>
          <t>Ledger</t>
        </is>
      </c>
      <c r="D757" s="13" t="inlineStr">
        <is>
          <t>TC-TTL-10</t>
        </is>
      </c>
      <c r="E757" s="12" t="inlineStr">
        <is>
          <t>Exactly One Failure Reason Row Per Transaction Per Expiry</t>
        </is>
      </c>
      <c r="F757" s="13" t="inlineStr">
        <is>
          <t>High</t>
        </is>
      </c>
      <c r="G757" s="12" t="inlineStr">
        <is>
          <t>A transaction that expires</t>
        </is>
      </c>
      <c r="H757" s="12" t="inlineStr">
        <is>
          <t>1. Let the job expire it
2. Count the rows written to transaction_failed_reasons</t>
        </is>
      </c>
      <c r="I757" s="12" t="inlineStr">
        <is>
          <t>Exactly one row exists for that transaction. This is the EMI-5165 regression guard</t>
        </is>
      </c>
      <c r="J757" s="13" t="inlineStr">
        <is>
          <t>Not Tested</t>
        </is>
      </c>
      <c r="K757" s="13" t="inlineStr">
        <is>
          <t>Negative</t>
        </is>
      </c>
    </row>
    <row r="758" ht="36" customHeight="1">
      <c r="A758" s="12" t="inlineStr">
        <is>
          <t>Payments TTL &amp; Invalidation (EMI-6031)</t>
        </is>
      </c>
      <c r="B758" s="12" t="inlineStr">
        <is>
          <t>Payments TTL &amp; Invalidation</t>
        </is>
      </c>
      <c r="C758" s="12" t="inlineStr">
        <is>
          <t>Safety</t>
        </is>
      </c>
      <c r="D758" s="13" t="inlineStr">
        <is>
          <t>TC-TTL-11</t>
        </is>
      </c>
      <c r="E758" s="12" t="inlineStr">
        <is>
          <t>Unknown External Leg State Escalates Regardless of the Configured Default</t>
        </is>
      </c>
      <c r="F758" s="13" t="inlineStr">
        <is>
          <t>High</t>
        </is>
      </c>
      <c r="G758" s="12" t="inlineStr">
        <is>
          <t>A cashout past its TTL whose bank outcome the rail has not confirmed, with auto-reverse configured for that type</t>
        </is>
      </c>
      <c r="H758" s="12" t="inlineStr">
        <is>
          <t>1. Let the job run
2. Inspect the action taken</t>
        </is>
      </c>
      <c r="I758" s="12" t="inlineStr">
        <is>
          <t>The item is escalated, not auto-reversed, despite auto-reverse being the configured default. Reversing a transaction the counterparty later confirms as successful creates a real loss</t>
        </is>
      </c>
      <c r="J758" s="13" t="inlineStr">
        <is>
          <t>Not Tested</t>
        </is>
      </c>
      <c r="K758" s="13" t="inlineStr">
        <is>
          <t>Negative</t>
        </is>
      </c>
    </row>
    <row r="759" ht="36" customHeight="1">
      <c r="A759" s="12" t="inlineStr">
        <is>
          <t>Payments TTL &amp; Invalidation (EMI-6031)</t>
        </is>
      </c>
      <c r="B759" s="12" t="inlineStr">
        <is>
          <t>Payments TTL &amp; Invalidation</t>
        </is>
      </c>
      <c r="C759" s="12" t="inlineStr">
        <is>
          <t>Safety</t>
        </is>
      </c>
      <c r="D759" s="13" t="inlineStr">
        <is>
          <t>TC-TTL-12</t>
        </is>
      </c>
      <c r="E759" s="12" t="inlineStr">
        <is>
          <t>Escalation Creates No Posting</t>
        </is>
      </c>
      <c r="F759" s="13" t="inlineStr">
        <is>
          <t>High</t>
        </is>
      </c>
      <c r="G759" s="12" t="inlineStr">
        <is>
          <t>An item configured to escalate on expiry</t>
        </is>
      </c>
      <c r="H759" s="12" t="inlineStr">
        <is>
          <t>1. Let the job run
2. Inspect the ledger and the Ops queue</t>
        </is>
      </c>
      <c r="I759" s="12" t="inlineStr">
        <is>
          <t>No posting is created; the item is parked in the Ops queue with the reason, the age and the rule that fired</t>
        </is>
      </c>
      <c r="J759" s="13" t="inlineStr">
        <is>
          <t>Not Tested</t>
        </is>
      </c>
      <c r="K759" s="13" t="inlineStr">
        <is>
          <t>Negative</t>
        </is>
      </c>
    </row>
    <row r="760" ht="36" customHeight="1">
      <c r="A760" s="12" t="inlineStr">
        <is>
          <t>Payments TTL &amp; Invalidation (EMI-6031)</t>
        </is>
      </c>
      <c r="B760" s="12" t="inlineStr">
        <is>
          <t>Payments TTL &amp; Invalidation</t>
        </is>
      </c>
      <c r="C760" s="12" t="inlineStr">
        <is>
          <t>Safety</t>
        </is>
      </c>
      <c r="D760" s="13" t="inlineStr">
        <is>
          <t>TC-TTL-13</t>
        </is>
      </c>
      <c r="E760" s="12" t="inlineStr">
        <is>
          <t>Bank Transfer Cash-In Past TTL Escalates Rather Than Reversing</t>
        </is>
      </c>
      <c r="F760" s="13" t="inlineStr">
        <is>
          <t>High</t>
        </is>
      </c>
      <c r="G760" s="12" t="inlineStr">
        <is>
          <t>A bank-transfer cash-in past its 2 business day TTL</t>
        </is>
      </c>
      <c r="H760" s="12" t="inlineStr">
        <is>
          <t>1. Let the job run</t>
        </is>
      </c>
      <c r="I760" s="12" t="inlineStr">
        <is>
          <t>The item is escalated to Ops for manual reconciliation; funds are not auto-reversed</t>
        </is>
      </c>
      <c r="J760" s="13" t="inlineStr">
        <is>
          <t>Not Tested</t>
        </is>
      </c>
      <c r="K760" s="13" t="inlineStr">
        <is>
          <t>Negative</t>
        </is>
      </c>
    </row>
    <row r="761" ht="36" customHeight="1">
      <c r="A761" s="12" t="inlineStr">
        <is>
          <t>Payments TTL &amp; Invalidation (EMI-6031)</t>
        </is>
      </c>
      <c r="B761" s="12" t="inlineStr">
        <is>
          <t>Payments TTL &amp; Invalidation</t>
        </is>
      </c>
      <c r="C761" s="12" t="inlineStr">
        <is>
          <t>Safety</t>
        </is>
      </c>
      <c r="D761" s="13" t="inlineStr">
        <is>
          <t>TC-TTL-14</t>
        </is>
      </c>
      <c r="E761" s="12" t="inlineStr">
        <is>
          <t>External Rail Unreachable Escalates and Retries the State Check</t>
        </is>
      </c>
      <c r="F761" s="13" t="inlineStr">
        <is>
          <t>High</t>
        </is>
      </c>
      <c r="G761" s="12" t="inlineStr">
        <is>
          <t>An expiring item whose rail is unreachable</t>
        </is>
      </c>
      <c r="H761" s="12" t="inlineStr">
        <is>
          <t>1. Let the job run
2. Let it run again once the rail returns</t>
        </is>
      </c>
      <c r="I761" s="12" t="inlineStr">
        <is>
          <t>The first run escalates and logs the reason rather than auto-reversing; the state check is retried on the next run</t>
        </is>
      </c>
      <c r="J761" s="13" t="inlineStr">
        <is>
          <t>Not Tested</t>
        </is>
      </c>
      <c r="K761" s="13" t="inlineStr">
        <is>
          <t>Negative</t>
        </is>
      </c>
    </row>
    <row r="762" ht="36" customHeight="1">
      <c r="A762" s="12" t="inlineStr">
        <is>
          <t>Payments TTL &amp; Invalidation (EMI-6031)</t>
        </is>
      </c>
      <c r="B762" s="12" t="inlineStr">
        <is>
          <t>Payments TTL &amp; Invalidation</t>
        </is>
      </c>
      <c r="C762" s="12" t="inlineStr">
        <is>
          <t>Safety</t>
        </is>
      </c>
      <c r="D762" s="13" t="inlineStr">
        <is>
          <t>TC-TTL-15</t>
        </is>
      </c>
      <c r="E762" s="12" t="inlineStr">
        <is>
          <t>No New Money-Movement Path Is Introduced</t>
        </is>
      </c>
      <c r="F762" s="13" t="inlineStr">
        <is>
          <t>High</t>
        </is>
      </c>
      <c r="G762" s="12" t="inlineStr">
        <is>
          <t>An escalated item requiring resolution</t>
        </is>
      </c>
      <c r="H762" s="12" t="inlineStr">
        <is>
          <t>1. Inspect the resolution actions available</t>
        </is>
      </c>
      <c r="I762" s="12" t="inlineStr">
        <is>
          <t>Resolution goes through the existing reversal and adjustment flows; this story creates no new way to move money</t>
        </is>
      </c>
      <c r="J762" s="13" t="inlineStr">
        <is>
          <t>Not Tested</t>
        </is>
      </c>
      <c r="K762" s="13" t="inlineStr">
        <is>
          <t>Negative</t>
        </is>
      </c>
    </row>
    <row r="763" ht="36" customHeight="1">
      <c r="A763" s="12" t="inlineStr">
        <is>
          <t>Payments TTL &amp; Invalidation (EMI-6031)</t>
        </is>
      </c>
      <c r="B763" s="12" t="inlineStr">
        <is>
          <t>Payments TTL &amp; Invalidation</t>
        </is>
      </c>
      <c r="C763" s="12" t="inlineStr">
        <is>
          <t>Configuration</t>
        </is>
      </c>
      <c r="D763" s="13" t="inlineStr">
        <is>
          <t>TC-TTL-16</t>
        </is>
      </c>
      <c r="E763" s="12" t="inlineStr">
        <is>
          <t>Business Day TTL Does Not Elapse Across the Weekend</t>
        </is>
      </c>
      <c r="F763" s="13" t="inlineStr">
        <is>
          <t>High</t>
        </is>
      </c>
      <c r="G763" s="12" t="inlineStr">
        <is>
          <t>Transactions initiated Thursday with a business-day TTL; Saudi business calendar configured in Asia/Riyadh</t>
        </is>
      </c>
      <c r="H763" s="12" t="inlineStr">
        <is>
          <t>1. Initiate the transactions on Thursday
2. Run the job on Sunday
3. Inspect the actions taken</t>
        </is>
      </c>
      <c r="I763" s="12" t="inlineStr">
        <is>
          <t>The TTL has not elapsed across Friday and Saturday and no premature action is taken. This is the EMI-5139 regression guard</t>
        </is>
      </c>
      <c r="J763" s="13" t="inlineStr">
        <is>
          <t>Not Tested</t>
        </is>
      </c>
      <c r="K763" s="13" t="inlineStr">
        <is>
          <t>Configuration</t>
        </is>
      </c>
    </row>
    <row r="764" ht="36" customHeight="1">
      <c r="A764" s="12" t="inlineStr">
        <is>
          <t>Payments TTL &amp; Invalidation (EMI-6031)</t>
        </is>
      </c>
      <c r="B764" s="12" t="inlineStr">
        <is>
          <t>Payments TTL &amp; Invalidation</t>
        </is>
      </c>
      <c r="C764" s="12" t="inlineStr">
        <is>
          <t>Configuration</t>
        </is>
      </c>
      <c r="D764" s="13" t="inlineStr">
        <is>
          <t>TC-TTL-17</t>
        </is>
      </c>
      <c r="E764" s="12" t="inlineStr">
        <is>
          <t>Configured Public Holidays Extend a Business-Day TTL</t>
        </is>
      </c>
      <c r="F764" s="13" t="inlineStr">
        <is>
          <t>Medium</t>
        </is>
      </c>
      <c r="G764" s="12" t="inlineStr">
        <is>
          <t>A public holiday configured in the business calendar</t>
        </is>
      </c>
      <c r="H764" s="12" t="inlineStr">
        <is>
          <t>1. Initiate a transaction with a business-day TTL before the holiday
2. Run the job across it</t>
        </is>
      </c>
      <c r="I764" s="12" t="inlineStr">
        <is>
          <t>The holiday does not count toward the TTL and no premature action is taken</t>
        </is>
      </c>
      <c r="J764" s="13" t="inlineStr">
        <is>
          <t>Not Tested</t>
        </is>
      </c>
      <c r="K764" s="13" t="inlineStr">
        <is>
          <t>Configuration</t>
        </is>
      </c>
    </row>
    <row r="765" ht="36" customHeight="1">
      <c r="A765" s="12" t="inlineStr">
        <is>
          <t>Payments TTL &amp; Invalidation (EMI-6031)</t>
        </is>
      </c>
      <c r="B765" s="12" t="inlineStr">
        <is>
          <t>Payments TTL &amp; Invalidation</t>
        </is>
      </c>
      <c r="C765" s="12" t="inlineStr">
        <is>
          <t>Configuration</t>
        </is>
      </c>
      <c r="D765" s="13" t="inlineStr">
        <is>
          <t>TC-TTL-18</t>
        </is>
      </c>
      <c r="E765" s="12" t="inlineStr">
        <is>
          <t>Configuration Change Takes Effect Without a Redeploy and Applies to the Backlog</t>
        </is>
      </c>
      <c r="F765" s="13" t="inlineStr">
        <is>
          <t>High</t>
        </is>
      </c>
      <c r="G765" s="12" t="inlineStr">
        <is>
          <t>Items already pending and a TTL to change</t>
        </is>
      </c>
      <c r="H765" s="12" t="inlineStr">
        <is>
          <t>1. Change the TTL for a transaction type in the admin panel
2. Let the job run</t>
        </is>
      </c>
      <c r="I765" s="12" t="inlineStr">
        <is>
          <t>The change takes effect with no redeploy and the existing backlog is re-evaluated against the new value; evaluation uses the config current at run time</t>
        </is>
      </c>
      <c r="J765" s="13" t="inlineStr">
        <is>
          <t>Not Tested</t>
        </is>
      </c>
      <c r="K765" s="13" t="inlineStr">
        <is>
          <t>Configuration</t>
        </is>
      </c>
    </row>
    <row r="766" ht="36" customHeight="1">
      <c r="A766" s="12" t="inlineStr">
        <is>
          <t>Payments TTL &amp; Invalidation (EMI-6031)</t>
        </is>
      </c>
      <c r="B766" s="12" t="inlineStr">
        <is>
          <t>Payments TTL &amp; Invalidation</t>
        </is>
      </c>
      <c r="C766" s="12" t="inlineStr">
        <is>
          <t>Configuration</t>
        </is>
      </c>
      <c r="D766" s="13" t="inlineStr">
        <is>
          <t>TC-TTL-19</t>
        </is>
      </c>
      <c r="E766" s="12" t="inlineStr">
        <is>
          <t>Per-Type Configuration Covers TTL, Action, SLA and Alert Threshold</t>
        </is>
      </c>
      <c r="F766" s="13" t="inlineStr">
        <is>
          <t>Medium</t>
        </is>
      </c>
      <c r="G766" s="12" t="inlineStr">
        <is>
          <t>Admin access to the TTL configuration screen</t>
        </is>
      </c>
      <c r="H766" s="12" t="inlineStr">
        <is>
          <t>1. Open the configuration and inspect a transaction type row</t>
        </is>
      </c>
      <c r="I766" s="12" t="inlineStr">
        <is>
          <t>Pending TTL, on-expiry action, settlement SLA and alert threshold are all configurable per transaction type, and changes are audit-logged with the actor</t>
        </is>
      </c>
      <c r="J766" s="13" t="inlineStr">
        <is>
          <t>Not Tested</t>
        </is>
      </c>
      <c r="K766" s="13" t="inlineStr">
        <is>
          <t>Configuration</t>
        </is>
      </c>
    </row>
    <row r="767" ht="36" customHeight="1">
      <c r="A767" s="12" t="inlineStr">
        <is>
          <t>Payments TTL &amp; Invalidation (EMI-6031)</t>
        </is>
      </c>
      <c r="B767" s="12" t="inlineStr">
        <is>
          <t>Payments TTL &amp; Invalidation</t>
        </is>
      </c>
      <c r="C767" s="12" t="inlineStr">
        <is>
          <t>Configuration</t>
        </is>
      </c>
      <c r="D767" s="13" t="inlineStr">
        <is>
          <t>TC-TTL-20</t>
        </is>
      </c>
      <c r="E767" s="12" t="inlineStr">
        <is>
          <t>Defaults Ship as Seed Configuration, Not Code</t>
        </is>
      </c>
      <c r="F767" s="13" t="inlineStr">
        <is>
          <t>Medium</t>
        </is>
      </c>
      <c r="G767" s="12" t="inlineStr">
        <is>
          <t>A fresh environment</t>
        </is>
      </c>
      <c r="H767" s="12" t="inlineStr">
        <is>
          <t>1. Inspect where the default TTL and SLA values live
2. Change one as Finance without a release</t>
        </is>
      </c>
      <c r="I767" s="12" t="inlineStr">
        <is>
          <t>Defaults are seed configuration and can be corrected by Finance without a release</t>
        </is>
      </c>
      <c r="J767" s="13" t="inlineStr">
        <is>
          <t>Not Tested</t>
        </is>
      </c>
      <c r="K767" s="13" t="inlineStr">
        <is>
          <t>Configuration</t>
        </is>
      </c>
    </row>
    <row r="768" ht="36" customHeight="1">
      <c r="A768" s="12" t="inlineStr">
        <is>
          <t>Payments TTL &amp; Invalidation (EMI-6031)</t>
        </is>
      </c>
      <c r="B768" s="12" t="inlineStr">
        <is>
          <t>Payments TTL &amp; Invalidation</t>
        </is>
      </c>
      <c r="C768" s="12" t="inlineStr">
        <is>
          <t>Configuration</t>
        </is>
      </c>
      <c r="D768" s="13" t="inlineStr">
        <is>
          <t>TC-TTL-21</t>
        </is>
      </c>
      <c r="E768" s="12" t="inlineStr">
        <is>
          <t>Missing Configuration Blocks Action and Raises a Configuration Alert</t>
        </is>
      </c>
      <c r="F768" s="13" t="inlineStr">
        <is>
          <t>High</t>
        </is>
      </c>
      <c r="G768" s="12" t="inlineStr">
        <is>
          <t>A transaction type with no TTL configuration</t>
        </is>
      </c>
      <c r="H768" s="12" t="inlineStr">
        <is>
          <t>1. Let the job run over items of that type</t>
        </is>
      </c>
      <c r="I768" s="12" t="inlineStr">
        <is>
          <t>The job does not act on that type and raises a configuration alert; there is no silent fallback to a global default</t>
        </is>
      </c>
      <c r="J768" s="13" t="inlineStr">
        <is>
          <t>Not Tested</t>
        </is>
      </c>
      <c r="K768" s="13" t="inlineStr">
        <is>
          <t>Negative</t>
        </is>
      </c>
    </row>
    <row r="769" ht="36" customHeight="1">
      <c r="A769" s="12" t="inlineStr">
        <is>
          <t>Payments TTL &amp; Invalidation (EMI-6031)</t>
        </is>
      </c>
      <c r="B769" s="12" t="inlineStr">
        <is>
          <t>Payments TTL &amp; Invalidation</t>
        </is>
      </c>
      <c r="C769" s="12" t="inlineStr">
        <is>
          <t>Configuration</t>
        </is>
      </c>
      <c r="D769" s="13" t="inlineStr">
        <is>
          <t>TC-TTL-22</t>
        </is>
      </c>
      <c r="E769" s="12" t="inlineStr">
        <is>
          <t>Business Calendar Unavailable Halts Business-Day Evaluation Only</t>
        </is>
      </c>
      <c r="F769" s="13" t="inlineStr">
        <is>
          <t>High</t>
        </is>
      </c>
      <c r="G769" s="12" t="inlineStr">
        <is>
          <t>The business calendar made unavailable</t>
        </is>
      </c>
      <c r="H769" s="12" t="inlineStr">
        <is>
          <t>1. Run the job</t>
        </is>
      </c>
      <c r="I769" s="12" t="inlineStr">
        <is>
          <t>Business-day TTLs are not evaluated in that run and the gap is alarmed; absolute-time TTLs continue to be evaluated</t>
        </is>
      </c>
      <c r="J769" s="13" t="inlineStr">
        <is>
          <t>Not Tested</t>
        </is>
      </c>
      <c r="K769" s="13" t="inlineStr">
        <is>
          <t>Configuration</t>
        </is>
      </c>
    </row>
    <row r="770" ht="36" customHeight="1">
      <c r="A770" s="12" t="inlineStr">
        <is>
          <t>Payments TTL &amp; Invalidation (EMI-6031)</t>
        </is>
      </c>
      <c r="B770" s="12" t="inlineStr">
        <is>
          <t>Payments TTL &amp; Invalidation</t>
        </is>
      </c>
      <c r="C770" s="12" t="inlineStr">
        <is>
          <t>Scheduling</t>
        </is>
      </c>
      <c r="D770" s="13" t="inlineStr">
        <is>
          <t>TC-TTL-23</t>
        </is>
      </c>
      <c r="E770" s="12" t="inlineStr">
        <is>
          <t>Job Is Registered in the Jobs Section</t>
        </is>
      </c>
      <c r="F770" s="13" t="inlineStr">
        <is>
          <t>High</t>
        </is>
      </c>
      <c r="G770" s="12" t="inlineStr">
        <is>
          <t>Admin access to the Jobs section</t>
        </is>
      </c>
      <c r="H770" s="12" t="inlineStr">
        <is>
          <t>1. Open the Jobs section and locate the Payments TTL job</t>
        </is>
      </c>
      <c r="I770" s="12" t="inlineStr">
        <is>
          <t>The job appears with its schedule, last run, next run, enable/disable control and run history, and is part of the EMI-719 job register</t>
        </is>
      </c>
      <c r="J770" s="13" t="inlineStr">
        <is>
          <t>Not Tested</t>
        </is>
      </c>
      <c r="K770" s="13" t="inlineStr">
        <is>
          <t>Configuration</t>
        </is>
      </c>
    </row>
    <row r="771" ht="36" customHeight="1">
      <c r="A771" s="12" t="inlineStr">
        <is>
          <t>Payments TTL &amp; Invalidation (EMI-6031)</t>
        </is>
      </c>
      <c r="B771" s="12" t="inlineStr">
        <is>
          <t>Payments TTL &amp; Invalidation</t>
        </is>
      </c>
      <c r="C771" s="12" t="inlineStr">
        <is>
          <t>Scheduling</t>
        </is>
      </c>
      <c r="D771" s="13" t="inlineStr">
        <is>
          <t>TC-TTL-24</t>
        </is>
      </c>
      <c r="E771" s="12" t="inlineStr">
        <is>
          <t>Disabling the Job Stops All Expiry Action</t>
        </is>
      </c>
      <c r="F771" s="13" t="inlineStr">
        <is>
          <t>High</t>
        </is>
      </c>
      <c r="G771" s="12" t="inlineStr">
        <is>
          <t>The job enabled with items past their TTL</t>
        </is>
      </c>
      <c r="H771" s="12" t="inlineStr">
        <is>
          <t>1. Disable the job from the Jobs section
2. Let the schedule pass
3. Inspect the items and the run history</t>
        </is>
      </c>
      <c r="I771" s="12" t="inlineStr">
        <is>
          <t>No expiry action is taken and the run history records the disabled state</t>
        </is>
      </c>
      <c r="J771" s="13" t="inlineStr">
        <is>
          <t>Not Tested</t>
        </is>
      </c>
      <c r="K771" s="13" t="inlineStr">
        <is>
          <t>Configuration</t>
        </is>
      </c>
    </row>
    <row r="772" ht="36" customHeight="1">
      <c r="A772" s="12" t="inlineStr">
        <is>
          <t>Payments TTL &amp; Invalidation (EMI-6031)</t>
        </is>
      </c>
      <c r="B772" s="12" t="inlineStr">
        <is>
          <t>Payments TTL &amp; Invalidation</t>
        </is>
      </c>
      <c r="C772" s="12" t="inlineStr">
        <is>
          <t>Scheduling</t>
        </is>
      </c>
      <c r="D772" s="13" t="inlineStr">
        <is>
          <t>TC-TTL-25</t>
        </is>
      </c>
      <c r="E772" s="12" t="inlineStr">
        <is>
          <t>Failed Run Is Resumable Without Double-Acting</t>
        </is>
      </c>
      <c r="F772" s="13" t="inlineStr">
        <is>
          <t>High</t>
        </is>
      </c>
      <c r="G772" s="12" t="inlineStr">
        <is>
          <t>A run forced to fail part-way through a large population</t>
        </is>
      </c>
      <c r="H772" s="12" t="inlineStr">
        <is>
          <t>1. Fail the run
2. Resume it
3. Inspect the actions taken per item</t>
        </is>
      </c>
      <c r="I772" s="12" t="inlineStr">
        <is>
          <t>The run resumes, no item is actioned twice, and the administrator is notified per EMI-719</t>
        </is>
      </c>
      <c r="J772" s="13" t="inlineStr">
        <is>
          <t>Not Tested</t>
        </is>
      </c>
      <c r="K772" s="13" t="inlineStr">
        <is>
          <t>Configuration</t>
        </is>
      </c>
    </row>
    <row r="773" ht="36" customHeight="1">
      <c r="A773" s="12" t="inlineStr">
        <is>
          <t>Payments TTL &amp; Invalidation (EMI-6031)</t>
        </is>
      </c>
      <c r="B773" s="12" t="inlineStr">
        <is>
          <t>Payments TTL &amp; Invalidation</t>
        </is>
      </c>
      <c r="C773" s="12" t="inlineStr">
        <is>
          <t>Precedence</t>
        </is>
      </c>
      <c r="D773" s="13" t="inlineStr">
        <is>
          <t>TC-TTL-26</t>
        </is>
      </c>
      <c r="E773" s="12" t="inlineStr">
        <is>
          <t>Intraday Settlement Wins Over TTL Expiry</t>
        </is>
      </c>
      <c r="F773" s="13" t="inlineStr">
        <is>
          <t>High</t>
        </is>
      </c>
      <c r="G773" s="12" t="inlineStr">
        <is>
          <t>A pending transaction that the Intraday job settles from the ANB statement in the same window the TTL job would expire it</t>
        </is>
      </c>
      <c r="H773" s="12" t="inlineStr">
        <is>
          <t>1. Let both jobs run over the same population</t>
        </is>
      </c>
      <c r="I773" s="12" t="inlineStr">
        <is>
          <t>The bank statement wins; no compensating posting is created and no double action occurs. The two jobs never act concurrently on the same population</t>
        </is>
      </c>
      <c r="J773" s="13" t="inlineStr">
        <is>
          <t>Not Tested</t>
        </is>
      </c>
      <c r="K773" s="13" t="inlineStr">
        <is>
          <t>Integration</t>
        </is>
      </c>
    </row>
    <row r="774" ht="36" customHeight="1">
      <c r="A774" s="12" t="inlineStr">
        <is>
          <t>Payments TTL &amp; Invalidation (EMI-6031)</t>
        </is>
      </c>
      <c r="B774" s="12" t="inlineStr">
        <is>
          <t>Payments TTL &amp; Invalidation</t>
        </is>
      </c>
      <c r="C774" s="12" t="inlineStr">
        <is>
          <t>Precedence</t>
        </is>
      </c>
      <c r="D774" s="13" t="inlineStr">
        <is>
          <t>TC-TTL-27</t>
        </is>
      </c>
      <c r="E774" s="12" t="inlineStr">
        <is>
          <t>TTL Prevention and Stuck Reserve Detection Never Double-Act</t>
        </is>
      </c>
      <c r="F774" s="13" t="inlineStr">
        <is>
          <t>High</t>
        </is>
      </c>
      <c r="G774" s="12" t="inlineStr">
        <is>
          <t>An item that both this job and EMI-5951 detection could act on</t>
        </is>
      </c>
      <c r="H774" s="12" t="inlineStr">
        <is>
          <t>1. Let both run</t>
        </is>
      </c>
      <c r="I774" s="12" t="inlineStr">
        <is>
          <t>Exactly one acts; no duplicate compensating posting is created</t>
        </is>
      </c>
      <c r="J774" s="13" t="inlineStr">
        <is>
          <t>Not Tested</t>
        </is>
      </c>
      <c r="K774" s="13" t="inlineStr">
        <is>
          <t>Integration</t>
        </is>
      </c>
    </row>
    <row r="775" ht="36" customHeight="1">
      <c r="A775" s="12" t="inlineStr">
        <is>
          <t>Payments TTL &amp; Invalidation (EMI-6031)</t>
        </is>
      </c>
      <c r="B775" s="12" t="inlineStr">
        <is>
          <t>Payments TTL &amp; Invalidation</t>
        </is>
      </c>
      <c r="C775" s="12" t="inlineStr">
        <is>
          <t>Idempotency</t>
        </is>
      </c>
      <c r="D775" s="13" t="inlineStr">
        <is>
          <t>TC-TTL-28</t>
        </is>
      </c>
      <c r="E775" s="12" t="inlineStr">
        <is>
          <t>Re-Running Over an Already Compensated Item Is a No-Op</t>
        </is>
      </c>
      <c r="F775" s="13" t="inlineStr">
        <is>
          <t>High</t>
        </is>
      </c>
      <c r="G775" s="12" t="inlineStr">
        <is>
          <t>An item already expired and compensated</t>
        </is>
      </c>
      <c r="H775" s="12" t="inlineStr">
        <is>
          <t>1. Run the job again
2. Count the compensating postings</t>
        </is>
      </c>
      <c r="I775" s="12" t="inlineStr">
        <is>
          <t>The second run is a no-op and exactly one compensating posting exists</t>
        </is>
      </c>
      <c r="J775" s="13" t="inlineStr">
        <is>
          <t>Not Tested</t>
        </is>
      </c>
      <c r="K775" s="13" t="inlineStr">
        <is>
          <t>Edge / Boundary</t>
        </is>
      </c>
    </row>
    <row r="776" ht="36" customHeight="1">
      <c r="A776" s="12" t="inlineStr">
        <is>
          <t>Payments TTL &amp; Invalidation (EMI-6031)</t>
        </is>
      </c>
      <c r="B776" s="12" t="inlineStr">
        <is>
          <t>Payments TTL &amp; Invalidation</t>
        </is>
      </c>
      <c r="C776" s="12" t="inlineStr">
        <is>
          <t>Idempotency</t>
        </is>
      </c>
      <c r="D776" s="13" t="inlineStr">
        <is>
          <t>TC-TTL-29</t>
        </is>
      </c>
      <c r="E776" s="12" t="inlineStr">
        <is>
          <t>Concurrent Runs Never Double-Act</t>
        </is>
      </c>
      <c r="F776" s="13" t="inlineStr">
        <is>
          <t>High</t>
        </is>
      </c>
      <c r="G776" s="12" t="inlineStr">
        <is>
          <t>Two job instances running simultaneously over the same population</t>
        </is>
      </c>
      <c r="H776" s="12" t="inlineStr">
        <is>
          <t>1. Run both concurrently
2. Inspect the actions per item</t>
        </is>
      </c>
      <c r="I776" s="12" t="inlineStr">
        <is>
          <t>Items are claimed at item level before action; no item is actioned twice and a lost claim is skipped silently without error</t>
        </is>
      </c>
      <c r="J776" s="13" t="inlineStr">
        <is>
          <t>Not Tested</t>
        </is>
      </c>
      <c r="K776" s="13" t="inlineStr">
        <is>
          <t>Integration</t>
        </is>
      </c>
    </row>
    <row r="777" ht="36" customHeight="1">
      <c r="A777" s="12" t="inlineStr">
        <is>
          <t>Payments TTL &amp; Invalidation (EMI-6031)</t>
        </is>
      </c>
      <c r="B777" s="12" t="inlineStr">
        <is>
          <t>Payments TTL &amp; Invalidation</t>
        </is>
      </c>
      <c r="C777" s="12" t="inlineStr">
        <is>
          <t>Idempotency</t>
        </is>
      </c>
      <c r="D777" s="13" t="inlineStr">
        <is>
          <t>TC-TTL-30</t>
        </is>
      </c>
      <c r="E777" s="12" t="inlineStr">
        <is>
          <t>Compensating Posting Failure Leaves the Item Unhandled for Retry</t>
        </is>
      </c>
      <c r="F777" s="13" t="inlineStr">
        <is>
          <t>High</t>
        </is>
      </c>
      <c r="G777" s="12" t="inlineStr">
        <is>
          <t>An item whose compensating posting fails to append</t>
        </is>
      </c>
      <c r="H777" s="12" t="inlineStr">
        <is>
          <t>1. Force the append to fail
2. Let the job run again</t>
        </is>
      </c>
      <c r="I777" s="12" t="inlineStr">
        <is>
          <t>The item is not marked handled and is retried on the next run; it is alarmed after the configured number of attempts</t>
        </is>
      </c>
      <c r="J777" s="13" t="inlineStr">
        <is>
          <t>Not Tested</t>
        </is>
      </c>
      <c r="K777" s="13" t="inlineStr">
        <is>
          <t>Negative</t>
        </is>
      </c>
    </row>
    <row r="778" ht="36" customHeight="1">
      <c r="A778" s="12" t="inlineStr">
        <is>
          <t>Payments TTL &amp; Invalidation (EMI-6031)</t>
        </is>
      </c>
      <c r="B778" s="12" t="inlineStr">
        <is>
          <t>Payments TTL &amp; Invalidation</t>
        </is>
      </c>
      <c r="C778" s="12" t="inlineStr">
        <is>
          <t>Alerting</t>
        </is>
      </c>
      <c r="D778" s="13" t="inlineStr">
        <is>
          <t>TC-TTL-31</t>
        </is>
      </c>
      <c r="E778" s="12" t="inlineStr">
        <is>
          <t>Alert Threshold Fires Before the TTL Acts</t>
        </is>
      </c>
      <c r="F778" s="13" t="inlineStr">
        <is>
          <t>High</t>
        </is>
      </c>
      <c r="G778" s="12" t="inlineStr">
        <is>
          <t>An alert threshold set earlier than the TTL</t>
        </is>
      </c>
      <c r="H778" s="12" t="inlineStr">
        <is>
          <t>1. Let a transaction age past the alert threshold but not the TTL</t>
        </is>
      </c>
      <c r="I778" s="12" t="inlineStr">
        <is>
          <t>An alert fires while the item is still pending, so the condition is caught before the system acts on it</t>
        </is>
      </c>
      <c r="J778" s="13" t="inlineStr">
        <is>
          <t>Not Tested</t>
        </is>
      </c>
      <c r="K778" s="13" t="inlineStr">
        <is>
          <t>Observability</t>
        </is>
      </c>
    </row>
    <row r="779" ht="36" customHeight="1">
      <c r="A779" s="12" t="inlineStr">
        <is>
          <t>Payments TTL &amp; Invalidation (EMI-6031)</t>
        </is>
      </c>
      <c r="B779" s="12" t="inlineStr">
        <is>
          <t>Payments TTL &amp; Invalidation</t>
        </is>
      </c>
      <c r="C779" s="12" t="inlineStr">
        <is>
          <t>Alerting</t>
        </is>
      </c>
      <c r="D779" s="13" t="inlineStr">
        <is>
          <t>TC-TTL-32</t>
        </is>
      </c>
      <c r="E779" s="12" t="inlineStr">
        <is>
          <t>Rail Outage Produces One Aggregated Alert Per Type</t>
        </is>
      </c>
      <c r="F779" s="13" t="inlineStr">
        <is>
          <t>High</t>
        </is>
      </c>
      <c r="G779" s="12" t="inlineStr">
        <is>
          <t>5,000 transactions crossing their alert threshold in one run because a rail is down</t>
        </is>
      </c>
      <c r="H779" s="12" t="inlineStr">
        <is>
          <t>1. Let the run complete
2. Count the alerts</t>
        </is>
      </c>
      <c r="I779" s="12" t="inlineStr">
        <is>
          <t>One aggregated alert per transaction type is raised, not one per transaction</t>
        </is>
      </c>
      <c r="J779" s="13" t="inlineStr">
        <is>
          <t>Not Tested</t>
        </is>
      </c>
      <c r="K779" s="13" t="inlineStr">
        <is>
          <t>Observability</t>
        </is>
      </c>
    </row>
    <row r="780" ht="36" customHeight="1">
      <c r="A780" s="12" t="inlineStr">
        <is>
          <t>Payments TTL &amp; Invalidation (EMI-6031)</t>
        </is>
      </c>
      <c r="B780" s="12" t="inlineStr">
        <is>
          <t>Payments TTL &amp; Invalidation</t>
        </is>
      </c>
      <c r="C780" s="12" t="inlineStr">
        <is>
          <t>Alerting</t>
        </is>
      </c>
      <c r="D780" s="13" t="inlineStr">
        <is>
          <t>TC-TTL-33</t>
        </is>
      </c>
      <c r="E780" s="12" t="inlineStr">
        <is>
          <t>SLA Breach Is Counted Separately From TTL Expiry</t>
        </is>
      </c>
      <c r="F780" s="13" t="inlineStr">
        <is>
          <t>High</t>
        </is>
      </c>
      <c r="G780" s="12" t="inlineStr">
        <is>
          <t>Items breaching their settlement SLA and other items reaching their TTL</t>
        </is>
      </c>
      <c r="H780" s="12" t="inlineStr">
        <is>
          <t>1. Run the job
2. Inspect the reported counts</t>
        </is>
      </c>
      <c r="I780" s="12" t="inlineStr">
        <is>
          <t>SLA breach and TTL expiry are counted and reported separately; SLA is a service target and TTL is a safety limit, and they are not the same measurement</t>
        </is>
      </c>
      <c r="J780" s="13" t="inlineStr">
        <is>
          <t>Not Tested</t>
        </is>
      </c>
      <c r="K780" s="13" t="inlineStr">
        <is>
          <t>Observability</t>
        </is>
      </c>
    </row>
    <row r="781" ht="36" customHeight="1">
      <c r="A781" s="12" t="inlineStr">
        <is>
          <t>Payments TTL &amp; Invalidation (EMI-6031)</t>
        </is>
      </c>
      <c r="B781" s="12" t="inlineStr">
        <is>
          <t>Payments TTL &amp; Invalidation</t>
        </is>
      </c>
      <c r="C781" s="12" t="inlineStr">
        <is>
          <t>Audit</t>
        </is>
      </c>
      <c r="D781" s="13" t="inlineStr">
        <is>
          <t>TC-TTL-34</t>
        </is>
      </c>
      <c r="E781" s="12" t="inlineStr">
        <is>
          <t>Every Action Is Audit-Logged With the Rule That Fired</t>
        </is>
      </c>
      <c r="F781" s="13" t="inlineStr">
        <is>
          <t>High</t>
        </is>
      </c>
      <c r="G781" s="12" t="inlineStr">
        <is>
          <t>A run that expires, compensates and escalates items</t>
        </is>
      </c>
      <c r="H781" s="12" t="inlineStr">
        <is>
          <t>1. Inspect the audit log for one item of each kind</t>
        </is>
      </c>
      <c r="I781" s="12" t="inlineStr">
        <is>
          <t>Each carries the transaction reference, the rule that fired, the age at action, the actor SYSTEM_TTL and the correlation id</t>
        </is>
      </c>
      <c r="J781" s="13" t="inlineStr">
        <is>
          <t>Not Tested</t>
        </is>
      </c>
      <c r="K781" s="13" t="inlineStr">
        <is>
          <t>Security</t>
        </is>
      </c>
    </row>
    <row r="782" ht="36" customHeight="1">
      <c r="A782" s="12" t="inlineStr">
        <is>
          <t>Payments TTL &amp; Invalidation (EMI-6031)</t>
        </is>
      </c>
      <c r="B782" s="12" t="inlineStr">
        <is>
          <t>Payments TTL &amp; Invalidation</t>
        </is>
      </c>
      <c r="C782" s="12" t="inlineStr">
        <is>
          <t>Audit</t>
        </is>
      </c>
      <c r="D782" s="13" t="inlineStr">
        <is>
          <t>TC-TTL-35</t>
        </is>
      </c>
      <c r="E782" s="12" t="inlineStr">
        <is>
          <t>Expiry and Compensation History Is Immutable</t>
        </is>
      </c>
      <c r="F782" s="13" t="inlineStr">
        <is>
          <t>Medium</t>
        </is>
      </c>
      <c r="G782" s="12" t="inlineStr">
        <is>
          <t>Expiry and compensation records present</t>
        </is>
      </c>
      <c r="H782" s="12" t="inlineStr">
        <is>
          <t>1. Attempt to update or delete either</t>
        </is>
      </c>
      <c r="I782" s="12" t="inlineStr">
        <is>
          <t>Both are rejected; history is immutable and retained per audit policy</t>
        </is>
      </c>
      <c r="J782" s="13" t="inlineStr">
        <is>
          <t>Not Tested</t>
        </is>
      </c>
      <c r="K782" s="13" t="inlineStr">
        <is>
          <t>Negative</t>
        </is>
      </c>
    </row>
    <row r="783" ht="36" customHeight="1">
      <c r="A783" s="12" t="inlineStr">
        <is>
          <t>Payments TTL &amp; Invalidation (EMI-6031)</t>
        </is>
      </c>
      <c r="B783" s="12" t="inlineStr">
        <is>
          <t>Payments TTL &amp; Invalidation</t>
        </is>
      </c>
      <c r="C783" s="12" t="inlineStr">
        <is>
          <t>Reporting</t>
        </is>
      </c>
      <c r="D783" s="13" t="inlineStr">
        <is>
          <t>TC-TTL-36</t>
        </is>
      </c>
      <c r="E783" s="12" t="inlineStr">
        <is>
          <t>Run Report Covers Every Outcome Including Skips</t>
        </is>
      </c>
      <c r="F783" s="13" t="inlineStr">
        <is>
          <t>Medium</t>
        </is>
      </c>
      <c r="G783" s="12" t="inlineStr">
        <is>
          <t>A completed run</t>
        </is>
      </c>
      <c r="H783" s="12" t="inlineStr">
        <is>
          <t>1. Open the run report</t>
        </is>
      </c>
      <c r="I783" s="12" t="inlineStr">
        <is>
          <t>It shows counts of drafts expired, postings compensated, items escalated, alerts raised, and items skipped with the reason</t>
        </is>
      </c>
      <c r="J783" s="13" t="inlineStr">
        <is>
          <t>Not Tested</t>
        </is>
      </c>
      <c r="K783" s="13" t="inlineStr">
        <is>
          <t>Negative</t>
        </is>
      </c>
    </row>
    <row r="784" ht="36" customHeight="1">
      <c r="A784" s="12" t="inlineStr">
        <is>
          <t>Payments TTL &amp; Invalidation (EMI-6031)</t>
        </is>
      </c>
      <c r="B784" s="12" t="inlineStr">
        <is>
          <t>Payments TTL &amp; Invalidation</t>
        </is>
      </c>
      <c r="C784" s="12" t="inlineStr">
        <is>
          <t>Reporting</t>
        </is>
      </c>
      <c r="D784" s="13" t="inlineStr">
        <is>
          <t>TC-TTL-37</t>
        </is>
      </c>
      <c r="E784" s="12" t="inlineStr">
        <is>
          <t>Ops Escalation Queue Content and Sorting</t>
        </is>
      </c>
      <c r="F784" s="13" t="inlineStr">
        <is>
          <t>Medium</t>
        </is>
      </c>
      <c r="G784" s="12" t="inlineStr">
        <is>
          <t>A populated escalation queue</t>
        </is>
      </c>
      <c r="H784" s="12" t="inlineStr">
        <is>
          <t>1. Open the queue and sort by age, then by amount</t>
        </is>
      </c>
      <c r="I784" s="12" t="inlineStr">
        <is>
          <t>Each row shows transaction reference, type, amount in SAR, age, the rule that fired and the last known external state, links through to the ledger entry, and both sorts work</t>
        </is>
      </c>
      <c r="J784" s="13" t="inlineStr">
        <is>
          <t>Not Tested</t>
        </is>
      </c>
      <c r="K784" s="13" t="inlineStr">
        <is>
          <t>Reporting</t>
        </is>
      </c>
    </row>
    <row r="785" ht="36" customHeight="1">
      <c r="A785" s="12" t="inlineStr">
        <is>
          <t>Payments TTL &amp; Invalidation (EMI-6031)</t>
        </is>
      </c>
      <c r="B785" s="12" t="inlineStr">
        <is>
          <t>Payments TTL &amp; Invalidation</t>
        </is>
      </c>
      <c r="C785" s="12" t="inlineStr">
        <is>
          <t>Non-Functional</t>
        </is>
      </c>
      <c r="D785" s="13" t="inlineStr">
        <is>
          <t>TC-TTL-38</t>
        </is>
      </c>
      <c r="E785" s="12" t="inlineStr">
        <is>
          <t>Indexed Access, Bounded Batches and No Live Latency Impact</t>
        </is>
      </c>
      <c r="F785" s="13" t="inlineStr">
        <is>
          <t>High</t>
        </is>
      </c>
      <c r="G785" s="12" t="inlineStr">
        <is>
          <t>A large pending population with live traffic</t>
        </is>
      </c>
      <c r="H785" s="12" t="inlineStr">
        <is>
          <t>1. Run the job under load
2. Capture query plans, memory profile and live transaction latency</t>
        </is>
      </c>
      <c r="I785" s="12" t="inlineStr">
        <is>
          <t>Indexed access on (status, expires_at) and transaction type with no full-table scan; batches are bounded and resumable; live transaction latency is unaffected and nothing is locked or delayed</t>
        </is>
      </c>
      <c r="J785" s="13" t="inlineStr">
        <is>
          <t>Not Tested</t>
        </is>
      </c>
      <c r="K785" s="13" t="inlineStr">
        <is>
          <t>Performance / NFR</t>
        </is>
      </c>
    </row>
    <row r="786" ht="36" customHeight="1">
      <c r="A786" s="12" t="inlineStr">
        <is>
          <t>Payments TTL &amp; Invalidation (EMI-6031)</t>
        </is>
      </c>
      <c r="B786" s="12" t="inlineStr">
        <is>
          <t>Payments TTL &amp; Invalidation</t>
        </is>
      </c>
      <c r="C786" s="12" t="inlineStr">
        <is>
          <t>Non-Functional</t>
        </is>
      </c>
      <c r="D786" s="13" t="inlineStr">
        <is>
          <t>TC-TTL-39</t>
        </is>
      </c>
      <c r="E786" s="12" t="inlineStr">
        <is>
          <t>All Scheduling and TTL Arithmetic in Asia/Riyadh</t>
        </is>
      </c>
      <c r="F786" s="13" t="inlineStr">
        <is>
          <t>Medium</t>
        </is>
      </c>
      <c r="G786" s="12" t="inlineStr">
        <is>
          <t>Items spanning a day boundary</t>
        </is>
      </c>
      <c r="H786" s="12" t="inlineStr">
        <is>
          <t>1. Inspect the timezone used for TTL arithmetic and scheduling</t>
        </is>
      </c>
      <c r="I786" s="12" t="inlineStr">
        <is>
          <t>All scheduling and TTL arithmetic uses Asia/Riyadh against the configured business calendar; amounts are in SAR using the platform monetary type with no float</t>
        </is>
      </c>
      <c r="J786" s="13" t="inlineStr">
        <is>
          <t>Not Tested</t>
        </is>
      </c>
      <c r="K786" s="13" t="inlineStr">
        <is>
          <t>Performance / NFR</t>
        </is>
      </c>
    </row>
    <row r="787" ht="36" customHeight="1">
      <c r="A787" s="12" t="inlineStr">
        <is>
          <t>Payments TTL &amp; Invalidation (EMI-6031)</t>
        </is>
      </c>
      <c r="B787" s="12" t="inlineStr">
        <is>
          <t>Payments TTL &amp; Invalidation</t>
        </is>
      </c>
      <c r="C787" s="12" t="inlineStr">
        <is>
          <t>Open Question</t>
        </is>
      </c>
      <c r="D787" s="13" t="inlineStr">
        <is>
          <t>TC-TTL-40</t>
        </is>
      </c>
      <c r="E787" s="12" t="inlineStr">
        <is>
          <t>PG Cash-In Expiry - Void Versus Refund To Be Confirmed</t>
        </is>
      </c>
      <c r="F787" s="13" t="inlineStr">
        <is>
          <t>High</t>
        </is>
      </c>
      <c r="G787" s="12" t="inlineStr">
        <is>
          <t>A PG cash-in past its TTL</t>
        </is>
      </c>
      <c r="H787" s="12" t="inlineStr">
        <is>
          <t>1. Determine whether the PG holds a voidable authorisation or has already captured
2. Let the job act and record the behaviour</t>
        </is>
      </c>
      <c r="I787" s="12" t="inlineStr">
        <is>
          <t>Confirm with BE and Finance per PG (Q2). A voidable authorisation is voided; a captured payment needs a refund, which is a different operation with a different SLA. Do not assume void applies to every PG</t>
        </is>
      </c>
      <c r="J787" s="13" t="inlineStr">
        <is>
          <t>Not Tested</t>
        </is>
      </c>
      <c r="K787" s="13" t="inlineStr">
        <is>
          <t>Open Question</t>
        </is>
      </c>
    </row>
    <row r="788" ht="36" customHeight="1">
      <c r="A788" s="12" t="inlineStr">
        <is>
          <t>Payments TTL &amp; Invalidation (EMI-6031)</t>
        </is>
      </c>
      <c r="B788" s="12" t="inlineStr">
        <is>
          <t>Payments TTL &amp; Invalidation</t>
        </is>
      </c>
      <c r="C788" s="12" t="inlineStr">
        <is>
          <t>Open Question</t>
        </is>
      </c>
      <c r="D788" s="13" t="inlineStr">
        <is>
          <t>TC-TTL-41</t>
        </is>
      </c>
      <c r="E788" s="12" t="inlineStr">
        <is>
          <t>TTL and SLA Matrix Awaiting Finance Confirmation</t>
        </is>
      </c>
      <c r="F788" s="13" t="inlineStr">
        <is>
          <t>Medium</t>
        </is>
      </c>
      <c r="G788" s="12" t="inlineStr">
        <is>
          <t>The proposed TTL and SLA matrix loaded as seed configuration</t>
        </is>
      </c>
      <c r="H788" s="12" t="inlineStr">
        <is>
          <t>1. Verify each configured value against the confirmed matrix once Finance returns it</t>
        </is>
      </c>
      <c r="I788" s="12" t="inlineStr">
        <is>
          <t>The proposed values are seed configuration and not yet confirmed (Q1). Re-verify every row once Finance confirms, since these determine how long customer funds may sit in an intermediate state</t>
        </is>
      </c>
      <c r="J788" s="13" t="inlineStr">
        <is>
          <t>Not Tested</t>
        </is>
      </c>
      <c r="K788" s="13" t="inlineStr">
        <is>
          <t>Open Question</t>
        </is>
      </c>
    </row>
    <row r="789" ht="36" customHeight="1">
      <c r="A789" s="12" t="inlineStr">
        <is>
          <t>EMI Task Coverage</t>
        </is>
      </c>
      <c r="B789" s="12" t="inlineStr">
        <is>
          <t>POS Order Contact Details</t>
        </is>
      </c>
      <c r="C789" s="12" t="inlineStr">
        <is>
          <t>Functional</t>
        </is>
      </c>
      <c r="D789" s="13" t="inlineStr">
        <is>
          <t>TC-Contact-01</t>
        </is>
      </c>
      <c r="E789" s="12" t="inlineStr">
        <is>
          <t>Business Enters Contact Name and Mobile per Delivery Group - Web</t>
        </is>
      </c>
      <c r="F789" s="13" t="inlineStr">
        <is>
          <t>High</t>
        </is>
      </c>
      <c r="G789" s="12" t="inlineStr">
        <is>
          <t>Business user signed in on Web; a POS request with more than one delivery group</t>
        </is>
      </c>
      <c r="H789" s="12" t="inlineStr">
        <is>
          <t>1. Open the POS request flow
2. Enter a distinct contact name and mobile number on each delivery group
3. Submit</t>
        </is>
      </c>
      <c r="I789" s="12" t="inlineStr">
        <is>
          <t>Each group accepts its own contact pair independently; the values are sent in the POS request/order payload against the correct group</t>
        </is>
      </c>
      <c r="J789" s="13" t="inlineStr">
        <is>
          <t>Not Tested</t>
        </is>
      </c>
      <c r="K789" s="13" t="inlineStr">
        <is>
          <t>Functional</t>
        </is>
      </c>
    </row>
    <row r="790" ht="36" customHeight="1">
      <c r="A790" s="12" t="inlineStr">
        <is>
          <t>EMI Task Coverage</t>
        </is>
      </c>
      <c r="B790" s="12" t="inlineStr">
        <is>
          <t>POS Order Contact Details</t>
        </is>
      </c>
      <c r="C790" s="12" t="inlineStr">
        <is>
          <t>Functional</t>
        </is>
      </c>
      <c r="D790" s="13" t="inlineStr">
        <is>
          <t>TC-Contact-02</t>
        </is>
      </c>
      <c r="E790" s="12" t="inlineStr">
        <is>
          <t>Contact Values Reach the Backend Against the Right Group</t>
        </is>
      </c>
      <c r="F790" s="13" t="inlineStr">
        <is>
          <t>High</t>
        </is>
      </c>
      <c r="G790" s="12" t="inlineStr">
        <is>
          <t>A submitted multi-group POS order</t>
        </is>
      </c>
      <c r="H790" s="12" t="inlineStr">
        <is>
          <t>1. Inspect the request payload and the stored order</t>
        </is>
      </c>
      <c r="I790" s="12" t="inlineStr">
        <is>
          <t>Each group's contact name and mobile are stored against that group; no value is carried across groups</t>
        </is>
      </c>
      <c r="J790" s="13" t="inlineStr">
        <is>
          <t>Not Tested</t>
        </is>
      </c>
      <c r="K790" s="13" t="inlineStr">
        <is>
          <t>Functional</t>
        </is>
      </c>
    </row>
    <row r="791" ht="36" customHeight="1">
      <c r="A791" s="12" t="inlineStr">
        <is>
          <t>EMI Task Coverage</t>
        </is>
      </c>
      <c r="B791" s="12" t="inlineStr">
        <is>
          <t>POS Order Contact Details</t>
        </is>
      </c>
      <c r="C791" s="12" t="inlineStr">
        <is>
          <t>Functional</t>
        </is>
      </c>
      <c r="D791" s="13" t="inlineStr">
        <is>
          <t>TC-Contact-03</t>
        </is>
      </c>
      <c r="E791" s="12" t="inlineStr">
        <is>
          <t>POS Order Details Display Contact Under the Right Group - Web Business</t>
        </is>
      </c>
      <c r="F791" s="13" t="inlineStr">
        <is>
          <t>Medium</t>
        </is>
      </c>
      <c r="G791" s="12" t="inlineStr">
        <is>
          <t>A submitted multi-group POS order</t>
        </is>
      </c>
      <c r="H791" s="12" t="inlineStr">
        <is>
          <t>1. Open POS Order details as the business user</t>
        </is>
      </c>
      <c r="I791" s="12" t="inlineStr">
        <is>
          <t>Contact name and mobile appear under their respective delivery group</t>
        </is>
      </c>
      <c r="J791" s="13" t="inlineStr">
        <is>
          <t>Not Tested</t>
        </is>
      </c>
      <c r="K791" s="13" t="inlineStr">
        <is>
          <t>Functional</t>
        </is>
      </c>
    </row>
    <row r="792" ht="36" customHeight="1">
      <c r="A792" s="12" t="inlineStr">
        <is>
          <t>EMI Task Coverage</t>
        </is>
      </c>
      <c r="B792" s="12" t="inlineStr">
        <is>
          <t>POS Order Contact Details</t>
        </is>
      </c>
      <c r="C792" s="12" t="inlineStr">
        <is>
          <t>Functional</t>
        </is>
      </c>
      <c r="D792" s="13" t="inlineStr">
        <is>
          <t>TC-Contact-04</t>
        </is>
      </c>
      <c r="E792" s="12" t="inlineStr">
        <is>
          <t>Admin Sees Contact Name and Number on Order Details</t>
        </is>
      </c>
      <c r="F792" s="13" t="inlineStr">
        <is>
          <t>High</t>
        </is>
      </c>
      <c r="G792" s="12" t="inlineStr">
        <is>
          <t>A submitted multi-group POS order; admin signed in</t>
        </is>
      </c>
      <c r="H792" s="12" t="inlineStr">
        <is>
          <t>1. Open the POS Order details in Admin</t>
        </is>
      </c>
      <c r="I792" s="12" t="inlineStr">
        <is>
          <t>Contact name and mobile are displayed per delivery group, matching what the business submitted</t>
        </is>
      </c>
      <c r="J792" s="13" t="inlineStr">
        <is>
          <t>Not Tested</t>
        </is>
      </c>
      <c r="K792" s="13" t="inlineStr">
        <is>
          <t>Functional</t>
        </is>
      </c>
    </row>
    <row r="793" ht="36" customHeight="1">
      <c r="A793" s="12" t="inlineStr">
        <is>
          <t>EMI Task Coverage</t>
        </is>
      </c>
      <c r="B793" s="12" t="inlineStr">
        <is>
          <t>POS Order Contact Details</t>
        </is>
      </c>
      <c r="C793" s="12" t="inlineStr">
        <is>
          <t>Platform</t>
        </is>
      </c>
      <c r="D793" s="13" t="inlineStr">
        <is>
          <t>TC-Contact-05</t>
        </is>
      </c>
      <c r="E793" s="12" t="inlineStr">
        <is>
          <t>Android Business Captures and Submits Contact per Group</t>
        </is>
      </c>
      <c r="F793" s="13" t="inlineStr">
        <is>
          <t>High</t>
        </is>
      </c>
      <c r="G793" s="12" t="inlineStr">
        <is>
          <t>Business user on the Android app</t>
        </is>
      </c>
      <c r="H793" s="12" t="inlineStr">
        <is>
          <t>1. Repeat TC-Contact-01 on Android
2. Submit and inspect the payload</t>
        </is>
      </c>
      <c r="I793" s="12" t="inlineStr">
        <is>
          <t>Behaviour matches Web: per-group capture, correct payload, values visible on order details</t>
        </is>
      </c>
      <c r="J793" s="13" t="inlineStr">
        <is>
          <t>Not Tested</t>
        </is>
      </c>
      <c r="K793" s="13" t="inlineStr">
        <is>
          <t>Cross-Platform</t>
        </is>
      </c>
    </row>
    <row r="794" ht="36" customHeight="1">
      <c r="A794" s="12" t="inlineStr">
        <is>
          <t>EMI Task Coverage</t>
        </is>
      </c>
      <c r="B794" s="12" t="inlineStr">
        <is>
          <t>POS Order Contact Details</t>
        </is>
      </c>
      <c r="C794" s="12" t="inlineStr">
        <is>
          <t>Platform</t>
        </is>
      </c>
      <c r="D794" s="13" t="inlineStr">
        <is>
          <t>TC-Contact-06</t>
        </is>
      </c>
      <c r="E794" s="12" t="inlineStr">
        <is>
          <t>iOS Business Captures and Submits Contact per Group</t>
        </is>
      </c>
      <c r="F794" s="13" t="inlineStr">
        <is>
          <t>High</t>
        </is>
      </c>
      <c r="G794" s="12" t="inlineStr">
        <is>
          <t>Business user on the iOS app</t>
        </is>
      </c>
      <c r="H794" s="12" t="inlineStr">
        <is>
          <t>1. Repeat TC-Contact-01 on iOS
2. Submit and inspect the payload</t>
        </is>
      </c>
      <c r="I794" s="12" t="inlineStr">
        <is>
          <t>Behaviour matches Web: per-group capture, correct payload, values visible on order details</t>
        </is>
      </c>
      <c r="J794" s="13" t="inlineStr">
        <is>
          <t>Not Tested</t>
        </is>
      </c>
      <c r="K794" s="13" t="inlineStr">
        <is>
          <t>Cross-Platform</t>
        </is>
      </c>
    </row>
    <row r="795" ht="36" customHeight="1">
      <c r="A795" s="12" t="inlineStr">
        <is>
          <t>EMI Task Coverage</t>
        </is>
      </c>
      <c r="B795" s="12" t="inlineStr">
        <is>
          <t>POS Order Contact Details</t>
        </is>
      </c>
      <c r="C795" s="12" t="inlineStr">
        <is>
          <t>Platform</t>
        </is>
      </c>
      <c r="D795" s="13" t="inlineStr">
        <is>
          <t>TC-Contact-07</t>
        </is>
      </c>
      <c r="E795" s="12" t="inlineStr">
        <is>
          <t>Contact Values Are Consistent Across All Three Clients</t>
        </is>
      </c>
      <c r="F795" s="13" t="inlineStr">
        <is>
          <t>Medium</t>
        </is>
      </c>
      <c r="G795" s="12" t="inlineStr">
        <is>
          <t>One order created on each of Web, Android and iOS</t>
        </is>
      </c>
      <c r="H795" s="12" t="inlineStr">
        <is>
          <t>1. Create the same order shape on each client
2. Compare the stored payloads</t>
        </is>
      </c>
      <c r="I795" s="12" t="inlineStr">
        <is>
          <t>All three produce the same stored structure; no client sends a different field name, shape or nesting</t>
        </is>
      </c>
      <c r="J795" s="13" t="inlineStr">
        <is>
          <t>Not Tested</t>
        </is>
      </c>
      <c r="K795" s="13" t="inlineStr">
        <is>
          <t>Cross-Platform</t>
        </is>
      </c>
    </row>
    <row r="796" ht="36" customHeight="1">
      <c r="A796" s="12" t="inlineStr">
        <is>
          <t>EMI Task Coverage</t>
        </is>
      </c>
      <c r="B796" s="12" t="inlineStr">
        <is>
          <t>POS Order Contact Details</t>
        </is>
      </c>
      <c r="C796" s="12" t="inlineStr">
        <is>
          <t>Validation</t>
        </is>
      </c>
      <c r="D796" s="13" t="inlineStr">
        <is>
          <t>TC-Contact-08</t>
        </is>
      </c>
      <c r="E796" s="12" t="inlineStr">
        <is>
          <t>Backend Validation Errors Are Surfaced to the User</t>
        </is>
      </c>
      <c r="F796" s="13" t="inlineStr">
        <is>
          <t>High</t>
        </is>
      </c>
      <c r="G796" s="12" t="inlineStr">
        <is>
          <t>A backend rule that rejects a malformed contact number</t>
        </is>
      </c>
      <c r="H796" s="12" t="inlineStr">
        <is>
          <t>1. Submit an invalid mobile number
2. Observe the client</t>
        </is>
      </c>
      <c r="I796" s="12" t="inlineStr">
        <is>
          <t>The backend validation error is displayed to the user rather than swallowed or replaced by a generic failure</t>
        </is>
      </c>
      <c r="J796" s="13" t="inlineStr">
        <is>
          <t>Not Tested</t>
        </is>
      </c>
      <c r="K796" s="13" t="inlineStr">
        <is>
          <t>Negative</t>
        </is>
      </c>
    </row>
    <row r="797" ht="36" customHeight="1">
      <c r="A797" s="12" t="inlineStr">
        <is>
          <t>EMI Task Coverage</t>
        </is>
      </c>
      <c r="B797" s="12" t="inlineStr">
        <is>
          <t>POS Order Contact Details</t>
        </is>
      </c>
      <c r="C797" s="12" t="inlineStr">
        <is>
          <t>Validation</t>
        </is>
      </c>
      <c r="D797" s="13" t="inlineStr">
        <is>
          <t>TC-Contact-09</t>
        </is>
      </c>
      <c r="E797" s="12" t="inlineStr">
        <is>
          <t>Invalid Mobile Number Format Is Rejected</t>
        </is>
      </c>
      <c r="F797" s="13" t="inlineStr">
        <is>
          <t>Medium</t>
        </is>
      </c>
      <c r="G797" s="12" t="inlineStr">
        <is>
          <t>POS request flow open</t>
        </is>
      </c>
      <c r="H797" s="12" t="inlineStr">
        <is>
          <t>1. Enter a mobile number that is too short, too long and non-numeric in turn
2. Attempt to submit</t>
        </is>
      </c>
      <c r="I797" s="12" t="inlineStr">
        <is>
          <t>Each is rejected with a clear message and the order is not created</t>
        </is>
      </c>
      <c r="J797" s="13" t="inlineStr">
        <is>
          <t>Not Tested</t>
        </is>
      </c>
      <c r="K797" s="13" t="inlineStr">
        <is>
          <t>Negative</t>
        </is>
      </c>
    </row>
    <row r="798" ht="36" customHeight="1">
      <c r="A798" s="12" t="inlineStr">
        <is>
          <t>EMI Task Coverage</t>
        </is>
      </c>
      <c r="B798" s="12" t="inlineStr">
        <is>
          <t>POS Order Contact Details</t>
        </is>
      </c>
      <c r="C798" s="12" t="inlineStr">
        <is>
          <t>Validation</t>
        </is>
      </c>
      <c r="D798" s="13" t="inlineStr">
        <is>
          <t>TC-Contact-10</t>
        </is>
      </c>
      <c r="E798" s="12" t="inlineStr">
        <is>
          <t>Missing Contact on One Group of Several</t>
        </is>
      </c>
      <c r="F798" s="13" t="inlineStr">
        <is>
          <t>Medium</t>
        </is>
      </c>
      <c r="G798" s="12" t="inlineStr">
        <is>
          <t>A multi-group POS request</t>
        </is>
      </c>
      <c r="H798" s="12" t="inlineStr">
        <is>
          <t>1. Complete contact details on one group and leave another empty
2. Submit</t>
        </is>
      </c>
      <c r="I798" s="12" t="inlineStr">
        <is>
          <t>The rule is applied consistently across every group and the message identifies which group is incomplete</t>
        </is>
      </c>
      <c r="J798" s="13" t="inlineStr">
        <is>
          <t>Not Tested</t>
        </is>
      </c>
      <c r="K798" s="13" t="inlineStr">
        <is>
          <t>Negative</t>
        </is>
      </c>
    </row>
    <row r="799" ht="36" customHeight="1">
      <c r="A799" s="12" t="inlineStr">
        <is>
          <t>EMI Task Coverage</t>
        </is>
      </c>
      <c r="B799" s="12" t="inlineStr">
        <is>
          <t>POS Order Contact Details</t>
        </is>
      </c>
      <c r="C799" s="12" t="inlineStr">
        <is>
          <t>Validation</t>
        </is>
      </c>
      <c r="D799" s="13" t="inlineStr">
        <is>
          <t>TC-Contact-11</t>
        </is>
      </c>
      <c r="E799" s="12" t="inlineStr">
        <is>
          <t>Contact Name Accepts Arabic and Latin Characters</t>
        </is>
      </c>
      <c r="F799" s="13" t="inlineStr">
        <is>
          <t>Medium</t>
        </is>
      </c>
      <c r="G799" s="12" t="inlineStr">
        <is>
          <t>POS request flow open</t>
        </is>
      </c>
      <c r="H799" s="12" t="inlineStr">
        <is>
          <t>1. Enter an Arabic contact name, then a Latin one
2. Submit and re-open the order</t>
        </is>
      </c>
      <c r="I799" s="12" t="inlineStr">
        <is>
          <t>Both are accepted, stored and rendered without corruption on every surface</t>
        </is>
      </c>
      <c r="J799" s="13" t="inlineStr">
        <is>
          <t>Not Tested</t>
        </is>
      </c>
      <c r="K799" s="13" t="inlineStr">
        <is>
          <t>Negative</t>
        </is>
      </c>
    </row>
    <row r="800" ht="36" customHeight="1">
      <c r="A800" s="12" t="inlineStr">
        <is>
          <t>EMI Task Coverage</t>
        </is>
      </c>
      <c r="B800" s="12" t="inlineStr">
        <is>
          <t>POS Order Contact Details</t>
        </is>
      </c>
      <c r="C800" s="12" t="inlineStr">
        <is>
          <t>Boundary</t>
        </is>
      </c>
      <c r="D800" s="13" t="inlineStr">
        <is>
          <t>TC-Contact-12</t>
        </is>
      </c>
      <c r="E800" s="12" t="inlineStr">
        <is>
          <t>Contact Name at Field Length Boundaries</t>
        </is>
      </c>
      <c r="F800" s="13" t="inlineStr">
        <is>
          <t>Low</t>
        </is>
      </c>
      <c r="G800" s="12" t="inlineStr">
        <is>
          <t>POS request flow open</t>
        </is>
      </c>
      <c r="H800" s="12" t="inlineStr">
        <is>
          <t>1. Enter a name at the maximum allowed length, then one character over</t>
        </is>
      </c>
      <c r="I800" s="12" t="inlineStr">
        <is>
          <t>The maximum is accepted; over-length is rejected with a clear message</t>
        </is>
      </c>
      <c r="J800" s="13" t="inlineStr">
        <is>
          <t>Not Tested</t>
        </is>
      </c>
      <c r="K800" s="13" t="inlineStr">
        <is>
          <t>Negative</t>
        </is>
      </c>
    </row>
    <row r="801" ht="36" customHeight="1">
      <c r="A801" s="12" t="inlineStr">
        <is>
          <t>EMI Task Coverage</t>
        </is>
      </c>
      <c r="B801" s="12" t="inlineStr">
        <is>
          <t>POS Order Contact Details</t>
        </is>
      </c>
      <c r="C801" s="12" t="inlineStr">
        <is>
          <t>Regression</t>
        </is>
      </c>
      <c r="D801" s="13" t="inlineStr">
        <is>
          <t>TC-Contact-13</t>
        </is>
      </c>
      <c r="E801" s="12" t="inlineStr">
        <is>
          <t>Single-Group Order Still Works</t>
        </is>
      </c>
      <c r="F801" s="13" t="inlineStr">
        <is>
          <t>Medium</t>
        </is>
      </c>
      <c r="G801" s="12" t="inlineStr">
        <is>
          <t>A POS request with one delivery group</t>
        </is>
      </c>
      <c r="H801" s="12" t="inlineStr">
        <is>
          <t>1. Create and submit a single-group order with contact details</t>
        </is>
      </c>
      <c r="I801" s="12" t="inlineStr">
        <is>
          <t>The single-group path is unaffected and the contact pair is stored and displayed correctly</t>
        </is>
      </c>
      <c r="J801" s="13" t="inlineStr">
        <is>
          <t>Not Tested</t>
        </is>
      </c>
      <c r="K801" s="13" t="inlineStr">
        <is>
          <t>Regression</t>
        </is>
      </c>
    </row>
    <row r="802" ht="36" customHeight="1">
      <c r="A802" s="12" t="inlineStr">
        <is>
          <t>EMI Task Coverage</t>
        </is>
      </c>
      <c r="B802" s="12" t="inlineStr">
        <is>
          <t>POS Order Contact Details</t>
        </is>
      </c>
      <c r="C802" s="12" t="inlineStr">
        <is>
          <t>Regression</t>
        </is>
      </c>
      <c r="D802" s="13" t="inlineStr">
        <is>
          <t>TC-Contact-14</t>
        </is>
      </c>
      <c r="E802" s="12" t="inlineStr">
        <is>
          <t>Existing Orders Without Contact Details Still Render</t>
        </is>
      </c>
      <c r="F802" s="13" t="inlineStr">
        <is>
          <t>Medium</t>
        </is>
      </c>
      <c r="G802" s="12" t="inlineStr">
        <is>
          <t>A POS order created before this change</t>
        </is>
      </c>
      <c r="H802" s="12" t="inlineStr">
        <is>
          <t>1. Open its details on Admin and on each business client</t>
        </is>
      </c>
      <c r="I802" s="12" t="inlineStr">
        <is>
          <t>The order renders without error; absent contact fields are handled gracefully rather than showing blanks as errors</t>
        </is>
      </c>
      <c r="J802" s="13" t="inlineStr">
        <is>
          <t>Not Tested</t>
        </is>
      </c>
      <c r="K802" s="13" t="inlineStr">
        <is>
          <t>Integration</t>
        </is>
      </c>
    </row>
    <row r="803" ht="36" customHeight="1">
      <c r="A803" s="12" t="inlineStr">
        <is>
          <t>EMI Task Coverage</t>
        </is>
      </c>
      <c r="B803" s="12" t="inlineStr">
        <is>
          <t>POS Delivery Consent</t>
        </is>
      </c>
      <c r="C803" s="12" t="inlineStr">
        <is>
          <t>Functional</t>
        </is>
      </c>
      <c r="D803" s="13" t="inlineStr">
        <is>
          <t>TC-Consent-01</t>
        </is>
      </c>
      <c r="E803" s="12" t="inlineStr">
        <is>
          <t>Admin Uploads One Consent PDF per Delivery Group</t>
        </is>
      </c>
      <c r="F803" s="13" t="inlineStr">
        <is>
          <t>High</t>
        </is>
      </c>
      <c r="G803" s="12" t="inlineStr">
        <is>
          <t>Admin signed in; a POS order with more than one delivery group</t>
        </is>
      </c>
      <c r="H803" s="12" t="inlineStr">
        <is>
          <t>1. Upload a consent-of-delivery PDF to one group
2. Upload a different PDF to another group
3. Inspect both</t>
        </is>
      </c>
      <c r="I803" s="12" t="inlineStr">
        <is>
          <t>Each group holds its own consent PDF and the two are independent</t>
        </is>
      </c>
      <c r="J803" s="13" t="inlineStr">
        <is>
          <t>Not Tested</t>
        </is>
      </c>
      <c r="K803" s="13" t="inlineStr">
        <is>
          <t>Functional</t>
        </is>
      </c>
    </row>
    <row r="804" ht="36" customHeight="1">
      <c r="A804" s="12" t="inlineStr">
        <is>
          <t>EMI Task Coverage</t>
        </is>
      </c>
      <c r="B804" s="12" t="inlineStr">
        <is>
          <t>POS Delivery Consent</t>
        </is>
      </c>
      <c r="C804" s="12" t="inlineStr">
        <is>
          <t>Functional</t>
        </is>
      </c>
      <c r="D804" s="13" t="inlineStr">
        <is>
          <t>TC-Consent-02</t>
        </is>
      </c>
      <c r="E804" s="12" t="inlineStr">
        <is>
          <t>Business Previews and Downloads Its Own Consent PDF</t>
        </is>
      </c>
      <c r="F804" s="13" t="inlineStr">
        <is>
          <t>High</t>
        </is>
      </c>
      <c r="G804" s="12" t="inlineStr">
        <is>
          <t>A consent PDF uploaded against the business's order</t>
        </is>
      </c>
      <c r="H804" s="12" t="inlineStr">
        <is>
          <t>1. Open POS Order details as the business user
2. Preview the PDF
3. Download it</t>
        </is>
      </c>
      <c r="I804" s="12" t="inlineStr">
        <is>
          <t>Preview and download both succeed and the file matches what admin uploaded</t>
        </is>
      </c>
      <c r="J804" s="13" t="inlineStr">
        <is>
          <t>Not Tested</t>
        </is>
      </c>
      <c r="K804" s="13" t="inlineStr">
        <is>
          <t>Functional</t>
        </is>
      </c>
    </row>
    <row r="805" ht="36" customHeight="1">
      <c r="A805" s="12" t="inlineStr">
        <is>
          <t>EMI Task Coverage</t>
        </is>
      </c>
      <c r="B805" s="12" t="inlineStr">
        <is>
          <t>POS Delivery Consent</t>
        </is>
      </c>
      <c r="C805" s="12" t="inlineStr">
        <is>
          <t>Functional</t>
        </is>
      </c>
      <c r="D805" s="13" t="inlineStr">
        <is>
          <t>TC-Consent-03</t>
        </is>
      </c>
      <c r="E805" s="12" t="inlineStr">
        <is>
          <t>Business Access Is Read-Only</t>
        </is>
      </c>
      <c r="F805" s="13" t="inlineStr">
        <is>
          <t>High</t>
        </is>
      </c>
      <c r="G805" s="12" t="inlineStr">
        <is>
          <t>A consent PDF attached to the business's order</t>
        </is>
      </c>
      <c r="H805" s="12" t="inlineStr">
        <is>
          <t>1. Look for upload, replace and remove controls as a business user
2. Attempt each action directly against the API</t>
        </is>
      </c>
      <c r="I805" s="12" t="inlineStr">
        <is>
          <t>No write control is offered and every direct write attempt is refused; attachment write is admin-only</t>
        </is>
      </c>
      <c r="J805" s="13" t="inlineStr">
        <is>
          <t>Not Tested</t>
        </is>
      </c>
      <c r="K805" s="13" t="inlineStr">
        <is>
          <t>Negative</t>
        </is>
      </c>
    </row>
    <row r="806" ht="36" customHeight="1">
      <c r="A806" s="12" t="inlineStr">
        <is>
          <t>EMI Task Coverage</t>
        </is>
      </c>
      <c r="B806" s="12" t="inlineStr">
        <is>
          <t>POS Delivery Consent</t>
        </is>
      </c>
      <c r="C806" s="12" t="inlineStr">
        <is>
          <t>Validation</t>
        </is>
      </c>
      <c r="D806" s="13" t="inlineStr">
        <is>
          <t>TC-Consent-04</t>
        </is>
      </c>
      <c r="E806" s="12" t="inlineStr">
        <is>
          <t>Only PDF Files Are Accepted</t>
        </is>
      </c>
      <c r="F806" s="13" t="inlineStr">
        <is>
          <t>High</t>
        </is>
      </c>
      <c r="G806" s="12" t="inlineStr">
        <is>
          <t>Admin upload dialog open</t>
        </is>
      </c>
      <c r="H806" s="12" t="inlineStr">
        <is>
          <t>1. Attempt to upload a JPG, a PNG, a DOCX and an executable
2. Upload a valid PDF</t>
        </is>
      </c>
      <c r="I806" s="12" t="inlineStr">
        <is>
          <t>Every non-PDF is rejected with a clear message; the PDF is accepted</t>
        </is>
      </c>
      <c r="J806" s="13" t="inlineStr">
        <is>
          <t>Not Tested</t>
        </is>
      </c>
      <c r="K806" s="13" t="inlineStr">
        <is>
          <t>Negative</t>
        </is>
      </c>
    </row>
    <row r="807" ht="36" customHeight="1">
      <c r="A807" s="12" t="inlineStr">
        <is>
          <t>EMI Task Coverage</t>
        </is>
      </c>
      <c r="B807" s="12" t="inlineStr">
        <is>
          <t>POS Delivery Consent</t>
        </is>
      </c>
      <c r="C807" s="12" t="inlineStr">
        <is>
          <t>Validation</t>
        </is>
      </c>
      <c r="D807" s="13" t="inlineStr">
        <is>
          <t>TC-Consent-05</t>
        </is>
      </c>
      <c r="E807" s="12" t="inlineStr">
        <is>
          <t>File Larger Than 10 MB Is Rejected</t>
        </is>
      </c>
      <c r="F807" s="13" t="inlineStr">
        <is>
          <t>High</t>
        </is>
      </c>
      <c r="G807" s="12" t="inlineStr">
        <is>
          <t>Admin upload dialog open</t>
        </is>
      </c>
      <c r="H807" s="12" t="inlineStr">
        <is>
          <t>1. Upload a PDF just under 10 MB
2. Upload one just over 10 MB</t>
        </is>
      </c>
      <c r="I807" s="12" t="inlineStr">
        <is>
          <t>The under-limit file is accepted; the over-limit file is rejected with a message naming the limit</t>
        </is>
      </c>
      <c r="J807" s="13" t="inlineStr">
        <is>
          <t>Not Tested</t>
        </is>
      </c>
      <c r="K807" s="13" t="inlineStr">
        <is>
          <t>Negative</t>
        </is>
      </c>
    </row>
    <row r="808" ht="36" customHeight="1">
      <c r="A808" s="12" t="inlineStr">
        <is>
          <t>EMI Task Coverage</t>
        </is>
      </c>
      <c r="B808" s="12" t="inlineStr">
        <is>
          <t>POS Delivery Consent</t>
        </is>
      </c>
      <c r="C808" s="12" t="inlineStr">
        <is>
          <t>Security</t>
        </is>
      </c>
      <c r="D808" s="13" t="inlineStr">
        <is>
          <t>TC-Consent-06</t>
        </is>
      </c>
      <c r="E808" s="12" t="inlineStr">
        <is>
          <t>A File Renamed to .pdf Is Rejected</t>
        </is>
      </c>
      <c r="F808" s="13" t="inlineStr">
        <is>
          <t>High</t>
        </is>
      </c>
      <c r="G808" s="12" t="inlineStr">
        <is>
          <t>A non-PDF file renamed with a .pdf extension</t>
        </is>
      </c>
      <c r="H808" s="12" t="inlineStr">
        <is>
          <t>1. Attempt to upload it</t>
        </is>
      </c>
      <c r="I808" s="12" t="inlineStr">
        <is>
          <t>It is rejected; validation is on file content, not on the extension alone</t>
        </is>
      </c>
      <c r="J808" s="13" t="inlineStr">
        <is>
          <t>Not Tested</t>
        </is>
      </c>
      <c r="K808" s="13" t="inlineStr">
        <is>
          <t>Negative</t>
        </is>
      </c>
    </row>
    <row r="809" ht="36" customHeight="1">
      <c r="A809" s="12" t="inlineStr">
        <is>
          <t>EMI Task Coverage</t>
        </is>
      </c>
      <c r="B809" s="12" t="inlineStr">
        <is>
          <t>POS Delivery Consent</t>
        </is>
      </c>
      <c r="C809" s="12" t="inlineStr">
        <is>
          <t>Security</t>
        </is>
      </c>
      <c r="D809" s="13" t="inlineStr">
        <is>
          <t>TC-Consent-07</t>
        </is>
      </c>
      <c r="E809" s="12" t="inlineStr">
        <is>
          <t>Business Cannot Access Another Business's Consent PDF</t>
        </is>
      </c>
      <c r="F809" s="13" t="inlineStr">
        <is>
          <t>High</t>
        </is>
      </c>
      <c r="G809" s="12" t="inlineStr">
        <is>
          <t>Two businesses each with an order carrying a consent PDF</t>
        </is>
      </c>
      <c r="H809" s="12" t="inlineStr">
        <is>
          <t>1. As one business, request the other's attachment by direct reference and by guessed identifier</t>
        </is>
      </c>
      <c r="I809" s="12" t="inlineStr">
        <is>
          <t>Access is refused with no leakage of the other business's file name, size or existence</t>
        </is>
      </c>
      <c r="J809" s="13" t="inlineStr">
        <is>
          <t>Not Tested</t>
        </is>
      </c>
      <c r="K809" s="13" t="inlineStr">
        <is>
          <t>Security</t>
        </is>
      </c>
    </row>
    <row r="810" ht="36" customHeight="1">
      <c r="A810" s="12" t="inlineStr">
        <is>
          <t>EMI Task Coverage</t>
        </is>
      </c>
      <c r="B810" s="12" t="inlineStr">
        <is>
          <t>POS Delivery Consent</t>
        </is>
      </c>
      <c r="C810" s="12" t="inlineStr">
        <is>
          <t>Security</t>
        </is>
      </c>
      <c r="D810" s="13" t="inlineStr">
        <is>
          <t>TC-Consent-08</t>
        </is>
      </c>
      <c r="E810" s="12" t="inlineStr">
        <is>
          <t>Download Link Is Not Publicly Guessable or Shareable</t>
        </is>
      </c>
      <c r="F810" s="13" t="inlineStr">
        <is>
          <t>High</t>
        </is>
      </c>
      <c r="G810" s="12" t="inlineStr">
        <is>
          <t>A consent PDF attached to an order</t>
        </is>
      </c>
      <c r="H810" s="12" t="inlineStr">
        <is>
          <t>1. Obtain the download URL
2. Request it unauthenticated and from a different account</t>
        </is>
      </c>
      <c r="I810" s="12" t="inlineStr">
        <is>
          <t>Both are refused; the attachment is account-scoped and not served to an unauthenticated caller</t>
        </is>
      </c>
      <c r="J810" s="13" t="inlineStr">
        <is>
          <t>Not Tested</t>
        </is>
      </c>
      <c r="K810" s="13" t="inlineStr">
        <is>
          <t>Security</t>
        </is>
      </c>
    </row>
    <row r="811" ht="36" customHeight="1">
      <c r="A811" s="12" t="inlineStr">
        <is>
          <t>EMI Task Coverage</t>
        </is>
      </c>
      <c r="B811" s="12" t="inlineStr">
        <is>
          <t>POS Delivery Consent</t>
        </is>
      </c>
      <c r="C811" s="12" t="inlineStr">
        <is>
          <t>Functional</t>
        </is>
      </c>
      <c r="D811" s="13" t="inlineStr">
        <is>
          <t>TC-Consent-09</t>
        </is>
      </c>
      <c r="E811" s="12" t="inlineStr">
        <is>
          <t>Replacing a Consent PDF Keeps One Current File per Group</t>
        </is>
      </c>
      <c r="F811" s="13" t="inlineStr">
        <is>
          <t>Medium</t>
        </is>
      </c>
      <c r="G811" s="12" t="inlineStr">
        <is>
          <t>A group with an existing consent PDF</t>
        </is>
      </c>
      <c r="H811" s="12" t="inlineStr">
        <is>
          <t>1. Upload a replacement
2. Inspect the group</t>
        </is>
      </c>
      <c r="I811" s="12" t="inlineStr">
        <is>
          <t>The group holds exactly one current consent PDF and the replacement is the one served</t>
        </is>
      </c>
      <c r="J811" s="13" t="inlineStr">
        <is>
          <t>Not Tested</t>
        </is>
      </c>
      <c r="K811" s="13" t="inlineStr">
        <is>
          <t>Edge / Boundary</t>
        </is>
      </c>
    </row>
    <row r="812" ht="36" customHeight="1">
      <c r="A812" s="12" t="inlineStr">
        <is>
          <t>EMI Task Coverage</t>
        </is>
      </c>
      <c r="B812" s="12" t="inlineStr">
        <is>
          <t>POS Delivery Consent</t>
        </is>
      </c>
      <c r="C812" s="12" t="inlineStr">
        <is>
          <t>Functional</t>
        </is>
      </c>
      <c r="D812" s="13" t="inlineStr">
        <is>
          <t>TC-Consent-10</t>
        </is>
      </c>
      <c r="E812" s="12" t="inlineStr">
        <is>
          <t>Removing a Consent PDF</t>
        </is>
      </c>
      <c r="F812" s="13" t="inlineStr">
        <is>
          <t>Medium</t>
        </is>
      </c>
      <c r="G812" s="12" t="inlineStr">
        <is>
          <t>A group with a consent PDF</t>
        </is>
      </c>
      <c r="H812" s="12" t="inlineStr">
        <is>
          <t>1. Remove it as admin
2. Open the order as the business user</t>
        </is>
      </c>
      <c r="I812" s="12" t="inlineStr">
        <is>
          <t>The attachment is removed and the business surface shows an absent-attachment state rather than a broken link</t>
        </is>
      </c>
      <c r="J812" s="13" t="inlineStr">
        <is>
          <t>Not Tested</t>
        </is>
      </c>
      <c r="K812" s="13" t="inlineStr">
        <is>
          <t>Functional</t>
        </is>
      </c>
    </row>
    <row r="813" ht="36" customHeight="1">
      <c r="A813" s="12" t="inlineStr">
        <is>
          <t>EMI Task Coverage</t>
        </is>
      </c>
      <c r="B813" s="12" t="inlineStr">
        <is>
          <t>POS Delivery Consent</t>
        </is>
      </c>
      <c r="C813" s="12" t="inlineStr">
        <is>
          <t>Audit</t>
        </is>
      </c>
      <c r="D813" s="13" t="inlineStr">
        <is>
          <t>TC-Consent-11</t>
        </is>
      </c>
      <c r="E813" s="12" t="inlineStr">
        <is>
          <t>Add, Replace and Remove Are All Audit-Logged</t>
        </is>
      </c>
      <c r="F813" s="13" t="inlineStr">
        <is>
          <t>High</t>
        </is>
      </c>
      <c r="G813" s="12" t="inlineStr">
        <is>
          <t>Audit log accessible</t>
        </is>
      </c>
      <c r="H813" s="12" t="inlineStr">
        <is>
          <t>1. Add, replace and remove a consent PDF
2. Inspect the audit log for each</t>
        </is>
      </c>
      <c r="I813" s="12" t="inlineStr">
        <is>
          <t>All three actions are logged with actor, action, target group and timestamp</t>
        </is>
      </c>
      <c r="J813" s="13" t="inlineStr">
        <is>
          <t>Not Tested</t>
        </is>
      </c>
      <c r="K813" s="13" t="inlineStr">
        <is>
          <t>Security</t>
        </is>
      </c>
    </row>
    <row r="814" ht="36" customHeight="1">
      <c r="A814" s="12" t="inlineStr">
        <is>
          <t>EMI Task Coverage</t>
        </is>
      </c>
      <c r="B814" s="12" t="inlineStr">
        <is>
          <t>POS Delivery Consent</t>
        </is>
      </c>
      <c r="C814" s="12" t="inlineStr">
        <is>
          <t>Platform</t>
        </is>
      </c>
      <c r="D814" s="13" t="inlineStr">
        <is>
          <t>TC-Consent-12</t>
        </is>
      </c>
      <c r="E814" s="12" t="inlineStr">
        <is>
          <t>iOS Business Views the Consent Attachment</t>
        </is>
      </c>
      <c r="F814" s="13" t="inlineStr">
        <is>
          <t>High</t>
        </is>
      </c>
      <c r="G814" s="12" t="inlineStr">
        <is>
          <t>A consent PDF on the business's order; iOS app</t>
        </is>
      </c>
      <c r="H814" s="12" t="inlineStr">
        <is>
          <t>1. Open POS Order details on iOS and view the attachment</t>
        </is>
      </c>
      <c r="I814" s="12" t="inlineStr">
        <is>
          <t>The attachment is visible and previewable read-only, matching Web behaviour</t>
        </is>
      </c>
      <c r="J814" s="13" t="inlineStr">
        <is>
          <t>Not Tested</t>
        </is>
      </c>
      <c r="K814" s="13" t="inlineStr">
        <is>
          <t>Cross-Platform</t>
        </is>
      </c>
    </row>
    <row r="815" ht="36" customHeight="1">
      <c r="A815" s="12" t="inlineStr">
        <is>
          <t>EMI Task Coverage</t>
        </is>
      </c>
      <c r="B815" s="12" t="inlineStr">
        <is>
          <t>POS Delivery Consent</t>
        </is>
      </c>
      <c r="C815" s="12" t="inlineStr">
        <is>
          <t>Platform</t>
        </is>
      </c>
      <c r="D815" s="13" t="inlineStr">
        <is>
          <t>TC-Consent-13</t>
        </is>
      </c>
      <c r="E815" s="12" t="inlineStr">
        <is>
          <t>Android Business Views the Consent Attachment</t>
        </is>
      </c>
      <c r="F815" s="13" t="inlineStr">
        <is>
          <t>High</t>
        </is>
      </c>
      <c r="G815" s="12" t="inlineStr">
        <is>
          <t>A consent PDF on the business's order; Android app</t>
        </is>
      </c>
      <c r="H815" s="12" t="inlineStr">
        <is>
          <t>1. Open POS Order details on Android and view the attachment</t>
        </is>
      </c>
      <c r="I815" s="12" t="inlineStr">
        <is>
          <t>The attachment is visible and previewable read-only, matching Web behaviour</t>
        </is>
      </c>
      <c r="J815" s="13" t="inlineStr">
        <is>
          <t>Not Tested</t>
        </is>
      </c>
      <c r="K815" s="13" t="inlineStr">
        <is>
          <t>Cross-Platform</t>
        </is>
      </c>
    </row>
    <row r="816" ht="36" customHeight="1">
      <c r="A816" s="12" t="inlineStr">
        <is>
          <t>EMI Task Coverage</t>
        </is>
      </c>
      <c r="B816" s="12" t="inlineStr">
        <is>
          <t>POS Delivery Consent</t>
        </is>
      </c>
      <c r="C816" s="12" t="inlineStr">
        <is>
          <t>Platform</t>
        </is>
      </c>
      <c r="D816" s="13" t="inlineStr">
        <is>
          <t>TC-Consent-14</t>
        </is>
      </c>
      <c r="E816" s="12" t="inlineStr">
        <is>
          <t>Attachment Presentation Is Consistent Across Clients</t>
        </is>
      </c>
      <c r="F816" s="13" t="inlineStr">
        <is>
          <t>Medium</t>
        </is>
      </c>
      <c r="G816" s="12" t="inlineStr">
        <is>
          <t>One order with a consent PDF</t>
        </is>
      </c>
      <c r="H816" s="12" t="inlineStr">
        <is>
          <t>1. Compare the attachment section on Web, Android and iOS</t>
        </is>
      </c>
      <c r="I816" s="12" t="inlineStr">
        <is>
          <t>All three show the same file against the same delivery group with the same read-only affordances</t>
        </is>
      </c>
      <c r="J816" s="13" t="inlineStr">
        <is>
          <t>Not Tested</t>
        </is>
      </c>
      <c r="K816" s="13" t="inlineStr">
        <is>
          <t>Cross-Platform</t>
        </is>
      </c>
    </row>
    <row r="817" ht="36" customHeight="1">
      <c r="A817" s="12" t="inlineStr">
        <is>
          <t>EMI Task Coverage</t>
        </is>
      </c>
      <c r="B817" s="12" t="inlineStr">
        <is>
          <t>POS Delivery Consent</t>
        </is>
      </c>
      <c r="C817" s="12" t="inlineStr">
        <is>
          <t>Negative</t>
        </is>
      </c>
      <c r="D817" s="13" t="inlineStr">
        <is>
          <t>TC-Consent-15</t>
        </is>
      </c>
      <c r="E817" s="12" t="inlineStr">
        <is>
          <t>Corrupt PDF Is Handled Without a Client Crash</t>
        </is>
      </c>
      <c r="F817" s="13" t="inlineStr">
        <is>
          <t>Medium</t>
        </is>
      </c>
      <c r="G817" s="12" t="inlineStr">
        <is>
          <t>A structurally corrupt PDF accepted at upload</t>
        </is>
      </c>
      <c r="H817" s="12" t="inlineStr">
        <is>
          <t>1. Attempt to preview it on each client</t>
        </is>
      </c>
      <c r="I817" s="12" t="inlineStr">
        <is>
          <t>Each client shows a controlled error and offers download; no client crashes or hangs</t>
        </is>
      </c>
      <c r="J817" s="13" t="inlineStr">
        <is>
          <t>Not Tested</t>
        </is>
      </c>
      <c r="K817" s="13" t="inlineStr">
        <is>
          <t>Negative</t>
        </is>
      </c>
    </row>
    <row r="818" ht="36" customHeight="1">
      <c r="A818" s="12" t="inlineStr">
        <is>
          <t>EMI Task Coverage</t>
        </is>
      </c>
      <c r="B818" s="12" t="inlineStr">
        <is>
          <t>POS Delivery Consent</t>
        </is>
      </c>
      <c r="C818" s="12" t="inlineStr">
        <is>
          <t>Negative</t>
        </is>
      </c>
      <c r="D818" s="13" t="inlineStr">
        <is>
          <t>TC-Consent-16</t>
        </is>
      </c>
      <c r="E818" s="12" t="inlineStr">
        <is>
          <t>Upload Interrupted Part-Way Leaves No Partial Attachment</t>
        </is>
      </c>
      <c r="F818" s="13" t="inlineStr">
        <is>
          <t>High</t>
        </is>
      </c>
      <c r="G818" s="12" t="inlineStr">
        <is>
          <t>Admin upload in progress</t>
        </is>
      </c>
      <c r="H818" s="12" t="inlineStr">
        <is>
          <t>1. Interrupt the upload mid-transfer
2. Inspect the group</t>
        </is>
      </c>
      <c r="I818" s="12" t="inlineStr">
        <is>
          <t>No partial or unreadable attachment is stored; the group is left in its previous state</t>
        </is>
      </c>
      <c r="J818" s="13" t="inlineStr">
        <is>
          <t>Not Tested</t>
        </is>
      </c>
      <c r="K818" s="13" t="inlineStr">
        <is>
          <t>Negative</t>
        </is>
      </c>
    </row>
    <row r="819" ht="36" customHeight="1">
      <c r="A819" s="12" t="inlineStr">
        <is>
          <t>EMI Task Coverage</t>
        </is>
      </c>
      <c r="B819" s="12" t="inlineStr">
        <is>
          <t>POS Delivery Consent</t>
        </is>
      </c>
      <c r="C819" s="12" t="inlineStr">
        <is>
          <t>Negative</t>
        </is>
      </c>
      <c r="D819" s="13" t="inlineStr">
        <is>
          <t>TC-Consent-17</t>
        </is>
      </c>
      <c r="E819" s="12" t="inlineStr">
        <is>
          <t>Order With No Consent Attachment</t>
        </is>
      </c>
      <c r="F819" s="13" t="inlineStr">
        <is>
          <t>Medium</t>
        </is>
      </c>
      <c r="G819" s="12" t="inlineStr">
        <is>
          <t>An order whose groups carry no consent PDF</t>
        </is>
      </c>
      <c r="H819" s="12" t="inlineStr">
        <is>
          <t>1. Open the order on Admin and on each business client</t>
        </is>
      </c>
      <c r="I819" s="12" t="inlineStr">
        <is>
          <t>Each surface shows a clear absent state; nothing errors and no empty viewer is opened</t>
        </is>
      </c>
      <c r="J819" s="13" t="inlineStr">
        <is>
          <t>Not Tested</t>
        </is>
      </c>
      <c r="K819" s="13" t="inlineStr">
        <is>
          <t>Negative</t>
        </is>
      </c>
    </row>
    <row r="820" ht="36" customHeight="1">
      <c r="A820" s="12" t="inlineStr">
        <is>
          <t>EMI Task Coverage</t>
        </is>
      </c>
      <c r="B820" s="12" t="inlineStr">
        <is>
          <t>POS Delivery Consent</t>
        </is>
      </c>
      <c r="C820" s="12" t="inlineStr">
        <is>
          <t>Non-Functional</t>
        </is>
      </c>
      <c r="D820" s="13" t="inlineStr">
        <is>
          <t>TC-Consent-18</t>
        </is>
      </c>
      <c r="E820" s="12" t="inlineStr">
        <is>
          <t>Attachment Storage Meets Access and Retention Controls</t>
        </is>
      </c>
      <c r="F820" s="13" t="inlineStr">
        <is>
          <t>High</t>
        </is>
      </c>
      <c r="G820" s="12" t="inlineStr">
        <is>
          <t>A stored consent PDF</t>
        </is>
      </c>
      <c r="H820" s="12" t="inlineStr">
        <is>
          <t>1. Inspect storage encryption, access control and retention configuration</t>
        </is>
      </c>
      <c r="I820" s="12" t="inlineStr">
        <is>
          <t>The file is stored under the applicable encryption, access-control and retention requirements</t>
        </is>
      </c>
      <c r="J820" s="13" t="inlineStr">
        <is>
          <t>Not Tested</t>
        </is>
      </c>
      <c r="K820" s="13" t="inlineStr">
        <is>
          <t>Security</t>
        </is>
      </c>
    </row>
    <row r="821" ht="36" customHeight="1">
      <c r="A821" s="12" t="inlineStr">
        <is>
          <t>EMI Task Coverage</t>
        </is>
      </c>
      <c r="B821" s="12" t="inlineStr">
        <is>
          <t>Device Management Impl</t>
        </is>
      </c>
      <c r="C821" s="12" t="inlineStr">
        <is>
          <t>Backend</t>
        </is>
      </c>
      <c r="D821" s="13" t="inlineStr">
        <is>
          <t>TC-DevImpl-01</t>
        </is>
      </c>
      <c r="E821" s="12" t="inlineStr">
        <is>
          <t>Device Record Created From a TID Mapping Event</t>
        </is>
      </c>
      <c r="F821" s="13" t="inlineStr">
        <is>
          <t>High</t>
        </is>
      </c>
      <c r="G821" s="12" t="inlineStr">
        <is>
          <t>The EMI-5719 order flow able to map a TID</t>
        </is>
      </c>
      <c r="H821" s="12" t="inlineStr">
        <is>
          <t>1. Complete a TID mapping
2. Query the device record</t>
        </is>
      </c>
      <c r="I821" s="12" t="inlineStr">
        <is>
          <t>A device record is created from the mapping event carrying its provenance; the backend consumes the event and does not own the mapping</t>
        </is>
      </c>
      <c r="J821" s="13" t="inlineStr">
        <is>
          <t>Not Tested</t>
        </is>
      </c>
      <c r="K821" s="13" t="inlineStr">
        <is>
          <t>Contract / API</t>
        </is>
      </c>
    </row>
    <row r="822" ht="36" customHeight="1">
      <c r="A822" s="12" t="inlineStr">
        <is>
          <t>EMI Task Coverage</t>
        </is>
      </c>
      <c r="B822" s="12" t="inlineStr">
        <is>
          <t>Device Management Impl</t>
        </is>
      </c>
      <c r="C822" s="12" t="inlineStr">
        <is>
          <t>Backend</t>
        </is>
      </c>
      <c r="D822" s="13" t="inlineStr">
        <is>
          <t>TC-DevImpl-02</t>
        </is>
      </c>
      <c r="E822" s="12" t="inlineStr">
        <is>
          <t>Device Record Updated From a Termination Event</t>
        </is>
      </c>
      <c r="F822" s="13" t="inlineStr">
        <is>
          <t>High</t>
        </is>
      </c>
      <c r="G822" s="12" t="inlineStr">
        <is>
          <t>An active device and the EMI-5719 termination flow</t>
        </is>
      </c>
      <c r="H822" s="12" t="inlineStr">
        <is>
          <t>1. Complete a termination
2. Query the device record</t>
        </is>
      </c>
      <c r="I822" s="12" t="inlineStr">
        <is>
          <t>The device record is updated to the terminated state from the event, and the device and its ledger remain readable</t>
        </is>
      </c>
      <c r="J822" s="13" t="inlineStr">
        <is>
          <t>Not Tested</t>
        </is>
      </c>
      <c r="K822" s="13" t="inlineStr">
        <is>
          <t>Contract / API</t>
        </is>
      </c>
    </row>
    <row r="823" ht="36" customHeight="1">
      <c r="A823" s="12" t="inlineStr">
        <is>
          <t>EMI Task Coverage</t>
        </is>
      </c>
      <c r="B823" s="12" t="inlineStr">
        <is>
          <t>Device Management Impl</t>
        </is>
      </c>
      <c r="C823" s="12" t="inlineStr">
        <is>
          <t>Backend</t>
        </is>
      </c>
      <c r="D823" s="13" t="inlineStr">
        <is>
          <t>TC-DevImpl-03</t>
        </is>
      </c>
      <c r="E823" s="12" t="inlineStr">
        <is>
          <t>Device Directory API Returns All Devices for Admin</t>
        </is>
      </c>
      <c r="F823" s="13" t="inlineStr">
        <is>
          <t>High</t>
        </is>
      </c>
      <c r="G823" s="12" t="inlineStr">
        <is>
          <t>Devices across several businesses; admin credentials</t>
        </is>
      </c>
      <c r="H823" s="12" t="inlineStr">
        <is>
          <t>1. Call the device directory API as admin</t>
        </is>
      </c>
      <c r="I823" s="12" t="inlineStr">
        <is>
          <t>Every mapped device across all businesses is returned with pagination</t>
        </is>
      </c>
      <c r="J823" s="13" t="inlineStr">
        <is>
          <t>Not Tested</t>
        </is>
      </c>
      <c r="K823" s="13" t="inlineStr">
        <is>
          <t>Contract / API</t>
        </is>
      </c>
    </row>
    <row r="824" ht="36" customHeight="1">
      <c r="A824" s="12" t="inlineStr">
        <is>
          <t>EMI Task Coverage</t>
        </is>
      </c>
      <c r="B824" s="12" t="inlineStr">
        <is>
          <t>Device Management Impl</t>
        </is>
      </c>
      <c r="C824" s="12" t="inlineStr">
        <is>
          <t>Backend</t>
        </is>
      </c>
      <c r="D824" s="13" t="inlineStr">
        <is>
          <t>TC-DevImpl-04</t>
        </is>
      </c>
      <c r="E824" s="12" t="inlineStr">
        <is>
          <t>Device Directory API Is Account-Scoped for Business</t>
        </is>
      </c>
      <c r="F824" s="13" t="inlineStr">
        <is>
          <t>High</t>
        </is>
      </c>
      <c r="G824" s="12" t="inlineStr">
        <is>
          <t>Devices across several businesses; business credentials</t>
        </is>
      </c>
      <c r="H824" s="12" t="inlineStr">
        <is>
          <t>1. Call the device directory API as a business user
2. Attempt to widen the scope through query parameters</t>
        </is>
      </c>
      <c r="I824" s="12" t="inlineStr">
        <is>
          <t>Only the caller's own devices are returned and the scope cannot be widened from the request</t>
        </is>
      </c>
      <c r="J824" s="13" t="inlineStr">
        <is>
          <t>Not Tested</t>
        </is>
      </c>
      <c r="K824" s="13" t="inlineStr">
        <is>
          <t>Contract / API</t>
        </is>
      </c>
    </row>
    <row r="825" ht="36" customHeight="1">
      <c r="A825" s="12" t="inlineStr">
        <is>
          <t>EMI Task Coverage</t>
        </is>
      </c>
      <c r="B825" s="12" t="inlineStr">
        <is>
          <t>Device Management Impl</t>
        </is>
      </c>
      <c r="C825" s="12" t="inlineStr">
        <is>
          <t>Backend</t>
        </is>
      </c>
      <c r="D825" s="13" t="inlineStr">
        <is>
          <t>TC-DevImpl-05</t>
        </is>
      </c>
      <c r="E825" s="12" t="inlineStr">
        <is>
          <t>Device Detail API Enforces the Same Scope</t>
        </is>
      </c>
      <c r="F825" s="13" t="inlineStr">
        <is>
          <t>High</t>
        </is>
      </c>
      <c r="G825" s="12" t="inlineStr">
        <is>
          <t>A device belonging to another business</t>
        </is>
      </c>
      <c r="H825" s="12" t="inlineStr">
        <is>
          <t>1. Request its detail as a business user by direct identifier</t>
        </is>
      </c>
      <c r="I825" s="12" t="inlineStr">
        <is>
          <t>Refused with 403 or not-found and no detail leaks</t>
        </is>
      </c>
      <c r="J825" s="13" t="inlineStr">
        <is>
          <t>Not Tested</t>
        </is>
      </c>
      <c r="K825" s="13" t="inlineStr">
        <is>
          <t>Security</t>
        </is>
      </c>
    </row>
    <row r="826" ht="36" customHeight="1">
      <c r="A826" s="12" t="inlineStr">
        <is>
          <t>EMI Task Coverage</t>
        </is>
      </c>
      <c r="B826" s="12" t="inlineStr">
        <is>
          <t>Device Management Impl</t>
        </is>
      </c>
      <c r="C826" s="12" t="inlineStr">
        <is>
          <t>Backend</t>
        </is>
      </c>
      <c r="D826" s="13" t="inlineStr">
        <is>
          <t>TC-DevImpl-06</t>
        </is>
      </c>
      <c r="E826" s="12" t="inlineStr">
        <is>
          <t>Lifecycle Transitions Are Enforced Server-Side</t>
        </is>
      </c>
      <c r="F826" s="13" t="inlineStr">
        <is>
          <t>High</t>
        </is>
      </c>
      <c r="G826" s="12" t="inlineStr">
        <is>
          <t>A device in each lifecycle state</t>
        </is>
      </c>
      <c r="H826" s="12" t="inlineStr">
        <is>
          <t>1. Attempt every transition permitted and forbidden by the status model, directly against the API</t>
        </is>
      </c>
      <c r="I826" s="12" t="inlineStr">
        <is>
          <t>Permitted transitions succeed and forbidden ones are refused with the allowed next states, regardless of what the client offers</t>
        </is>
      </c>
      <c r="J826" s="13" t="inlineStr">
        <is>
          <t>Not Tested</t>
        </is>
      </c>
      <c r="K826" s="13" t="inlineStr">
        <is>
          <t>Negative</t>
        </is>
      </c>
    </row>
    <row r="827" ht="36" customHeight="1">
      <c r="A827" s="12" t="inlineStr">
        <is>
          <t>EMI Task Coverage</t>
        </is>
      </c>
      <c r="B827" s="12" t="inlineStr">
        <is>
          <t>Device Management Impl</t>
        </is>
      </c>
      <c r="C827" s="12" t="inlineStr">
        <is>
          <t>Backend</t>
        </is>
      </c>
      <c r="D827" s="13" t="inlineStr">
        <is>
          <t>TC-DevImpl-07</t>
        </is>
      </c>
      <c r="E827" s="12" t="inlineStr">
        <is>
          <t>Every Lifecycle Action Is Audited</t>
        </is>
      </c>
      <c r="F827" s="13" t="inlineStr">
        <is>
          <t>High</t>
        </is>
      </c>
      <c r="G827" s="12" t="inlineStr">
        <is>
          <t>Audit log accessible</t>
        </is>
      </c>
      <c r="H827" s="12" t="inlineStr">
        <is>
          <t>1. Perform each lifecycle action
2. Inspect the audit records</t>
        </is>
      </c>
      <c r="I827" s="12" t="inlineStr">
        <is>
          <t>Each action writes an audit record with identity, action, reason where required, and timestamp</t>
        </is>
      </c>
      <c r="J827" s="13" t="inlineStr">
        <is>
          <t>Not Tested</t>
        </is>
      </c>
      <c r="K827" s="13" t="inlineStr">
        <is>
          <t>Contract / API</t>
        </is>
      </c>
    </row>
    <row r="828" ht="36" customHeight="1">
      <c r="A828" s="12" t="inlineStr">
        <is>
          <t>EMI Task Coverage</t>
        </is>
      </c>
      <c r="B828" s="12" t="inlineStr">
        <is>
          <t>Device Management Impl</t>
        </is>
      </c>
      <c r="C828" s="12" t="inlineStr">
        <is>
          <t>Sub-Ledger</t>
        </is>
      </c>
      <c r="D828" s="13" t="inlineStr">
        <is>
          <t>TC-DevImpl-08</t>
        </is>
      </c>
      <c r="E828" s="12" t="inlineStr">
        <is>
          <t>Sub-Ledger API Returns Entries Tagged With the Device</t>
        </is>
      </c>
      <c r="F828" s="13" t="inlineStr">
        <is>
          <t>High</t>
        </is>
      </c>
      <c r="G828" s="12" t="inlineStr">
        <is>
          <t>A wallet with transactions carrying device metadata</t>
        </is>
      </c>
      <c r="H828" s="12" t="inlineStr">
        <is>
          <t>1. Call the sub-ledger API for a device</t>
        </is>
      </c>
      <c r="I828" s="12" t="inlineStr">
        <is>
          <t>Only wallet-ledger entries tagged with that device's tid or deviceRef are returned, with a running balance</t>
        </is>
      </c>
      <c r="J828" s="13" t="inlineStr">
        <is>
          <t>Not Tested</t>
        </is>
      </c>
      <c r="K828" s="13" t="inlineStr">
        <is>
          <t>Functional</t>
        </is>
      </c>
    </row>
    <row r="829" ht="36" customHeight="1">
      <c r="A829" s="12" t="inlineStr">
        <is>
          <t>EMI Task Coverage</t>
        </is>
      </c>
      <c r="B829" s="12" t="inlineStr">
        <is>
          <t>Device Management Impl</t>
        </is>
      </c>
      <c r="C829" s="12" t="inlineStr">
        <is>
          <t>Sub-Ledger</t>
        </is>
      </c>
      <c r="D829" s="13" t="inlineStr">
        <is>
          <t>TC-DevImpl-09</t>
        </is>
      </c>
      <c r="E829" s="12" t="inlineStr">
        <is>
          <t>Sub-Ledger Is Read-Only From This Surface</t>
        </is>
      </c>
      <c r="F829" s="13" t="inlineStr">
        <is>
          <t>High</t>
        </is>
      </c>
      <c r="G829" s="12" t="inlineStr">
        <is>
          <t>A device with a sub-ledger balance</t>
        </is>
      </c>
      <c r="H829" s="12" t="inlineStr">
        <is>
          <t>1. Attempt every write and money-movement operation against the sub-ledger API</t>
        </is>
      </c>
      <c r="I829" s="12" t="inlineStr">
        <is>
          <t>All are refused; the sub-ledger is a projection and the wallet ledger stays the single source of truth</t>
        </is>
      </c>
      <c r="J829" s="13" t="inlineStr">
        <is>
          <t>Not Tested</t>
        </is>
      </c>
      <c r="K829" s="13" t="inlineStr">
        <is>
          <t>Negative</t>
        </is>
      </c>
    </row>
    <row r="830" ht="36" customHeight="1">
      <c r="A830" s="12" t="inlineStr">
        <is>
          <t>EMI Task Coverage</t>
        </is>
      </c>
      <c r="B830" s="12" t="inlineStr">
        <is>
          <t>Device Management Impl</t>
        </is>
      </c>
      <c r="C830" s="12" t="inlineStr">
        <is>
          <t>Sub-Ledger</t>
        </is>
      </c>
      <c r="D830" s="13" t="inlineStr">
        <is>
          <t>TC-DevImpl-10</t>
        </is>
      </c>
      <c r="E830" s="12" t="inlineStr">
        <is>
          <t>Sub-Ledger Pagination and Date Range</t>
        </is>
      </c>
      <c r="F830" s="13" t="inlineStr">
        <is>
          <t>Medium</t>
        </is>
      </c>
      <c r="G830" s="12" t="inlineStr">
        <is>
          <t>A device with a long transaction history</t>
        </is>
      </c>
      <c r="H830" s="12" t="inlineStr">
        <is>
          <t>1. Page through the sub-ledger and apply a date range</t>
        </is>
      </c>
      <c r="I830" s="12" t="inlineStr">
        <is>
          <t>Paging is stable with no duplicated or skipped entries, and the date range is honoured</t>
        </is>
      </c>
      <c r="J830" s="13" t="inlineStr">
        <is>
          <t>Not Tested</t>
        </is>
      </c>
      <c r="K830" s="13" t="inlineStr">
        <is>
          <t>Integration</t>
        </is>
      </c>
    </row>
    <row r="831" ht="36" customHeight="1">
      <c r="A831" s="12" t="inlineStr">
        <is>
          <t>EMI Task Coverage</t>
        </is>
      </c>
      <c r="B831" s="12" t="inlineStr">
        <is>
          <t>Device Management Impl</t>
        </is>
      </c>
      <c r="C831" s="12" t="inlineStr">
        <is>
          <t>Web Business</t>
        </is>
      </c>
      <c r="D831" s="13" t="inlineStr">
        <is>
          <t>TC-DevImpl-11</t>
        </is>
      </c>
      <c r="E831" s="12" t="inlineStr">
        <is>
          <t>Business Web My-Devices List and Detail</t>
        </is>
      </c>
      <c r="F831" s="13" t="inlineStr">
        <is>
          <t>High</t>
        </is>
      </c>
      <c r="G831" s="12" t="inlineStr">
        <is>
          <t>Business user on Web with devices</t>
        </is>
      </c>
      <c r="H831" s="12" t="inlineStr">
        <is>
          <t>1. Open My Devices and then a device detail</t>
        </is>
      </c>
      <c r="I831" s="12" t="inlineStr">
        <is>
          <t>Only the business's own devices are listed; detail shows profile, status history and sub-ledger</t>
        </is>
      </c>
      <c r="J831" s="13" t="inlineStr">
        <is>
          <t>Not Tested</t>
        </is>
      </c>
      <c r="K831" s="13" t="inlineStr">
        <is>
          <t>Functional</t>
        </is>
      </c>
    </row>
    <row r="832" ht="36" customHeight="1">
      <c r="A832" s="12" t="inlineStr">
        <is>
          <t>EMI Task Coverage</t>
        </is>
      </c>
      <c r="B832" s="12" t="inlineStr">
        <is>
          <t>Device Management Impl</t>
        </is>
      </c>
      <c r="C832" s="12" t="inlineStr">
        <is>
          <t>Web Business</t>
        </is>
      </c>
      <c r="D832" s="13" t="inlineStr">
        <is>
          <t>TC-DevImpl-12</t>
        </is>
      </c>
      <c r="E832" s="12" t="inlineStr">
        <is>
          <t>Business Web Light Self-Service Only</t>
        </is>
      </c>
      <c r="F832" s="13" t="inlineStr">
        <is>
          <t>High</t>
        </is>
      </c>
      <c r="G832" s="12" t="inlineStr">
        <is>
          <t>Business user on Web with a device</t>
        </is>
      </c>
      <c r="H832" s="12" t="inlineStr">
        <is>
          <t>1. Review the available actions</t>
        </is>
      </c>
      <c r="I832" s="12" t="inlineStr">
        <is>
          <t>Relabel, report issue and request termination are offered; suspend, block, replace and relocate are not</t>
        </is>
      </c>
      <c r="J832" s="13" t="inlineStr">
        <is>
          <t>Not Tested</t>
        </is>
      </c>
      <c r="K832" s="13" t="inlineStr">
        <is>
          <t>Functional</t>
        </is>
      </c>
    </row>
    <row r="833" ht="36" customHeight="1">
      <c r="A833" s="12" t="inlineStr">
        <is>
          <t>EMI Task Coverage</t>
        </is>
      </c>
      <c r="B833" s="12" t="inlineStr">
        <is>
          <t>Device Management Impl</t>
        </is>
      </c>
      <c r="C833" s="12" t="inlineStr">
        <is>
          <t>Web Admin</t>
        </is>
      </c>
      <c r="D833" s="13" t="inlineStr">
        <is>
          <t>TC-DevImpl-13</t>
        </is>
      </c>
      <c r="E833" s="12" t="inlineStr">
        <is>
          <t>Admin Web All-Devices List With Filters and Export</t>
        </is>
      </c>
      <c r="F833" s="13" t="inlineStr">
        <is>
          <t>High</t>
        </is>
      </c>
      <c r="G833" s="12" t="inlineStr">
        <is>
          <t>Admin on Web with devices across businesses</t>
        </is>
      </c>
      <c r="H833" s="12" t="inlineStr">
        <is>
          <t>1. Open the Devices page, apply filters and export</t>
        </is>
      </c>
      <c r="I833" s="12" t="inlineStr">
        <is>
          <t>All devices are listed, filters return the correct subset and the export matches the on-screen rows</t>
        </is>
      </c>
      <c r="J833" s="13" t="inlineStr">
        <is>
          <t>Not Tested</t>
        </is>
      </c>
      <c r="K833" s="13" t="inlineStr">
        <is>
          <t>Functional</t>
        </is>
      </c>
    </row>
    <row r="834" ht="36" customHeight="1">
      <c r="A834" s="12" t="inlineStr">
        <is>
          <t>EMI Task Coverage</t>
        </is>
      </c>
      <c r="B834" s="12" t="inlineStr">
        <is>
          <t>Device Management Impl</t>
        </is>
      </c>
      <c r="C834" s="12" t="inlineStr">
        <is>
          <t>Web Admin</t>
        </is>
      </c>
      <c r="D834" s="13" t="inlineStr">
        <is>
          <t>TC-DevImpl-14</t>
        </is>
      </c>
      <c r="E834" s="12" t="inlineStr">
        <is>
          <t>Admin Web Lifecycle Actions End to End</t>
        </is>
      </c>
      <c r="F834" s="13" t="inlineStr">
        <is>
          <t>High</t>
        </is>
      </c>
      <c r="G834" s="12" t="inlineStr">
        <is>
          <t>Admin on Web with an active device</t>
        </is>
      </c>
      <c r="H834" s="12" t="inlineStr">
        <is>
          <t>1. Suspend, reactivate, block, unblock, relocate, relabel and replace the device through the UI</t>
        </is>
      </c>
      <c r="I834" s="12" t="inlineStr">
        <is>
          <t>Each action succeeds, the status badge updates, and a status-history entry appears for each</t>
        </is>
      </c>
      <c r="J834" s="13" t="inlineStr">
        <is>
          <t>Not Tested</t>
        </is>
      </c>
      <c r="K834" s="13" t="inlineStr">
        <is>
          <t>Functional</t>
        </is>
      </c>
    </row>
    <row r="835" ht="36" customHeight="1">
      <c r="A835" s="12" t="inlineStr">
        <is>
          <t>EMI Task Coverage</t>
        </is>
      </c>
      <c r="B835" s="12" t="inlineStr">
        <is>
          <t>Device Management Impl</t>
        </is>
      </c>
      <c r="C835" s="12" t="inlineStr">
        <is>
          <t>Platform</t>
        </is>
      </c>
      <c r="D835" s="13" t="inlineStr">
        <is>
          <t>TC-DevImpl-15</t>
        </is>
      </c>
      <c r="E835" s="12" t="inlineStr">
        <is>
          <t>Android Business My-Devices Matches Web</t>
        </is>
      </c>
      <c r="F835" s="13" t="inlineStr">
        <is>
          <t>High</t>
        </is>
      </c>
      <c r="G835" s="12" t="inlineStr">
        <is>
          <t>Business user on Android</t>
        </is>
      </c>
      <c r="H835" s="12" t="inlineStr">
        <is>
          <t>1. Open My Devices, a device detail and the sub-ledger</t>
        </is>
      </c>
      <c r="I835" s="12" t="inlineStr">
        <is>
          <t>Scoping, profile, status history, sub-ledger and self-service actions match the Web business behaviour</t>
        </is>
      </c>
      <c r="J835" s="13" t="inlineStr">
        <is>
          <t>Not Tested</t>
        </is>
      </c>
      <c r="K835" s="13" t="inlineStr">
        <is>
          <t>Cross-Platform</t>
        </is>
      </c>
    </row>
    <row r="836" ht="36" customHeight="1">
      <c r="A836" s="12" t="inlineStr">
        <is>
          <t>EMI Task Coverage</t>
        </is>
      </c>
      <c r="B836" s="12" t="inlineStr">
        <is>
          <t>Device Management Impl</t>
        </is>
      </c>
      <c r="C836" s="12" t="inlineStr">
        <is>
          <t>Platform</t>
        </is>
      </c>
      <c r="D836" s="13" t="inlineStr">
        <is>
          <t>TC-DevImpl-16</t>
        </is>
      </c>
      <c r="E836" s="12" t="inlineStr">
        <is>
          <t>iOS Business My-Devices Matches Web</t>
        </is>
      </c>
      <c r="F836" s="13" t="inlineStr">
        <is>
          <t>High</t>
        </is>
      </c>
      <c r="G836" s="12" t="inlineStr">
        <is>
          <t>Business user on iOS</t>
        </is>
      </c>
      <c r="H836" s="12" t="inlineStr">
        <is>
          <t>1. Open My Devices, a device detail and the sub-ledger</t>
        </is>
      </c>
      <c r="I836" s="12" t="inlineStr">
        <is>
          <t>Scoping, profile, status history, sub-ledger and self-service actions match the Web business behaviour</t>
        </is>
      </c>
      <c r="J836" s="13" t="inlineStr">
        <is>
          <t>Not Tested</t>
        </is>
      </c>
      <c r="K836" s="13" t="inlineStr">
        <is>
          <t>Cross-Platform</t>
        </is>
      </c>
    </row>
    <row r="837" ht="36" customHeight="1">
      <c r="A837" s="12" t="inlineStr">
        <is>
          <t>EMI Task Coverage</t>
        </is>
      </c>
      <c r="B837" s="12" t="inlineStr">
        <is>
          <t>Device Management Impl</t>
        </is>
      </c>
      <c r="C837" s="12" t="inlineStr">
        <is>
          <t>Platform</t>
        </is>
      </c>
      <c r="D837" s="13" t="inlineStr">
        <is>
          <t>TC-DevImpl-17</t>
        </is>
      </c>
      <c r="E837" s="12" t="inlineStr">
        <is>
          <t>Device Status Presentation Is Consistent Across Clients</t>
        </is>
      </c>
      <c r="F837" s="13" t="inlineStr">
        <is>
          <t>Medium</t>
        </is>
      </c>
      <c r="G837" s="12" t="inlineStr">
        <is>
          <t>Devices in Active, Suspended, Blocked, Replaced and Terminated states</t>
        </is>
      </c>
      <c r="H837" s="12" t="inlineStr">
        <is>
          <t>1. Compare each state on Web Business, Web Admin, Android and iOS</t>
        </is>
      </c>
      <c r="I837" s="12" t="inlineStr">
        <is>
          <t>Every client presents the same five states with consistent labelling and no client invents or omits a state</t>
        </is>
      </c>
      <c r="J837" s="13" t="inlineStr">
        <is>
          <t>Not Tested</t>
        </is>
      </c>
      <c r="K837" s="13" t="inlineStr">
        <is>
          <t>Cross-Platform</t>
        </is>
      </c>
    </row>
    <row r="838" ht="36" customHeight="1">
      <c r="A838" s="12" t="inlineStr">
        <is>
          <t>EMI Task Coverage</t>
        </is>
      </c>
      <c r="B838" s="12" t="inlineStr">
        <is>
          <t>Device Management Impl</t>
        </is>
      </c>
      <c r="C838" s="12" t="inlineStr">
        <is>
          <t>Negative</t>
        </is>
      </c>
      <c r="D838" s="13" t="inlineStr">
        <is>
          <t>TC-DevImpl-18</t>
        </is>
      </c>
      <c r="E838" s="12" t="inlineStr">
        <is>
          <t>Suspended and Blocked Devices Cannot Transact</t>
        </is>
      </c>
      <c r="F838" s="13" t="inlineStr">
        <is>
          <t>High</t>
        </is>
      </c>
      <c r="G838" s="12" t="inlineStr">
        <is>
          <t>A suspended device and a blocked device</t>
        </is>
      </c>
      <c r="H838" s="12" t="inlineStr">
        <is>
          <t>1. Attempt a transaction on each</t>
        </is>
      </c>
      <c r="I838" s="12" t="inlineStr">
        <is>
          <t>Both are refused; the ledger is preserved and no entry is created</t>
        </is>
      </c>
      <c r="J838" s="13" t="inlineStr">
        <is>
          <t>Not Tested</t>
        </is>
      </c>
      <c r="K838" s="13" t="inlineStr">
        <is>
          <t>Negative</t>
        </is>
      </c>
    </row>
    <row r="839" ht="36" customHeight="1">
      <c r="A839" s="12" t="inlineStr">
        <is>
          <t>EMI Task Coverage</t>
        </is>
      </c>
      <c r="B839" s="12" t="inlineStr">
        <is>
          <t>Device Management Impl</t>
        </is>
      </c>
      <c r="C839" s="12" t="inlineStr">
        <is>
          <t>Negative</t>
        </is>
      </c>
      <c r="D839" s="13" t="inlineStr">
        <is>
          <t>TC-DevImpl-19</t>
        </is>
      </c>
      <c r="E839" s="12" t="inlineStr">
        <is>
          <t>Replace With an In-Use TID Is Refused Server-Side</t>
        </is>
      </c>
      <c r="F839" s="13" t="inlineStr">
        <is>
          <t>High</t>
        </is>
      </c>
      <c r="G839" s="12" t="inlineStr">
        <is>
          <t>A TID already mapped elsewhere</t>
        </is>
      </c>
      <c r="H839" s="12" t="inlineStr">
        <is>
          <t>1. Attempt the replace through the API</t>
        </is>
      </c>
      <c r="I839" s="12" t="inlineStr">
        <is>
          <t>Refused; TID uniqueness is enforced platform-wide and not only in the UI</t>
        </is>
      </c>
      <c r="J839" s="13" t="inlineStr">
        <is>
          <t>Not Tested</t>
        </is>
      </c>
      <c r="K839" s="13" t="inlineStr">
        <is>
          <t>Negative</t>
        </is>
      </c>
    </row>
    <row r="840" ht="36" customHeight="1">
      <c r="A840" s="12" t="inlineStr">
        <is>
          <t>EMI Task Coverage</t>
        </is>
      </c>
      <c r="B840" s="12" t="inlineStr">
        <is>
          <t>Device Management Impl</t>
        </is>
      </c>
      <c r="C840" s="12" t="inlineStr">
        <is>
          <t>Non-Functional</t>
        </is>
      </c>
      <c r="D840" s="13" t="inlineStr">
        <is>
          <t>TC-DevImpl-20</t>
        </is>
      </c>
      <c r="E840" s="12" t="inlineStr">
        <is>
          <t>Directory and Sub-Ledger Load Within Budget</t>
        </is>
      </c>
      <c r="F840" s="13" t="inlineStr">
        <is>
          <t>High</t>
        </is>
      </c>
      <c r="G840" s="12" t="inlineStr">
        <is>
          <t>A production-scale device population and a device with 12 months of activity</t>
        </is>
      </c>
      <c r="H840" s="12" t="inlineStr">
        <is>
          <t>1. Load the admin device list and a 12-month sub-ledger and time both</t>
        </is>
      </c>
      <c r="I840" s="12" t="inlineStr">
        <is>
          <t>The list loads within 2 seconds and the 12-month statement renders within 3 seconds</t>
        </is>
      </c>
      <c r="J840" s="13" t="inlineStr">
        <is>
          <t>Not Tested</t>
        </is>
      </c>
      <c r="K840" s="13" t="inlineStr">
        <is>
          <t>Performance / NFR</t>
        </is>
      </c>
    </row>
    <row r="841" ht="36" customHeight="1">
      <c r="A841" s="12" t="inlineStr">
        <is>
          <t>EMI Task Coverage</t>
        </is>
      </c>
      <c r="B841" s="12" t="inlineStr">
        <is>
          <t>RBAC Roles &amp; Groups</t>
        </is>
      </c>
      <c r="C841" s="12" t="inlineStr">
        <is>
          <t>Backend</t>
        </is>
      </c>
      <c r="D841" s="13" t="inlineStr">
        <is>
          <t>TC-RBAC-01</t>
        </is>
      </c>
      <c r="E841" s="12" t="inlineStr">
        <is>
          <t>New Role and Group Model Is Exposed by the Redesigned APIs</t>
        </is>
      </c>
      <c r="F841" s="13" t="inlineStr">
        <is>
          <t>High</t>
        </is>
      </c>
      <c r="G841" s="12" t="inlineStr">
        <is>
          <t>Backend redesign deployed</t>
        </is>
      </c>
      <c r="H841" s="12" t="inlineStr">
        <is>
          <t>1. Call the group, role and privilege endpoints
2. Compare the payloads against the documented model</t>
        </is>
      </c>
      <c r="I841" s="12" t="inlineStr">
        <is>
          <t>The endpoints expose the new role and group model with GroupDto, RoleDto and PrivilegeDto shapes as documented</t>
        </is>
      </c>
      <c r="J841" s="13" t="inlineStr">
        <is>
          <t>Not Tested</t>
        </is>
      </c>
      <c r="K841" s="13" t="inlineStr">
        <is>
          <t>Security</t>
        </is>
      </c>
    </row>
    <row r="842" ht="36" customHeight="1">
      <c r="A842" s="12" t="inlineStr">
        <is>
          <t>EMI Task Coverage</t>
        </is>
      </c>
      <c r="B842" s="12" t="inlineStr">
        <is>
          <t>RBAC Roles &amp; Groups</t>
        </is>
      </c>
      <c r="C842" s="12" t="inlineStr">
        <is>
          <t>Backend</t>
        </is>
      </c>
      <c r="D842" s="13" t="inlineStr">
        <is>
          <t>TC-RBAC-02</t>
        </is>
      </c>
      <c r="E842" s="12" t="inlineStr">
        <is>
          <t>Business-Scoped Endpoints Return Only the Caller's Scope</t>
        </is>
      </c>
      <c r="F842" s="13" t="inlineStr">
        <is>
          <t>High</t>
        </is>
      </c>
      <c r="G842" s="12" t="inlineStr">
        <is>
          <t>Two businesses each with custom groups and roles</t>
        </is>
      </c>
      <c r="H842" s="12" t="inlineStr">
        <is>
          <t>1. Call the business-scoped group and role endpoints as one business
2. Attempt to widen the scope through parameters</t>
        </is>
      </c>
      <c r="I842" s="12" t="inlineStr">
        <is>
          <t>Only the caller's own groups and roles are returned and the scope cannot be widened from the request</t>
        </is>
      </c>
      <c r="J842" s="13" t="inlineStr">
        <is>
          <t>Not Tested</t>
        </is>
      </c>
      <c r="K842" s="13" t="inlineStr">
        <is>
          <t>Contract / API</t>
        </is>
      </c>
    </row>
    <row r="843" ht="36" customHeight="1">
      <c r="A843" s="12" t="inlineStr">
        <is>
          <t>EMI Task Coverage</t>
        </is>
      </c>
      <c r="B843" s="12" t="inlineStr">
        <is>
          <t>RBAC Roles &amp; Groups</t>
        </is>
      </c>
      <c r="C843" s="12" t="inlineStr">
        <is>
          <t>Backend</t>
        </is>
      </c>
      <c r="D843" s="13" t="inlineStr">
        <is>
          <t>TC-RBAC-03</t>
        </is>
      </c>
      <c r="E843" s="12" t="inlineStr">
        <is>
          <t>Admin-Scoped Endpoints Cover the Whole Platform</t>
        </is>
      </c>
      <c r="F843" s="13" t="inlineStr">
        <is>
          <t>High</t>
        </is>
      </c>
      <c r="G843" s="12" t="inlineStr">
        <is>
          <t>Admin credentials</t>
        </is>
      </c>
      <c r="H843" s="12" t="inlineStr">
        <is>
          <t>1. Call the admin-scoped RBAC endpoints</t>
        </is>
      </c>
      <c r="I843" s="12" t="inlineStr">
        <is>
          <t>Admin-scoped data is returned across the platform, distinct from the business-scoped surface</t>
        </is>
      </c>
      <c r="J843" s="13" t="inlineStr">
        <is>
          <t>Not Tested</t>
        </is>
      </c>
      <c r="K843" s="13" t="inlineStr">
        <is>
          <t>Contract / API</t>
        </is>
      </c>
    </row>
    <row r="844" ht="36" customHeight="1">
      <c r="A844" s="12" t="inlineStr">
        <is>
          <t>EMI Task Coverage</t>
        </is>
      </c>
      <c r="B844" s="12" t="inlineStr">
        <is>
          <t>RBAC Roles &amp; Groups</t>
        </is>
      </c>
      <c r="C844" s="12" t="inlineStr">
        <is>
          <t>Backend</t>
        </is>
      </c>
      <c r="D844" s="13" t="inlineStr">
        <is>
          <t>TC-RBAC-04</t>
        </is>
      </c>
      <c r="E844" s="12" t="inlineStr">
        <is>
          <t>Paged List Envelope Is Correct</t>
        </is>
      </c>
      <c r="F844" s="13" t="inlineStr">
        <is>
          <t>Medium</t>
        </is>
      </c>
      <c r="G844" s="12" t="inlineStr">
        <is>
          <t>Many groups and roles configured</t>
        </is>
      </c>
      <c r="H844" s="12" t="inlineStr">
        <is>
          <t>1. Page through the list endpoints</t>
        </is>
      </c>
      <c r="I844" s="12" t="inlineStr">
        <is>
          <t>The page envelope is returned as documented, and paging is stable with no duplicated or skipped records</t>
        </is>
      </c>
      <c r="J844" s="13" t="inlineStr">
        <is>
          <t>Not Tested</t>
        </is>
      </c>
      <c r="K844" s="13" t="inlineStr">
        <is>
          <t>Integration</t>
        </is>
      </c>
    </row>
    <row r="845" ht="36" customHeight="1">
      <c r="A845" s="12" t="inlineStr">
        <is>
          <t>EMI Task Coverage</t>
        </is>
      </c>
      <c r="B845" s="12" t="inlineStr">
        <is>
          <t>RBAC Roles &amp; Groups</t>
        </is>
      </c>
      <c r="C845" s="12" t="inlineStr">
        <is>
          <t>Backend</t>
        </is>
      </c>
      <c r="D845" s="13" t="inlineStr">
        <is>
          <t>TC-RBAC-05</t>
        </is>
      </c>
      <c r="E845" s="12" t="inlineStr">
        <is>
          <t>Privilege Assignment Is Enforced at the API, Not Only Hidden in the UI</t>
        </is>
      </c>
      <c r="F845" s="13" t="inlineStr">
        <is>
          <t>High</t>
        </is>
      </c>
      <c r="G845" s="12" t="inlineStr">
        <is>
          <t>A user lacking a given privilege</t>
        </is>
      </c>
      <c r="H845" s="12" t="inlineStr">
        <is>
          <t>1. Call the endpoint that privilege guards, directly</t>
        </is>
      </c>
      <c r="I845" s="12" t="inlineStr">
        <is>
          <t>Refused with 403; enforcement is server-side and hiding the control in the UI is not the control</t>
        </is>
      </c>
      <c r="J845" s="13" t="inlineStr">
        <is>
          <t>Not Tested</t>
        </is>
      </c>
      <c r="K845" s="13" t="inlineStr">
        <is>
          <t>Security</t>
        </is>
      </c>
    </row>
    <row r="846" ht="36" customHeight="1">
      <c r="A846" s="12" t="inlineStr">
        <is>
          <t>EMI Task Coverage</t>
        </is>
      </c>
      <c r="B846" s="12" t="inlineStr">
        <is>
          <t>RBAC Roles &amp; Groups</t>
        </is>
      </c>
      <c r="C846" s="12" t="inlineStr">
        <is>
          <t>Backend</t>
        </is>
      </c>
      <c r="D846" s="13" t="inlineStr">
        <is>
          <t>TC-RBAC-06</t>
        </is>
      </c>
      <c r="E846" s="12" t="inlineStr">
        <is>
          <t>Migration or Compatibility Path Is Documented and Honoured</t>
        </is>
      </c>
      <c r="F846" s="13" t="inlineStr">
        <is>
          <t>High</t>
        </is>
      </c>
      <c r="G846" s="12" t="inlineStr">
        <is>
          <t>Groups and roles created before the redesign</t>
        </is>
      </c>
      <c r="H846" s="12" t="inlineStr">
        <is>
          <t>1. Read the documented migration requirements
2. Exercise the pre-existing groups and roles after the change</t>
        </is>
      </c>
      <c r="I846" s="12" t="inlineStr">
        <is>
          <t>Existing assignments behave as the migration document states; no user silently gains or loses access</t>
        </is>
      </c>
      <c r="J846" s="13" t="inlineStr">
        <is>
          <t>Not Tested</t>
        </is>
      </c>
      <c r="K846" s="13" t="inlineStr">
        <is>
          <t>Contract / API</t>
        </is>
      </c>
    </row>
    <row r="847" ht="36" customHeight="1">
      <c r="A847" s="12" t="inlineStr">
        <is>
          <t>EMI Task Coverage</t>
        </is>
      </c>
      <c r="B847" s="12" t="inlineStr">
        <is>
          <t>RBAC Roles &amp; Groups</t>
        </is>
      </c>
      <c r="C847" s="12" t="inlineStr">
        <is>
          <t>Web Business</t>
        </is>
      </c>
      <c r="D847" s="13" t="inlineStr">
        <is>
          <t>TC-RBAC-07</t>
        </is>
      </c>
      <c r="E847" s="12" t="inlineStr">
        <is>
          <t>Business Web Group Management Against the New Endpoints</t>
        </is>
      </c>
      <c r="F847" s="13" t="inlineStr">
        <is>
          <t>High</t>
        </is>
      </c>
      <c r="G847" s="12" t="inlineStr">
        <is>
          <t>Business user on Web with group management privilege</t>
        </is>
      </c>
      <c r="H847" s="12" t="inlineStr">
        <is>
          <t>1. Create, edit, list and delete a custom group
2. Inspect the calls made</t>
        </is>
      </c>
      <c r="I847" s="12" t="inlineStr">
        <is>
          <t>All operations succeed against the business-scoped group endpoints and the UI reflects the results</t>
        </is>
      </c>
      <c r="J847" s="13" t="inlineStr">
        <is>
          <t>Not Tested</t>
        </is>
      </c>
      <c r="K847" s="13" t="inlineStr">
        <is>
          <t>Functional</t>
        </is>
      </c>
    </row>
    <row r="848" ht="36" customHeight="1">
      <c r="A848" s="12" t="inlineStr">
        <is>
          <t>EMI Task Coverage</t>
        </is>
      </c>
      <c r="B848" s="12" t="inlineStr">
        <is>
          <t>RBAC Roles &amp; Groups</t>
        </is>
      </c>
      <c r="C848" s="12" t="inlineStr">
        <is>
          <t>Web Business</t>
        </is>
      </c>
      <c r="D848" s="13" t="inlineStr">
        <is>
          <t>TC-RBAC-08</t>
        </is>
      </c>
      <c r="E848" s="12" t="inlineStr">
        <is>
          <t>Business Web Role and Privilege Management</t>
        </is>
      </c>
      <c r="F848" s="13" t="inlineStr">
        <is>
          <t>High</t>
        </is>
      </c>
      <c r="G848" s="12" t="inlineStr">
        <is>
          <t>Business user on Web with role management privilege</t>
        </is>
      </c>
      <c r="H848" s="12" t="inlineStr">
        <is>
          <t>1. Create a role, assign privileges to it, then assign the role to a group</t>
        </is>
      </c>
      <c r="I848" s="12" t="inlineStr">
        <is>
          <t>All operations succeed against the business-scoped role and privilege endpoints and take effect for the assigned users</t>
        </is>
      </c>
      <c r="J848" s="13" t="inlineStr">
        <is>
          <t>Not Tested</t>
        </is>
      </c>
      <c r="K848" s="13" t="inlineStr">
        <is>
          <t>Security</t>
        </is>
      </c>
    </row>
    <row r="849" ht="36" customHeight="1">
      <c r="A849" s="12" t="inlineStr">
        <is>
          <t>EMI Task Coverage</t>
        </is>
      </c>
      <c r="B849" s="12" t="inlineStr">
        <is>
          <t>RBAC Roles &amp; Groups</t>
        </is>
      </c>
      <c r="C849" s="12" t="inlineStr">
        <is>
          <t>Web Admin</t>
        </is>
      </c>
      <c r="D849" s="13" t="inlineStr">
        <is>
          <t>TC-RBAC-09</t>
        </is>
      </c>
      <c r="E849" s="12" t="inlineStr">
        <is>
          <t>Admin Web Manages Admin-Scoped Roles and Groups</t>
        </is>
      </c>
      <c r="F849" s="13" t="inlineStr">
        <is>
          <t>High</t>
        </is>
      </c>
      <c r="G849" s="12" t="inlineStr">
        <is>
          <t>Admin on Web</t>
        </is>
      </c>
      <c r="H849" s="12" t="inlineStr">
        <is>
          <t>1. Manage admin-scoped groups, roles and privileges</t>
        </is>
      </c>
      <c r="I849" s="12" t="inlineStr">
        <is>
          <t>Operations succeed against the admin-scoped endpoints and are kept separate from the business-scoped surface</t>
        </is>
      </c>
      <c r="J849" s="13" t="inlineStr">
        <is>
          <t>Not Tested</t>
        </is>
      </c>
      <c r="K849" s="13" t="inlineStr">
        <is>
          <t>Security</t>
        </is>
      </c>
    </row>
    <row r="850" ht="36" customHeight="1">
      <c r="A850" s="12" t="inlineStr">
        <is>
          <t>EMI Task Coverage</t>
        </is>
      </c>
      <c r="B850" s="12" t="inlineStr">
        <is>
          <t>RBAC Roles &amp; Groups</t>
        </is>
      </c>
      <c r="C850" s="12" t="inlineStr">
        <is>
          <t>Platform</t>
        </is>
      </c>
      <c r="D850" s="13" t="inlineStr">
        <is>
          <t>TC-RBAC-10</t>
        </is>
      </c>
      <c r="E850" s="12" t="inlineStr">
        <is>
          <t>Android Business RBAC Flows Adapted</t>
        </is>
      </c>
      <c r="F850" s="13" t="inlineStr">
        <is>
          <t>High</t>
        </is>
      </c>
      <c r="G850" s="12" t="inlineStr">
        <is>
          <t>Business user on Android</t>
        </is>
      </c>
      <c r="H850" s="12" t="inlineStr">
        <is>
          <t>1. Exercise group, role and privilege flows</t>
        </is>
      </c>
      <c r="I850" s="12" t="inlineStr">
        <is>
          <t>All work against the new business-scoped endpoints with the new request and response models</t>
        </is>
      </c>
      <c r="J850" s="13" t="inlineStr">
        <is>
          <t>Not Tested</t>
        </is>
      </c>
      <c r="K850" s="13" t="inlineStr">
        <is>
          <t>Security</t>
        </is>
      </c>
    </row>
    <row r="851" ht="36" customHeight="1">
      <c r="A851" s="12" t="inlineStr">
        <is>
          <t>EMI Task Coverage</t>
        </is>
      </c>
      <c r="B851" s="12" t="inlineStr">
        <is>
          <t>RBAC Roles &amp; Groups</t>
        </is>
      </c>
      <c r="C851" s="12" t="inlineStr">
        <is>
          <t>Platform</t>
        </is>
      </c>
      <c r="D851" s="13" t="inlineStr">
        <is>
          <t>TC-RBAC-11</t>
        </is>
      </c>
      <c r="E851" s="12" t="inlineStr">
        <is>
          <t>iOS Business RBAC Flows Adapted</t>
        </is>
      </c>
      <c r="F851" s="13" t="inlineStr">
        <is>
          <t>High</t>
        </is>
      </c>
      <c r="G851" s="12" t="inlineStr">
        <is>
          <t>Business user on iOS</t>
        </is>
      </c>
      <c r="H851" s="12" t="inlineStr">
        <is>
          <t>1. Exercise group, role and privilege flows</t>
        </is>
      </c>
      <c r="I851" s="12" t="inlineStr">
        <is>
          <t>All work against the new business-scoped endpoints with the new request and response models</t>
        </is>
      </c>
      <c r="J851" s="13" t="inlineStr">
        <is>
          <t>Not Tested</t>
        </is>
      </c>
      <c r="K851" s="13" t="inlineStr">
        <is>
          <t>Security</t>
        </is>
      </c>
    </row>
    <row r="852" ht="36" customHeight="1">
      <c r="A852" s="12" t="inlineStr">
        <is>
          <t>EMI Task Coverage</t>
        </is>
      </c>
      <c r="B852" s="12" t="inlineStr">
        <is>
          <t>RBAC Roles &amp; Groups</t>
        </is>
      </c>
      <c r="C852" s="12" t="inlineStr">
        <is>
          <t>Platform</t>
        </is>
      </c>
      <c r="D852" s="13" t="inlineStr">
        <is>
          <t>TC-RBAC-12</t>
        </is>
      </c>
      <c r="E852" s="12" t="inlineStr">
        <is>
          <t>No Client Still Calls a Retired Endpoint</t>
        </is>
      </c>
      <c r="F852" s="13" t="inlineStr">
        <is>
          <t>High</t>
        </is>
      </c>
      <c r="G852" s="12" t="inlineStr">
        <is>
          <t>Network capture available on all clients</t>
        </is>
      </c>
      <c r="H852" s="12" t="inlineStr">
        <is>
          <t>1. Exercise every RBAC flow on Web Business, Web Admin, Android and iOS
2. Inspect the endpoints called</t>
        </is>
      </c>
      <c r="I852" s="12" t="inlineStr">
        <is>
          <t>No client calls a pre-redesign RBAC endpoint anywhere in the flow</t>
        </is>
      </c>
      <c r="J852" s="13" t="inlineStr">
        <is>
          <t>Not Tested</t>
        </is>
      </c>
      <c r="K852" s="13" t="inlineStr">
        <is>
          <t>Cross-Platform</t>
        </is>
      </c>
    </row>
    <row r="853" ht="36" customHeight="1">
      <c r="A853" s="12" t="inlineStr">
        <is>
          <t>EMI Task Coverage</t>
        </is>
      </c>
      <c r="B853" s="12" t="inlineStr">
        <is>
          <t>RBAC Roles &amp; Groups</t>
        </is>
      </c>
      <c r="C853" s="12" t="inlineStr">
        <is>
          <t>Functional</t>
        </is>
      </c>
      <c r="D853" s="13" t="inlineStr">
        <is>
          <t>TC-RBAC-13</t>
        </is>
      </c>
      <c r="E853" s="12" t="inlineStr">
        <is>
          <t>Privilege Change Takes Effect for an Affected User</t>
        </is>
      </c>
      <c r="F853" s="13" t="inlineStr">
        <is>
          <t>High</t>
        </is>
      </c>
      <c r="G853" s="12" t="inlineStr">
        <is>
          <t>A user in a group whose privileges are changed</t>
        </is>
      </c>
      <c r="H853" s="12" t="inlineStr">
        <is>
          <t>1. Remove a privilege from the user's role
2. Have the user attempt the guarded action</t>
        </is>
      </c>
      <c r="I853" s="12" t="inlineStr">
        <is>
          <t>The action is refused after the change, on every client and at the API</t>
        </is>
      </c>
      <c r="J853" s="13" t="inlineStr">
        <is>
          <t>Not Tested</t>
        </is>
      </c>
      <c r="K853" s="13" t="inlineStr">
        <is>
          <t>Security</t>
        </is>
      </c>
    </row>
    <row r="854" ht="36" customHeight="1">
      <c r="A854" s="12" t="inlineStr">
        <is>
          <t>EMI Task Coverage</t>
        </is>
      </c>
      <c r="B854" s="12" t="inlineStr">
        <is>
          <t>RBAC Roles &amp; Groups</t>
        </is>
      </c>
      <c r="C854" s="12" t="inlineStr">
        <is>
          <t>Functional</t>
        </is>
      </c>
      <c r="D854" s="13" t="inlineStr">
        <is>
          <t>TC-RBAC-14</t>
        </is>
      </c>
      <c r="E854" s="12" t="inlineStr">
        <is>
          <t>A User in Multiple Groups Gets the Correct Effective Privileges</t>
        </is>
      </c>
      <c r="F854" s="13" t="inlineStr">
        <is>
          <t>High</t>
        </is>
      </c>
      <c r="G854" s="12" t="inlineStr">
        <is>
          <t>A user belonging to two groups with different roles</t>
        </is>
      </c>
      <c r="H854" s="12" t="inlineStr">
        <is>
          <t>1. Determine the expected effective privilege set
2. Exercise guarded actions across both</t>
        </is>
      </c>
      <c r="I854" s="12" t="inlineStr">
        <is>
          <t>Effective privileges resolve as documented, with no privilege silently gained from group overlap</t>
        </is>
      </c>
      <c r="J854" s="13" t="inlineStr">
        <is>
          <t>Not Tested</t>
        </is>
      </c>
      <c r="K854" s="13" t="inlineStr">
        <is>
          <t>Security</t>
        </is>
      </c>
    </row>
    <row r="855" ht="36" customHeight="1">
      <c r="A855" s="12" t="inlineStr">
        <is>
          <t>EMI Task Coverage</t>
        </is>
      </c>
      <c r="B855" s="12" t="inlineStr">
        <is>
          <t>RBAC Roles &amp; Groups</t>
        </is>
      </c>
      <c r="C855" s="12" t="inlineStr">
        <is>
          <t>Negative</t>
        </is>
      </c>
      <c r="D855" s="13" t="inlineStr">
        <is>
          <t>TC-RBAC-15</t>
        </is>
      </c>
      <c r="E855" s="12" t="inlineStr">
        <is>
          <t>Group Cannot Be Deleted While in Use, or Deletion Is Handled Explicitly</t>
        </is>
      </c>
      <c r="F855" s="13" t="inlineStr">
        <is>
          <t>Medium</t>
        </is>
      </c>
      <c r="G855" s="12" t="inlineStr">
        <is>
          <t>A group with users assigned</t>
        </is>
      </c>
      <c r="H855" s="12" t="inlineStr">
        <is>
          <t>1. Attempt to delete it</t>
        </is>
      </c>
      <c r="I855" s="12" t="inlineStr">
        <is>
          <t>Either the deletion is refused with a clear reason, or the documented reassignment behaviour is applied; users are never left with undefined privileges</t>
        </is>
      </c>
      <c r="J855" s="13" t="inlineStr">
        <is>
          <t>Not Tested</t>
        </is>
      </c>
      <c r="K855" s="13" t="inlineStr">
        <is>
          <t>Security</t>
        </is>
      </c>
    </row>
    <row r="856" ht="36" customHeight="1">
      <c r="A856" s="12" t="inlineStr">
        <is>
          <t>EMI Task Coverage</t>
        </is>
      </c>
      <c r="B856" s="12" t="inlineStr">
        <is>
          <t>RBAC Roles &amp; Groups</t>
        </is>
      </c>
      <c r="C856" s="12" t="inlineStr">
        <is>
          <t>Negative</t>
        </is>
      </c>
      <c r="D856" s="13" t="inlineStr">
        <is>
          <t>TC-RBAC-16</t>
        </is>
      </c>
      <c r="E856" s="12" t="inlineStr">
        <is>
          <t>Duplicate Group or Role Name Is Rejected</t>
        </is>
      </c>
      <c r="F856" s="13" t="inlineStr">
        <is>
          <t>Medium</t>
        </is>
      </c>
      <c r="G856" s="12" t="inlineStr">
        <is>
          <t>An existing custom group and role</t>
        </is>
      </c>
      <c r="H856" s="12" t="inlineStr">
        <is>
          <t>1. Create another with the same name in the same scope</t>
        </is>
      </c>
      <c r="I856" s="12" t="inlineStr">
        <is>
          <t>Rejected with a clear message</t>
        </is>
      </c>
      <c r="J856" s="13" t="inlineStr">
        <is>
          <t>Not Tested</t>
        </is>
      </c>
      <c r="K856" s="13" t="inlineStr">
        <is>
          <t>Integration</t>
        </is>
      </c>
    </row>
    <row r="857" ht="36" customHeight="1">
      <c r="A857" s="12" t="inlineStr">
        <is>
          <t>EMI Task Coverage</t>
        </is>
      </c>
      <c r="B857" s="12" t="inlineStr">
        <is>
          <t>RBAC Roles &amp; Groups</t>
        </is>
      </c>
      <c r="C857" s="12" t="inlineStr">
        <is>
          <t>Negative</t>
        </is>
      </c>
      <c r="D857" s="13" t="inlineStr">
        <is>
          <t>TC-RBAC-17</t>
        </is>
      </c>
      <c r="E857" s="12" t="inlineStr">
        <is>
          <t>Business Cannot Create or Read an Admin-Scoped Role</t>
        </is>
      </c>
      <c r="F857" s="13" t="inlineStr">
        <is>
          <t>High</t>
        </is>
      </c>
      <c r="G857" s="12" t="inlineStr">
        <is>
          <t>Business credentials</t>
        </is>
      </c>
      <c r="H857" s="12" t="inlineStr">
        <is>
          <t>1. Attempt to call the admin-scoped RBAC endpoints</t>
        </is>
      </c>
      <c r="I857" s="12" t="inlineStr">
        <is>
          <t>Refused; the two scopes are isolated and a business user cannot reach the admin surface</t>
        </is>
      </c>
      <c r="J857" s="13" t="inlineStr">
        <is>
          <t>Not Tested</t>
        </is>
      </c>
      <c r="K857" s="13" t="inlineStr">
        <is>
          <t>Negative</t>
        </is>
      </c>
    </row>
    <row r="858" ht="36" customHeight="1">
      <c r="A858" s="12" t="inlineStr">
        <is>
          <t>EMI Task Coverage</t>
        </is>
      </c>
      <c r="B858" s="12" t="inlineStr">
        <is>
          <t>RBAC Roles &amp; Groups</t>
        </is>
      </c>
      <c r="C858" s="12" t="inlineStr">
        <is>
          <t>Negative</t>
        </is>
      </c>
      <c r="D858" s="13" t="inlineStr">
        <is>
          <t>TC-RBAC-18</t>
        </is>
      </c>
      <c r="E858" s="12" t="inlineStr">
        <is>
          <t>Unknown Privilege Key Is Rejected</t>
        </is>
      </c>
      <c r="F858" s="13" t="inlineStr">
        <is>
          <t>Medium</t>
        </is>
      </c>
      <c r="G858" s="12" t="inlineStr">
        <is>
          <t>Role editing available</t>
        </is>
      </c>
      <c r="H858" s="12" t="inlineStr">
        <is>
          <t>1. Assign a privilege key that does not exist</t>
        </is>
      </c>
      <c r="I858" s="12" t="inlineStr">
        <is>
          <t>Rejected at the API with a clear error rather than stored and silently ignored</t>
        </is>
      </c>
      <c r="J858" s="13" t="inlineStr">
        <is>
          <t>Not Tested</t>
        </is>
      </c>
      <c r="K858" s="13" t="inlineStr">
        <is>
          <t>Security</t>
        </is>
      </c>
    </row>
    <row r="859" ht="36" customHeight="1">
      <c r="A859" s="12" t="inlineStr">
        <is>
          <t>EMI Task Coverage</t>
        </is>
      </c>
      <c r="B859" s="12" t="inlineStr">
        <is>
          <t>RBAC Roles &amp; Groups</t>
        </is>
      </c>
      <c r="C859" s="12" t="inlineStr">
        <is>
          <t>Regression</t>
        </is>
      </c>
      <c r="D859" s="13" t="inlineStr">
        <is>
          <t>TC-RBAC-19</t>
        </is>
      </c>
      <c r="E859" s="12" t="inlineStr">
        <is>
          <t>Existing Users Retain Their Access After the Adaptation</t>
        </is>
      </c>
      <c r="F859" s="13" t="inlineStr">
        <is>
          <t>High</t>
        </is>
      </c>
      <c r="G859" s="12" t="inlineStr">
        <is>
          <t>Users with established access before the change</t>
        </is>
      </c>
      <c r="H859" s="12" t="inlineStr">
        <is>
          <t>1. Sign in as several existing users across clients
2. Exercise their usual actions</t>
        </is>
      </c>
      <c r="I859" s="12" t="inlineStr">
        <is>
          <t>Each retains exactly the access they had; no user is locked out and none gains new access</t>
        </is>
      </c>
      <c r="J859" s="13" t="inlineStr">
        <is>
          <t>Not Tested</t>
        </is>
      </c>
      <c r="K859" s="13" t="inlineStr">
        <is>
          <t>Edge / Boundary</t>
        </is>
      </c>
    </row>
    <row r="860" ht="36" customHeight="1">
      <c r="A860" s="12" t="inlineStr">
        <is>
          <t>EMI Task Coverage</t>
        </is>
      </c>
      <c r="B860" s="12" t="inlineStr">
        <is>
          <t>RBAC Roles &amp; Groups</t>
        </is>
      </c>
      <c r="C860" s="12" t="inlineStr">
        <is>
          <t>Non-Functional</t>
        </is>
      </c>
      <c r="D860" s="13" t="inlineStr">
        <is>
          <t>TC-RBAC-20</t>
        </is>
      </c>
      <c r="E860" s="12" t="inlineStr">
        <is>
          <t>Privilege Resolution Does Not Degrade Sign-In Latency</t>
        </is>
      </c>
      <c r="F860" s="13" t="inlineStr">
        <is>
          <t>Medium</t>
        </is>
      </c>
      <c r="G860" s="12" t="inlineStr">
        <is>
          <t>A user in many groups with many privileges</t>
        </is>
      </c>
      <c r="H860" s="12" t="inlineStr">
        <is>
          <t>1. Measure sign-in and first-screen latency</t>
        </is>
      </c>
      <c r="I860" s="12" t="inlineStr">
        <is>
          <t>Latency stays within the normal budget as group and privilege counts grow</t>
        </is>
      </c>
      <c r="J860" s="13" t="inlineStr">
        <is>
          <t>Not Tested</t>
        </is>
      </c>
      <c r="K860" s="13" t="inlineStr">
        <is>
          <t>Performance / NFR</t>
        </is>
      </c>
    </row>
    <row r="861" ht="36" customHeight="1">
      <c r="A861" s="12" t="inlineStr">
        <is>
          <t>EMI Task Coverage</t>
        </is>
      </c>
      <c r="B861" s="12" t="inlineStr">
        <is>
          <t>Registration Refresh Token</t>
        </is>
      </c>
      <c r="C861" s="12" t="inlineStr">
        <is>
          <t>Contract</t>
        </is>
      </c>
      <c r="D861" s="13" t="inlineStr">
        <is>
          <t>TC-RegRef-01</t>
        </is>
      </c>
      <c r="E861" s="12" t="inlineStr">
        <is>
          <t>Verify OTP Response Parsed With the New Shape</t>
        </is>
      </c>
      <c r="F861" s="13" t="inlineStr">
        <is>
          <t>High</t>
        </is>
      </c>
      <c r="G861" s="12" t="inlineStr">
        <is>
          <t>Registration in progress at the OTP verification step</t>
        </is>
      </c>
      <c r="H861" s="12" t="inlineStr">
        <is>
          <t>1. Complete OTP verification
2. Inspect how the response is parsed</t>
        </is>
      </c>
      <c r="I861" s="12" t="inlineStr">
        <is>
          <t>sessionToken and refreshToken are parsed as objects carrying token and expirationDuration; the client does not expect the old flat shape</t>
        </is>
      </c>
      <c r="J861" s="13" t="inlineStr">
        <is>
          <t>Not Tested</t>
        </is>
      </c>
      <c r="K861" s="13" t="inlineStr">
        <is>
          <t>Contract / API</t>
        </is>
      </c>
    </row>
    <row r="862" ht="36" customHeight="1">
      <c r="A862" s="12" t="inlineStr">
        <is>
          <t>EMI Task Coverage</t>
        </is>
      </c>
      <c r="B862" s="12" t="inlineStr">
        <is>
          <t>Registration Refresh Token</t>
        </is>
      </c>
      <c r="C862" s="12" t="inlineStr">
        <is>
          <t>Contract</t>
        </is>
      </c>
      <c r="D862" s="13" t="inlineStr">
        <is>
          <t>TC-RegRef-02</t>
        </is>
      </c>
      <c r="E862" s="12" t="inlineStr">
        <is>
          <t>Mobile OTP Response Handles Nullable Token Objects</t>
        </is>
      </c>
      <c r="F862" s="13" t="inlineStr">
        <is>
          <t>High</t>
        </is>
      </c>
      <c r="G862" s="12" t="inlineStr">
        <is>
          <t>A registration where otpRequired is returned false</t>
        </is>
      </c>
      <c r="H862" s="12" t="inlineStr">
        <is>
          <t>1. Call the mobile OTP step
2. Inspect the parsed response</t>
        </is>
      </c>
      <c r="I862" s="12" t="inlineStr">
        <is>
          <t>sessionToken and refreshToken are present and parsed when otpRequired is false, and their absence is handled without error when it is true</t>
        </is>
      </c>
      <c r="J862" s="13" t="inlineStr">
        <is>
          <t>Not Tested</t>
        </is>
      </c>
      <c r="K862" s="13" t="inlineStr">
        <is>
          <t>Contract / API</t>
        </is>
      </c>
    </row>
    <row r="863" ht="36" customHeight="1">
      <c r="A863" s="12" t="inlineStr">
        <is>
          <t>EMI Task Coverage</t>
        </is>
      </c>
      <c r="B863" s="12" t="inlineStr">
        <is>
          <t>Registration Refresh Token</t>
        </is>
      </c>
      <c r="C863" s="12" t="inlineStr">
        <is>
          <t>Contract</t>
        </is>
      </c>
      <c r="D863" s="13" t="inlineStr">
        <is>
          <t>TC-RegRef-03</t>
        </is>
      </c>
      <c r="E863" s="12" t="inlineStr">
        <is>
          <t>expirationDuration Is Treated as Milliseconds</t>
        </is>
      </c>
      <c r="F863" s="13" t="inlineStr">
        <is>
          <t>High</t>
        </is>
      </c>
      <c r="G863" s="12" t="inlineStr">
        <is>
          <t>A registration session with a known expiry</t>
        </is>
      </c>
      <c r="H863" s="12" t="inlineStr">
        <is>
          <t>1. Read expirationDuration and compute the refresh moment
2. Observe when the client refreshes</t>
        </is>
      </c>
      <c r="I863" s="12" t="inlineStr">
        <is>
          <t>The value is interpreted in milliseconds; the refresh fires before expiry rather than far too early or too late</t>
        </is>
      </c>
      <c r="J863" s="13" t="inlineStr">
        <is>
          <t>Not Tested</t>
        </is>
      </c>
      <c r="K863" s="13" t="inlineStr">
        <is>
          <t>Contract / API</t>
        </is>
      </c>
    </row>
    <row r="864" ht="36" customHeight="1">
      <c r="A864" s="12" t="inlineStr">
        <is>
          <t>EMI Task Coverage</t>
        </is>
      </c>
      <c r="B864" s="12" t="inlineStr">
        <is>
          <t>Registration Refresh Token</t>
        </is>
      </c>
      <c r="C864" s="12" t="inlineStr">
        <is>
          <t>Functional</t>
        </is>
      </c>
      <c r="D864" s="13" t="inlineStr">
        <is>
          <t>TC-RegRef-04</t>
        </is>
      </c>
      <c r="E864" s="12" t="inlineStr">
        <is>
          <t>Session Is Refreshed Before It Expires</t>
        </is>
      </c>
      <c r="F864" s="13" t="inlineStr">
        <is>
          <t>High</t>
        </is>
      </c>
      <c r="G864" s="12" t="inlineStr">
        <is>
          <t>An in-progress registration approaching session expiry</t>
        </is>
      </c>
      <c r="H864" s="12" t="inlineStr">
        <is>
          <t>1. Hold the registration open past the original session lifetime
2. Observe the refresh call and continue the flow</t>
        </is>
      </c>
      <c r="I864" s="12" t="inlineStr">
        <is>
          <t>The refresh endpoint is called before expiry and the registration continues without restarting</t>
        </is>
      </c>
      <c r="J864" s="13" t="inlineStr">
        <is>
          <t>Not Tested</t>
        </is>
      </c>
      <c r="K864" s="13" t="inlineStr">
        <is>
          <t>Integration</t>
        </is>
      </c>
    </row>
    <row r="865" ht="36" customHeight="1">
      <c r="A865" s="12" t="inlineStr">
        <is>
          <t>EMI Task Coverage</t>
        </is>
      </c>
      <c r="B865" s="12" t="inlineStr">
        <is>
          <t>Registration Refresh Token</t>
        </is>
      </c>
      <c r="C865" s="12" t="inlineStr">
        <is>
          <t>Functional</t>
        </is>
      </c>
      <c r="D865" s="13" t="inlineStr">
        <is>
          <t>TC-RegRef-05</t>
        </is>
      </c>
      <c r="E865" s="12" t="inlineStr">
        <is>
          <t>Refresh Request Carries Both Credentials Correctly</t>
        </is>
      </c>
      <c r="F865" s="13" t="inlineStr">
        <is>
          <t>High</t>
        </is>
      </c>
      <c r="G865" s="12" t="inlineStr">
        <is>
          <t>An active registration session</t>
        </is>
      </c>
      <c r="H865" s="12" t="inlineStr">
        <is>
          <t>1. Capture the refresh request</t>
        </is>
      </c>
      <c r="I865" s="12" t="inlineStr">
        <is>
          <t>The current session token is sent as Authorization Bearer and the refresh token in the refreshToken header</t>
        </is>
      </c>
      <c r="J865" s="13" t="inlineStr">
        <is>
          <t>Not Tested</t>
        </is>
      </c>
      <c r="K865" s="13" t="inlineStr">
        <is>
          <t>Functional</t>
        </is>
      </c>
    </row>
    <row r="866" ht="36" customHeight="1">
      <c r="A866" s="12" t="inlineStr">
        <is>
          <t>EMI Task Coverage</t>
        </is>
      </c>
      <c r="B866" s="12" t="inlineStr">
        <is>
          <t>Registration Refresh Token</t>
        </is>
      </c>
      <c r="C866" s="12" t="inlineStr">
        <is>
          <t>Functional</t>
        </is>
      </c>
      <c r="D866" s="13" t="inlineStr">
        <is>
          <t>TC-RegRef-06</t>
        </is>
      </c>
      <c r="E866" s="12" t="inlineStr">
        <is>
          <t>Refreshed Session Continues the Same Registration</t>
        </is>
      </c>
      <c r="F866" s="13" t="inlineStr">
        <is>
          <t>High</t>
        </is>
      </c>
      <c r="G866" s="12" t="inlineStr">
        <is>
          <t>A registration mid-flow with entered data</t>
        </is>
      </c>
      <c r="H866" s="12" t="inlineStr">
        <is>
          <t>1. Let the session refresh
2. Continue to the next step</t>
        </is>
      </c>
      <c r="I866" s="12" t="inlineStr">
        <is>
          <t>The same registration continues with its data intact; the user is not returned to the start</t>
        </is>
      </c>
      <c r="J866" s="13" t="inlineStr">
        <is>
          <t>Not Tested</t>
        </is>
      </c>
      <c r="K866" s="13" t="inlineStr">
        <is>
          <t>Functional</t>
        </is>
      </c>
    </row>
    <row r="867" ht="36" customHeight="1">
      <c r="A867" s="12" t="inlineStr">
        <is>
          <t>EMI Task Coverage</t>
        </is>
      </c>
      <c r="B867" s="12" t="inlineStr">
        <is>
          <t>Registration Refresh Token</t>
        </is>
      </c>
      <c r="C867" s="12" t="inlineStr">
        <is>
          <t>Isolation</t>
        </is>
      </c>
      <c r="D867" s="13" t="inlineStr">
        <is>
          <t>TC-RegRef-07</t>
        </is>
      </c>
      <c r="E867" s="12" t="inlineStr">
        <is>
          <t>Registration Refresh Runs in Isolation From Login Refresh</t>
        </is>
      </c>
      <c r="F867" s="13" t="inlineStr">
        <is>
          <t>High</t>
        </is>
      </c>
      <c r="G867" s="12" t="inlineStr">
        <is>
          <t>A device with both an active login session and an in-progress registration</t>
        </is>
      </c>
      <c r="H867" s="12" t="inlineStr">
        <is>
          <t>1. Let the registration session refresh
2. Inspect the login session and its token store</t>
        </is>
      </c>
      <c r="I867" s="12" t="inlineStr">
        <is>
          <t>The two mechanisms are isolated; neither refresh disturbs the other's tokens or triggers the other's flow</t>
        </is>
      </c>
      <c r="J867" s="13" t="inlineStr">
        <is>
          <t>Not Tested</t>
        </is>
      </c>
      <c r="K867" s="13" t="inlineStr">
        <is>
          <t>Integration</t>
        </is>
      </c>
    </row>
    <row r="868" ht="36" customHeight="1">
      <c r="A868" s="12" t="inlineStr">
        <is>
          <t>EMI Task Coverage</t>
        </is>
      </c>
      <c r="B868" s="12" t="inlineStr">
        <is>
          <t>Registration Refresh Token</t>
        </is>
      </c>
      <c r="C868" s="12" t="inlineStr">
        <is>
          <t>Negative</t>
        </is>
      </c>
      <c r="D868" s="13" t="inlineStr">
        <is>
          <t>TC-RegRef-08</t>
        </is>
      </c>
      <c r="E868" s="12" t="inlineStr">
        <is>
          <t>Invalid Refresh Token Is Rejected and Registration Can Restart</t>
        </is>
      </c>
      <c r="F868" s="13" t="inlineStr">
        <is>
          <t>High</t>
        </is>
      </c>
      <c r="G868" s="12" t="inlineStr">
        <is>
          <t>An in-progress registration</t>
        </is>
      </c>
      <c r="H868" s="12" t="inlineStr">
        <is>
          <t>1. Corrupt the refresh token and let the refresh fire
2. Observe the client</t>
        </is>
      </c>
      <c r="I868" s="12" t="inlineStr">
        <is>
          <t>The refresh is rejected, the user is told clearly, and restarting registration works</t>
        </is>
      </c>
      <c r="J868" s="13" t="inlineStr">
        <is>
          <t>Not Tested</t>
        </is>
      </c>
      <c r="K868" s="13" t="inlineStr">
        <is>
          <t>Integration</t>
        </is>
      </c>
    </row>
    <row r="869" ht="36" customHeight="1">
      <c r="A869" s="12" t="inlineStr">
        <is>
          <t>EMI Task Coverage</t>
        </is>
      </c>
      <c r="B869" s="12" t="inlineStr">
        <is>
          <t>Registration Refresh Token</t>
        </is>
      </c>
      <c r="C869" s="12" t="inlineStr">
        <is>
          <t>Negative</t>
        </is>
      </c>
      <c r="D869" s="13" t="inlineStr">
        <is>
          <t>TC-RegRef-09</t>
        </is>
      </c>
      <c r="E869" s="12" t="inlineStr">
        <is>
          <t>Expired Refresh Token Is Rejected</t>
        </is>
      </c>
      <c r="F869" s="13" t="inlineStr">
        <is>
          <t>High</t>
        </is>
      </c>
      <c r="G869" s="12" t="inlineStr">
        <is>
          <t>A registration whose refresh token has expired</t>
        </is>
      </c>
      <c r="H869" s="12" t="inlineStr">
        <is>
          <t>1. Let the refresh fire</t>
        </is>
      </c>
      <c r="I869" s="12" t="inlineStr">
        <is>
          <t>Rejected; the client does not loop retrying and the user can restart</t>
        </is>
      </c>
      <c r="J869" s="13" t="inlineStr">
        <is>
          <t>Not Tested</t>
        </is>
      </c>
      <c r="K869" s="13" t="inlineStr">
        <is>
          <t>Integration</t>
        </is>
      </c>
    </row>
    <row r="870" ht="36" customHeight="1">
      <c r="A870" s="12" t="inlineStr">
        <is>
          <t>EMI Task Coverage</t>
        </is>
      </c>
      <c r="B870" s="12" t="inlineStr">
        <is>
          <t>Registration Refresh Token</t>
        </is>
      </c>
      <c r="C870" s="12" t="inlineStr">
        <is>
          <t>Negative</t>
        </is>
      </c>
      <c r="D870" s="13" t="inlineStr">
        <is>
          <t>TC-RegRef-10</t>
        </is>
      </c>
      <c r="E870" s="12" t="inlineStr">
        <is>
          <t>Refresh Without an Active Registration Session Is Refused</t>
        </is>
      </c>
      <c r="F870" s="13" t="inlineStr">
        <is>
          <t>High</t>
        </is>
      </c>
      <c r="G870" s="12" t="inlineStr">
        <is>
          <t>A valid refresh token with no active session</t>
        </is>
      </c>
      <c r="H870" s="12" t="inlineStr">
        <is>
          <t>1. Call the refresh endpoint</t>
        </is>
      </c>
      <c r="I870" s="12" t="inlineStr">
        <is>
          <t>Refused; the endpoint requires an active registration session</t>
        </is>
      </c>
      <c r="J870" s="13" t="inlineStr">
        <is>
          <t>Not Tested</t>
        </is>
      </c>
      <c r="K870" s="13" t="inlineStr">
        <is>
          <t>Negative</t>
        </is>
      </c>
    </row>
    <row r="871" ht="36" customHeight="1">
      <c r="A871" s="12" t="inlineStr">
        <is>
          <t>EMI Task Coverage</t>
        </is>
      </c>
      <c r="B871" s="12" t="inlineStr">
        <is>
          <t>Registration Refresh Token</t>
        </is>
      </c>
      <c r="C871" s="12" t="inlineStr">
        <is>
          <t>Negative</t>
        </is>
      </c>
      <c r="D871" s="13" t="inlineStr">
        <is>
          <t>TC-RegRef-11</t>
        </is>
      </c>
      <c r="E871" s="12" t="inlineStr">
        <is>
          <t>Refresh Failure Mid-Step Does Not Lose Entered Data Silently</t>
        </is>
      </c>
      <c r="F871" s="13" t="inlineStr">
        <is>
          <t>Medium</t>
        </is>
      </c>
      <c r="G871" s="12" t="inlineStr">
        <is>
          <t>A registration with data entered on the current step</t>
        </is>
      </c>
      <c r="H871" s="12" t="inlineStr">
        <is>
          <t>1. Force the refresh to fail
2. Observe the client</t>
        </is>
      </c>
      <c r="I871" s="12" t="inlineStr">
        <is>
          <t>The user is told what happened rather than the screen resetting or hanging with no explanation</t>
        </is>
      </c>
      <c r="J871" s="13" t="inlineStr">
        <is>
          <t>Not Tested</t>
        </is>
      </c>
      <c r="K871" s="13" t="inlineStr">
        <is>
          <t>Negative</t>
        </is>
      </c>
    </row>
    <row r="872" ht="36" customHeight="1">
      <c r="A872" s="12" t="inlineStr">
        <is>
          <t>EMI Task Coverage</t>
        </is>
      </c>
      <c r="B872" s="12" t="inlineStr">
        <is>
          <t>Registration Refresh Token</t>
        </is>
      </c>
      <c r="C872" s="12" t="inlineStr">
        <is>
          <t>Security</t>
        </is>
      </c>
      <c r="D872" s="13" t="inlineStr">
        <is>
          <t>TC-RegRef-12</t>
        </is>
      </c>
      <c r="E872" s="12" t="inlineStr">
        <is>
          <t>Refresh Token Is Not Logged or Exposed</t>
        </is>
      </c>
      <c r="F872" s="13" t="inlineStr">
        <is>
          <t>High</t>
        </is>
      </c>
      <c r="G872" s="12" t="inlineStr">
        <is>
          <t>Client logs and network capture available</t>
        </is>
      </c>
      <c r="H872" s="12" t="inlineStr">
        <is>
          <t>1. Complete a refresh cycle
2. Inspect logs and any diagnostic output</t>
        </is>
      </c>
      <c r="I872" s="12" t="inlineStr">
        <is>
          <t>Neither the session token nor the refresh token appears in client logs or diagnostics</t>
        </is>
      </c>
      <c r="J872" s="13" t="inlineStr">
        <is>
          <t>Not Tested</t>
        </is>
      </c>
      <c r="K872" s="13" t="inlineStr">
        <is>
          <t>Security</t>
        </is>
      </c>
    </row>
    <row r="873" ht="36" customHeight="1">
      <c r="A873" s="12" t="inlineStr">
        <is>
          <t>EMI Task Coverage</t>
        </is>
      </c>
      <c r="B873" s="12" t="inlineStr">
        <is>
          <t>Registration Refresh Token</t>
        </is>
      </c>
      <c r="C873" s="12" t="inlineStr">
        <is>
          <t>Security</t>
        </is>
      </c>
      <c r="D873" s="13" t="inlineStr">
        <is>
          <t>TC-RegRef-13</t>
        </is>
      </c>
      <c r="E873" s="12" t="inlineStr">
        <is>
          <t>A Refresh Token Cannot Be Reused After Rotation</t>
        </is>
      </c>
      <c r="F873" s="13" t="inlineStr">
        <is>
          <t>High</t>
        </is>
      </c>
      <c r="G873" s="12" t="inlineStr">
        <is>
          <t>A completed refresh cycle</t>
        </is>
      </c>
      <c r="H873" s="12" t="inlineStr">
        <is>
          <t>1. Replay the previous refresh token</t>
        </is>
      </c>
      <c r="I873" s="12" t="inlineStr">
        <is>
          <t>Rejected; a consumed refresh token cannot be reused</t>
        </is>
      </c>
      <c r="J873" s="13" t="inlineStr">
        <is>
          <t>Not Tested</t>
        </is>
      </c>
      <c r="K873" s="13" t="inlineStr">
        <is>
          <t>Integration</t>
        </is>
      </c>
    </row>
    <row r="874" ht="36" customHeight="1">
      <c r="A874" s="12" t="inlineStr">
        <is>
          <t>EMI Task Coverage</t>
        </is>
      </c>
      <c r="B874" s="12" t="inlineStr">
        <is>
          <t>Registration Refresh Token</t>
        </is>
      </c>
      <c r="C874" s="12" t="inlineStr">
        <is>
          <t>Platform</t>
        </is>
      </c>
      <c r="D874" s="13" t="inlineStr">
        <is>
          <t>TC-RegRef-14</t>
        </is>
      </c>
      <c r="E874" s="12" t="inlineStr">
        <is>
          <t>Android Business Registration Refresh</t>
        </is>
      </c>
      <c r="F874" s="13" t="inlineStr">
        <is>
          <t>High</t>
        </is>
      </c>
      <c r="G874" s="12" t="inlineStr">
        <is>
          <t>Business registration on Android</t>
        </is>
      </c>
      <c r="H874" s="12" t="inlineStr">
        <is>
          <t>1. Run the full refresh flow on Android</t>
        </is>
      </c>
      <c r="I874" s="12" t="inlineStr">
        <is>
          <t>Behaviour matches Web across parsing, refresh timing, isolation and error handling</t>
        </is>
      </c>
      <c r="J874" s="13" t="inlineStr">
        <is>
          <t>Not Tested</t>
        </is>
      </c>
      <c r="K874" s="13" t="inlineStr">
        <is>
          <t>Cross-Platform</t>
        </is>
      </c>
    </row>
    <row r="875" ht="36" customHeight="1">
      <c r="A875" s="12" t="inlineStr">
        <is>
          <t>EMI Task Coverage</t>
        </is>
      </c>
      <c r="B875" s="12" t="inlineStr">
        <is>
          <t>Registration Refresh Token</t>
        </is>
      </c>
      <c r="C875" s="12" t="inlineStr">
        <is>
          <t>Platform</t>
        </is>
      </c>
      <c r="D875" s="13" t="inlineStr">
        <is>
          <t>TC-RegRef-15</t>
        </is>
      </c>
      <c r="E875" s="12" t="inlineStr">
        <is>
          <t>iOS Business Registration Refresh</t>
        </is>
      </c>
      <c r="F875" s="13" t="inlineStr">
        <is>
          <t>High</t>
        </is>
      </c>
      <c r="G875" s="12" t="inlineStr">
        <is>
          <t>Business registration on iOS</t>
        </is>
      </c>
      <c r="H875" s="12" t="inlineStr">
        <is>
          <t>1. Run the full refresh flow on iOS</t>
        </is>
      </c>
      <c r="I875" s="12" t="inlineStr">
        <is>
          <t>Behaviour matches Web across parsing, refresh timing, isolation and error handling</t>
        </is>
      </c>
      <c r="J875" s="13" t="inlineStr">
        <is>
          <t>Not Tested</t>
        </is>
      </c>
      <c r="K875" s="13" t="inlineStr">
        <is>
          <t>Cross-Platform</t>
        </is>
      </c>
    </row>
    <row r="876" ht="36" customHeight="1">
      <c r="A876" s="12" t="inlineStr">
        <is>
          <t>EMI Task Coverage</t>
        </is>
      </c>
      <c r="B876" s="12" t="inlineStr">
        <is>
          <t>Registration Refresh Token</t>
        </is>
      </c>
      <c r="C876" s="12" t="inlineStr">
        <is>
          <t>Platform</t>
        </is>
      </c>
      <c r="D876" s="13" t="inlineStr">
        <is>
          <t>TC-RegRef-16</t>
        </is>
      </c>
      <c r="E876" s="12" t="inlineStr">
        <is>
          <t>Backgrounding the App Across the Refresh Window</t>
        </is>
      </c>
      <c r="F876" s="13" t="inlineStr">
        <is>
          <t>High</t>
        </is>
      </c>
      <c r="G876" s="12" t="inlineStr">
        <is>
          <t>An in-progress registration on Android and on iOS</t>
        </is>
      </c>
      <c r="H876" s="12" t="inlineStr">
        <is>
          <t>1. Background the app across the refresh moment
2. Return to the app and continue</t>
        </is>
      </c>
      <c r="I876" s="12" t="inlineStr">
        <is>
          <t>The session is refreshed or refreshes on resume; the registration continues without restart on both platforms</t>
        </is>
      </c>
      <c r="J876" s="13" t="inlineStr">
        <is>
          <t>Not Tested</t>
        </is>
      </c>
      <c r="K876" s="13" t="inlineStr">
        <is>
          <t>Integration</t>
        </is>
      </c>
    </row>
    <row r="877" ht="36" customHeight="1">
      <c r="A877" s="12" t="inlineStr">
        <is>
          <t>EMI Task Coverage</t>
        </is>
      </c>
      <c r="B877" s="12" t="inlineStr">
        <is>
          <t>ANB Settlement Files</t>
        </is>
      </c>
      <c r="C877" s="12" t="inlineStr">
        <is>
          <t>PTS Fetch</t>
        </is>
      </c>
      <c r="D877" s="13" t="inlineStr">
        <is>
          <t>TC-ANB-01</t>
        </is>
      </c>
      <c r="E877" s="12" t="inlineStr">
        <is>
          <t>Job Runs on the Configured Schedule</t>
        </is>
      </c>
      <c r="F877" s="13" t="inlineStr">
        <is>
          <t>High</t>
        </is>
      </c>
      <c r="G877" s="12" t="inlineStr">
        <is>
          <t>PTS fetch job configured with a schedule</t>
        </is>
      </c>
      <c r="H877" s="12" t="inlineStr">
        <is>
          <t>1. Let the schedule fire
2. Inspect the run record</t>
        </is>
      </c>
      <c r="I877" s="12" t="inlineStr">
        <is>
          <t>The job runs at the configured time and records its execution; the schedule is configuration, not code</t>
        </is>
      </c>
      <c r="J877" s="13" t="inlineStr">
        <is>
          <t>Not Tested</t>
        </is>
      </c>
      <c r="K877" s="13" t="inlineStr">
        <is>
          <t>Integration</t>
        </is>
      </c>
    </row>
    <row r="878" ht="36" customHeight="1">
      <c r="A878" s="12" t="inlineStr">
        <is>
          <t>EMI Task Coverage</t>
        </is>
      </c>
      <c r="B878" s="12" t="inlineStr">
        <is>
          <t>ANB Settlement Files</t>
        </is>
      </c>
      <c r="C878" s="12" t="inlineStr">
        <is>
          <t>PTS Fetch</t>
        </is>
      </c>
      <c r="D878" s="13" t="inlineStr">
        <is>
          <t>TC-ANB-02</t>
        </is>
      </c>
      <c r="E878" s="12" t="inlineStr">
        <is>
          <t>Configurable Current and Look-Back Dates Are Honoured</t>
        </is>
      </c>
      <c r="F878" s="13" t="inlineStr">
        <is>
          <t>High</t>
        </is>
      </c>
      <c r="G878" s="12" t="inlineStr">
        <is>
          <t>A look-back window configured</t>
        </is>
      </c>
      <c r="H878" s="12" t="inlineStr">
        <is>
          <t>1. Set current and look-back dates
2. Run the job
3. Inspect which dates were pulled</t>
        </is>
      </c>
      <c r="I878" s="12" t="inlineStr">
        <is>
          <t>The job pulls exactly the configured current date and look-back range</t>
        </is>
      </c>
      <c r="J878" s="13" t="inlineStr">
        <is>
          <t>Not Tested</t>
        </is>
      </c>
      <c r="K878" s="13" t="inlineStr">
        <is>
          <t>Edge / Boundary</t>
        </is>
      </c>
    </row>
    <row r="879" ht="36" customHeight="1">
      <c r="A879" s="12" t="inlineStr">
        <is>
          <t>EMI Task Coverage</t>
        </is>
      </c>
      <c r="B879" s="12" t="inlineStr">
        <is>
          <t>ANB Settlement Files</t>
        </is>
      </c>
      <c r="C879" s="12" t="inlineStr">
        <is>
          <t>PTS Fetch</t>
        </is>
      </c>
      <c r="D879" s="13" t="inlineStr">
        <is>
          <t>TC-ANB-03</t>
        </is>
      </c>
      <c r="E879" s="12" t="inlineStr">
        <is>
          <t>Per-Date Cursor Advances Only After Successful Ingestion</t>
        </is>
      </c>
      <c r="F879" s="13" t="inlineStr">
        <is>
          <t>High</t>
        </is>
      </c>
      <c r="G879" s="12" t="inlineStr">
        <is>
          <t>A date whose ingestion can be made to fail</t>
        </is>
      </c>
      <c r="H879" s="12" t="inlineStr">
        <is>
          <t>1. Force the ingestion to fail for a date
2. Inspect the cursor
3. Fix and re-run</t>
        </is>
      </c>
      <c r="I879" s="12" t="inlineStr">
        <is>
          <t>The cursor does not advance on failure and advances only after successful validation and ingestion</t>
        </is>
      </c>
      <c r="J879" s="13" t="inlineStr">
        <is>
          <t>Not Tested</t>
        </is>
      </c>
      <c r="K879" s="13" t="inlineStr">
        <is>
          <t>Negative</t>
        </is>
      </c>
    </row>
    <row r="880" ht="36" customHeight="1">
      <c r="A880" s="12" t="inlineStr">
        <is>
          <t>EMI Task Coverage</t>
        </is>
      </c>
      <c r="B880" s="12" t="inlineStr">
        <is>
          <t>ANB Settlement Files</t>
        </is>
      </c>
      <c r="C880" s="12" t="inlineStr">
        <is>
          <t>PTS Fetch</t>
        </is>
      </c>
      <c r="D880" s="13" t="inlineStr">
        <is>
          <t>TC-ANB-04</t>
        </is>
      </c>
      <c r="E880" s="12" t="inlineStr">
        <is>
          <t>Re-Reading a File or Date Creates No Duplicates</t>
        </is>
      </c>
      <c r="F880" s="13" t="inlineStr">
        <is>
          <t>High</t>
        </is>
      </c>
      <c r="G880" s="12" t="inlineStr">
        <is>
          <t>A date already ingested</t>
        </is>
      </c>
      <c r="H880" s="12" t="inlineStr">
        <is>
          <t>1. Re-read the same file
2. Re-run the same date
3. Count the records</t>
        </is>
      </c>
      <c r="I880" s="12" t="inlineStr">
        <is>
          <t>No duplicate records are created by either action</t>
        </is>
      </c>
      <c r="J880" s="13" t="inlineStr">
        <is>
          <t>Not Tested</t>
        </is>
      </c>
      <c r="K880" s="13" t="inlineStr">
        <is>
          <t>Integration</t>
        </is>
      </c>
    </row>
    <row r="881" ht="36" customHeight="1">
      <c r="A881" s="12" t="inlineStr">
        <is>
          <t>EMI Task Coverage</t>
        </is>
      </c>
      <c r="B881" s="12" t="inlineStr">
        <is>
          <t>ANB Settlement Files</t>
        </is>
      </c>
      <c r="C881" s="12" t="inlineStr">
        <is>
          <t>PTS Fetch</t>
        </is>
      </c>
      <c r="D881" s="13" t="inlineStr">
        <is>
          <t>TC-ANB-05</t>
        </is>
      </c>
      <c r="E881" s="12" t="inlineStr">
        <is>
          <t>Malformed Input Is Rejected Without Partial Ingestion</t>
        </is>
      </c>
      <c r="F881" s="13" t="inlineStr">
        <is>
          <t>High</t>
        </is>
      </c>
      <c r="G881" s="12" t="inlineStr">
        <is>
          <t>A structurally malformed PTS file</t>
        </is>
      </c>
      <c r="H881" s="12" t="inlineStr">
        <is>
          <t>1. Run the job over it
2. Inspect the persisted records</t>
        </is>
      </c>
      <c r="I881" s="12" t="inlineStr">
        <is>
          <t>The file is rejected and nothing from it is persisted; there is no half-ingested date</t>
        </is>
      </c>
      <c r="J881" s="13" t="inlineStr">
        <is>
          <t>Not Tested</t>
        </is>
      </c>
      <c r="K881" s="13" t="inlineStr">
        <is>
          <t>Negative</t>
        </is>
      </c>
    </row>
    <row r="882" ht="36" customHeight="1">
      <c r="A882" s="12" t="inlineStr">
        <is>
          <t>EMI Task Coverage</t>
        </is>
      </c>
      <c r="B882" s="12" t="inlineStr">
        <is>
          <t>ANB Settlement Files</t>
        </is>
      </c>
      <c r="C882" s="12" t="inlineStr">
        <is>
          <t>PTS Fetch</t>
        </is>
      </c>
      <c r="D882" s="13" t="inlineStr">
        <is>
          <t>TC-ANB-06</t>
        </is>
      </c>
      <c r="E882" s="12" t="inlineStr">
        <is>
          <t>Changed Closed Slip Is Frozen and Alarmed</t>
        </is>
      </c>
      <c r="F882" s="13" t="inlineStr">
        <is>
          <t>High</t>
        </is>
      </c>
      <c r="G882" s="12" t="inlineStr">
        <is>
          <t>A previously ingested closed slip that arrives changed</t>
        </is>
      </c>
      <c r="H882" s="12" t="inlineStr">
        <is>
          <t>1. Deliver the changed slip
2. Inspect the stored record and the alarm channel</t>
        </is>
      </c>
      <c r="I882" s="12" t="inlineStr">
        <is>
          <t>The existing record is frozen rather than overwritten and an alarm is raised</t>
        </is>
      </c>
      <c r="J882" s="13" t="inlineStr">
        <is>
          <t>Not Tested</t>
        </is>
      </c>
      <c r="K882" s="13" t="inlineStr">
        <is>
          <t>Integration</t>
        </is>
      </c>
    </row>
    <row r="883" ht="36" customHeight="1">
      <c r="A883" s="12" t="inlineStr">
        <is>
          <t>EMI Task Coverage</t>
        </is>
      </c>
      <c r="B883" s="12" t="inlineStr">
        <is>
          <t>ANB Settlement Files</t>
        </is>
      </c>
      <c r="C883" s="12" t="inlineStr">
        <is>
          <t>PTS Fetch</t>
        </is>
      </c>
      <c r="D883" s="13" t="inlineStr">
        <is>
          <t>TC-ANB-07</t>
        </is>
      </c>
      <c r="E883" s="12" t="inlineStr">
        <is>
          <t>Missing Transactions Are Backfilled Through the Shared Flow</t>
        </is>
      </c>
      <c r="F883" s="13" t="inlineStr">
        <is>
          <t>High</t>
        </is>
      </c>
      <c r="G883" s="12" t="inlineStr">
        <is>
          <t>A PTS file containing transactions absent from our records</t>
        </is>
      </c>
      <c r="H883" s="12" t="inlineStr">
        <is>
          <t>1. Run the job
2. Trace how the missing transactions are created</t>
        </is>
      </c>
      <c r="I883" s="12" t="inlineStr">
        <is>
          <t>They are backfilled through the shared transaction-processing flow, not through a bespoke insert path</t>
        </is>
      </c>
      <c r="J883" s="13" t="inlineStr">
        <is>
          <t>Not Tested</t>
        </is>
      </c>
      <c r="K883" s="13" t="inlineStr">
        <is>
          <t>Integration</t>
        </is>
      </c>
    </row>
    <row r="884" ht="36" customHeight="1">
      <c r="A884" s="12" t="inlineStr">
        <is>
          <t>EMI Task Coverage</t>
        </is>
      </c>
      <c r="B884" s="12" t="inlineStr">
        <is>
          <t>ANB Settlement Files</t>
        </is>
      </c>
      <c r="C884" s="12" t="inlineStr">
        <is>
          <t>PTS Fetch</t>
        </is>
      </c>
      <c r="D884" s="13" t="inlineStr">
        <is>
          <t>TC-ANB-08</t>
        </is>
      </c>
      <c r="E884" s="12" t="inlineStr">
        <is>
          <t>Lineage and Fee Information Are Retained</t>
        </is>
      </c>
      <c r="F884" s="13" t="inlineStr">
        <is>
          <t>High</t>
        </is>
      </c>
      <c r="G884" s="12" t="inlineStr">
        <is>
          <t>An ingested PTS file</t>
        </is>
      </c>
      <c r="H884" s="12" t="inlineStr">
        <is>
          <t>1. Inspect a resulting record</t>
        </is>
      </c>
      <c r="I884" s="12" t="inlineStr">
        <is>
          <t>TR_SLIP, source-file lineage, applicable fee information and execution audit data are all retained and queryable</t>
        </is>
      </c>
      <c r="J884" s="13" t="inlineStr">
        <is>
          <t>Not Tested</t>
        </is>
      </c>
      <c r="K884" s="13" t="inlineStr">
        <is>
          <t>Integration</t>
        </is>
      </c>
    </row>
    <row r="885" ht="36" customHeight="1">
      <c r="A885" s="12" t="inlineStr">
        <is>
          <t>EMI Task Coverage</t>
        </is>
      </c>
      <c r="B885" s="12" t="inlineStr">
        <is>
          <t>ANB Settlement Files</t>
        </is>
      </c>
      <c r="C885" s="12" t="inlineStr">
        <is>
          <t>MT940</t>
        </is>
      </c>
      <c r="D885" s="13" t="inlineStr">
        <is>
          <t>TC-ANB-09</t>
        </is>
      </c>
      <c r="E885" s="12" t="inlineStr">
        <is>
          <t>Matching Uses Exact Reference Equality Only</t>
        </is>
      </c>
      <c r="F885" s="13" t="inlineStr">
        <is>
          <t>High</t>
        </is>
      </c>
      <c r="G885" s="12" t="inlineStr">
        <is>
          <t>An MT940 credit and a PTS settlement group</t>
        </is>
      </c>
      <c r="H885" s="12" t="inlineStr">
        <is>
          <t>1. Run matching
2. Trace the comparison performed</t>
        </is>
      </c>
      <c r="I885" s="12" t="inlineStr">
        <is>
          <t>Matching is on exact TR_SLIP or batch-reference equality; no amount, date, partial or fuzzy comparison is attempted at any point</t>
        </is>
      </c>
      <c r="J885" s="13" t="inlineStr">
        <is>
          <t>Not Tested</t>
        </is>
      </c>
      <c r="K885" s="13" t="inlineStr">
        <is>
          <t>Integration</t>
        </is>
      </c>
    </row>
    <row r="886" ht="36" customHeight="1">
      <c r="A886" s="12" t="inlineStr">
        <is>
          <t>EMI Task Coverage</t>
        </is>
      </c>
      <c r="B886" s="12" t="inlineStr">
        <is>
          <t>ANB Settlement Files</t>
        </is>
      </c>
      <c r="C886" s="12" t="inlineStr">
        <is>
          <t>MT940</t>
        </is>
      </c>
      <c r="D886" s="13" t="inlineStr">
        <is>
          <t>TC-ANB-10</t>
        </is>
      </c>
      <c r="E886" s="12" t="inlineStr">
        <is>
          <t>No Fallback Matching When the Reference Does Not Match</t>
        </is>
      </c>
      <c r="F886" s="13" t="inlineStr">
        <is>
          <t>High</t>
        </is>
      </c>
      <c r="G886" s="12" t="inlineStr">
        <is>
          <t>An MT940 credit whose reference matches nothing but whose amount and date match a group exactly</t>
        </is>
      </c>
      <c r="H886" s="12" t="inlineStr">
        <is>
          <t>1. Run matching</t>
        </is>
      </c>
      <c r="I886" s="12" t="inlineStr">
        <is>
          <t>No match is made; the credit is parked. A near-miss on amount and date must never produce a match</t>
        </is>
      </c>
      <c r="J886" s="13" t="inlineStr">
        <is>
          <t>Not Tested</t>
        </is>
      </c>
      <c r="K886" s="13" t="inlineStr">
        <is>
          <t>Integration</t>
        </is>
      </c>
    </row>
    <row r="887" ht="36" customHeight="1">
      <c r="A887" s="12" t="inlineStr">
        <is>
          <t>EMI Task Coverage</t>
        </is>
      </c>
      <c r="B887" s="12" t="inlineStr">
        <is>
          <t>ANB Settlement Files</t>
        </is>
      </c>
      <c r="C887" s="12" t="inlineStr">
        <is>
          <t>MT940</t>
        </is>
      </c>
      <c r="D887" s="13" t="inlineStr">
        <is>
          <t>TC-ANB-11</t>
        </is>
      </c>
      <c r="E887" s="12" t="inlineStr">
        <is>
          <t>Statement Amount Validated Against the Expected Group Amount</t>
        </is>
      </c>
      <c r="F887" s="13" t="inlineStr">
        <is>
          <t>High</t>
        </is>
      </c>
      <c r="G887" s="12" t="inlineStr">
        <is>
          <t>A matched reference whose statement amount differs from the settlement group amount</t>
        </is>
      </c>
      <c r="H887" s="12" t="inlineStr">
        <is>
          <t>1. Run matching
2. Inspect the outcome</t>
        </is>
      </c>
      <c r="I887" s="12" t="inlineStr">
        <is>
          <t>The mismatch is detected and reported as an exception rather than accepted</t>
        </is>
      </c>
      <c r="J887" s="13" t="inlineStr">
        <is>
          <t>Not Tested</t>
        </is>
      </c>
      <c r="K887" s="13" t="inlineStr">
        <is>
          <t>Integration</t>
        </is>
      </c>
    </row>
    <row r="888" ht="36" customHeight="1">
      <c r="A888" s="12" t="inlineStr">
        <is>
          <t>EMI Task Coverage</t>
        </is>
      </c>
      <c r="B888" s="12" t="inlineStr">
        <is>
          <t>ANB Settlement Files</t>
        </is>
      </c>
      <c r="C888" s="12" t="inlineStr">
        <is>
          <t>MT940</t>
        </is>
      </c>
      <c r="D888" s="13" t="inlineStr">
        <is>
          <t>TC-ANB-12</t>
        </is>
      </c>
      <c r="E888" s="12" t="inlineStr">
        <is>
          <t>Duplicate Credits Are Idempotent</t>
        </is>
      </c>
      <c r="F888" s="13" t="inlineStr">
        <is>
          <t>High</t>
        </is>
      </c>
      <c r="G888" s="12" t="inlineStr">
        <is>
          <t>The same MT940 credit delivered twice</t>
        </is>
      </c>
      <c r="H888" s="12" t="inlineStr">
        <is>
          <t>1. Process both
2. Count aggregates and ACH records</t>
        </is>
      </c>
      <c r="I888" s="12" t="inlineStr">
        <is>
          <t>The duplicate is absorbed; exactly one pending aggregate and one ACH record exist</t>
        </is>
      </c>
      <c r="J888" s="13" t="inlineStr">
        <is>
          <t>Not Tested</t>
        </is>
      </c>
      <c r="K888" s="13" t="inlineStr">
        <is>
          <t>Integration</t>
        </is>
      </c>
    </row>
    <row r="889" ht="36" customHeight="1">
      <c r="A889" s="12" t="inlineStr">
        <is>
          <t>EMI Task Coverage</t>
        </is>
      </c>
      <c r="B889" s="12" t="inlineStr">
        <is>
          <t>ANB Settlement Files</t>
        </is>
      </c>
      <c r="C889" s="12" t="inlineStr">
        <is>
          <t>MT940</t>
        </is>
      </c>
      <c r="D889" s="13" t="inlineStr">
        <is>
          <t>TC-ANB-13</t>
        </is>
      </c>
      <c r="E889" s="12" t="inlineStr">
        <is>
          <t>Unknown Reference Is Parked</t>
        </is>
      </c>
      <c r="F889" s="13" t="inlineStr">
        <is>
          <t>High</t>
        </is>
      </c>
      <c r="G889" s="12" t="inlineStr">
        <is>
          <t>An MT940 credit carrying a reference we do not recognise</t>
        </is>
      </c>
      <c r="H889" s="12" t="inlineStr">
        <is>
          <t>1. Run matching
2. Inspect the parked queue</t>
        </is>
      </c>
      <c r="I889" s="12" t="inlineStr">
        <is>
          <t>The credit is parked with its raw detail and is visible to Ops; it is not discarded and no wallet is credited</t>
        </is>
      </c>
      <c r="J889" s="13" t="inlineStr">
        <is>
          <t>Not Tested</t>
        </is>
      </c>
      <c r="K889" s="13" t="inlineStr">
        <is>
          <t>Negative</t>
        </is>
      </c>
    </row>
    <row r="890" ht="36" customHeight="1">
      <c r="A890" s="12" t="inlineStr">
        <is>
          <t>EMI Task Coverage</t>
        </is>
      </c>
      <c r="B890" s="12" t="inlineStr">
        <is>
          <t>ANB Settlement Files</t>
        </is>
      </c>
      <c r="C890" s="12" t="inlineStr">
        <is>
          <t>MT940</t>
        </is>
      </c>
      <c r="D890" s="13" t="inlineStr">
        <is>
          <t>TC-ANB-14</t>
        </is>
      </c>
      <c r="E890" s="12" t="inlineStr">
        <is>
          <t>Missing Credit Is Reported as an Exception</t>
        </is>
      </c>
      <c r="F890" s="13" t="inlineStr">
        <is>
          <t>High</t>
        </is>
      </c>
      <c r="G890" s="12" t="inlineStr">
        <is>
          <t>A settlement group with no corresponding MT940 credit</t>
        </is>
      </c>
      <c r="H890" s="12" t="inlineStr">
        <is>
          <t>1. Run matching for the day
2. Inspect the exception report</t>
        </is>
      </c>
      <c r="I890" s="12" t="inlineStr">
        <is>
          <t>The missing credit is reported as an exception rather than passing silently</t>
        </is>
      </c>
      <c r="J890" s="13" t="inlineStr">
        <is>
          <t>Not Tested</t>
        </is>
      </c>
      <c r="K890" s="13" t="inlineStr">
        <is>
          <t>Negative</t>
        </is>
      </c>
    </row>
    <row r="891" ht="36" customHeight="1">
      <c r="A891" s="12" t="inlineStr">
        <is>
          <t>EMI Task Coverage</t>
        </is>
      </c>
      <c r="B891" s="12" t="inlineStr">
        <is>
          <t>ANB Settlement Files</t>
        </is>
      </c>
      <c r="C891" s="12" t="inlineStr">
        <is>
          <t>MT940</t>
        </is>
      </c>
      <c r="D891" s="13" t="inlineStr">
        <is>
          <t>TC-ANB-15</t>
        </is>
      </c>
      <c r="E891" s="12" t="inlineStr">
        <is>
          <t>Each Eligible Group Creates Exactly One Aggregate and One ACH Record</t>
        </is>
      </c>
      <c r="F891" s="13" t="inlineStr">
        <is>
          <t>High</t>
        </is>
      </c>
      <c r="G891" s="12" t="inlineStr">
        <is>
          <t>Several eligible matched settlement groups</t>
        </is>
      </c>
      <c r="H891" s="12" t="inlineStr">
        <is>
          <t>1. Run the job
2. Count the aggregates and ACH records per group</t>
        </is>
      </c>
      <c r="I891" s="12" t="inlineStr">
        <is>
          <t>Exactly one pending aggregate and one ACH record exist per eligible group; none is created twice and none is missed</t>
        </is>
      </c>
      <c r="J891" s="13" t="inlineStr">
        <is>
          <t>Not Tested</t>
        </is>
      </c>
      <c r="K891" s="13" t="inlineStr">
        <is>
          <t>Edge / Boundary</t>
        </is>
      </c>
    </row>
    <row r="892" ht="36" customHeight="1">
      <c r="A892" s="12" t="inlineStr">
        <is>
          <t>EMI Task Coverage</t>
        </is>
      </c>
      <c r="B892" s="12" t="inlineStr">
        <is>
          <t>ANB Settlement Files</t>
        </is>
      </c>
      <c r="C892" s="12" t="inlineStr">
        <is>
          <t>MT940</t>
        </is>
      </c>
      <c r="D892" s="13" t="inlineStr">
        <is>
          <t>TC-ANB-16</t>
        </is>
      </c>
      <c r="E892" s="12" t="inlineStr">
        <is>
          <t>Only Matched and Funded Groups Become ACH-Eligible</t>
        </is>
      </c>
      <c r="F892" s="13" t="inlineStr">
        <is>
          <t>High</t>
        </is>
      </c>
      <c r="G892" s="12" t="inlineStr">
        <is>
          <t>A matched but unfunded group, an unmatched group and a matched funded group</t>
        </is>
      </c>
      <c r="H892" s="12" t="inlineStr">
        <is>
          <t>1. Run ACH eligibility</t>
        </is>
      </c>
      <c r="I892" s="12" t="inlineStr">
        <is>
          <t>Only the matched and funded group is eligible; the other two are excluded and their state is visible</t>
        </is>
      </c>
      <c r="J892" s="13" t="inlineStr">
        <is>
          <t>Not Tested</t>
        </is>
      </c>
      <c r="K892" s="13" t="inlineStr">
        <is>
          <t>Integration</t>
        </is>
      </c>
    </row>
    <row r="893" ht="36" customHeight="1">
      <c r="A893" s="12" t="inlineStr">
        <is>
          <t>EMI Task Coverage</t>
        </is>
      </c>
      <c r="B893" s="12" t="inlineStr">
        <is>
          <t>ANB Settlement Files</t>
        </is>
      </c>
      <c r="C893" s="12" t="inlineStr">
        <is>
          <t>Lifecycle</t>
        </is>
      </c>
      <c r="D893" s="13" t="inlineStr">
        <is>
          <t>TC-ANB-17</t>
        </is>
      </c>
      <c r="E893" s="12" t="inlineStr">
        <is>
          <t>Callback Stage Creates the Pending Ledger Entry With Its Reason</t>
        </is>
      </c>
      <c r="F893" s="13" t="inlineStr">
        <is>
          <t>High</t>
        </is>
      </c>
      <c r="G893" s="12" t="inlineStr">
        <is>
          <t>A POS transaction callback</t>
        </is>
      </c>
      <c r="H893" s="12" t="inlineStr">
        <is>
          <t>1. Ingest the callback
2. Inspect the transaction ledger pending entry, base transaction and POS ledger entry</t>
        </is>
      </c>
      <c r="I893" s="12" t="inlineStr">
        <is>
          <t>A pending ledger entry exists carrying its reason; the base transaction and POS ledger entry are created consistently</t>
        </is>
      </c>
      <c r="J893" s="13" t="inlineStr">
        <is>
          <t>Not Tested</t>
        </is>
      </c>
      <c r="K893" s="13" t="inlineStr">
        <is>
          <t>Functional</t>
        </is>
      </c>
    </row>
    <row r="894" ht="36" customHeight="1">
      <c r="A894" s="12" t="inlineStr">
        <is>
          <t>EMI Task Coverage</t>
        </is>
      </c>
      <c r="B894" s="12" t="inlineStr">
        <is>
          <t>ANB Settlement Files</t>
        </is>
      </c>
      <c r="C894" s="12" t="inlineStr">
        <is>
          <t>Lifecycle</t>
        </is>
      </c>
      <c r="D894" s="13" t="inlineStr">
        <is>
          <t>TC-ANB-18</t>
        </is>
      </c>
      <c r="E894" s="12" t="inlineStr">
        <is>
          <t>Callback Stage Populates Wallet Reserve Credit, Not Available</t>
        </is>
      </c>
      <c r="F894" s="13" t="inlineStr">
        <is>
          <t>High</t>
        </is>
      </c>
      <c r="G894" s="12" t="inlineStr">
        <is>
          <t>A POS transaction callback for a linked wallet</t>
        </is>
      </c>
      <c r="H894" s="12" t="inlineStr">
        <is>
          <t>1. Ingest the callback
2. Read the wallet running balance and reserve credit</t>
        </is>
      </c>
      <c r="I894" s="12" t="inlineStr">
        <is>
          <t>The amount sits in reserve credit; available and current are unchanged at this stage</t>
        </is>
      </c>
      <c r="J894" s="13" t="inlineStr">
        <is>
          <t>Not Tested</t>
        </is>
      </c>
      <c r="K894" s="13" t="inlineStr">
        <is>
          <t>Functional</t>
        </is>
      </c>
    </row>
    <row r="895" ht="36" customHeight="1">
      <c r="A895" s="12" t="inlineStr">
        <is>
          <t>EMI Task Coverage</t>
        </is>
      </c>
      <c r="B895" s="12" t="inlineStr">
        <is>
          <t>ANB Settlement Files</t>
        </is>
      </c>
      <c r="C895" s="12" t="inlineStr">
        <is>
          <t>Lifecycle</t>
        </is>
      </c>
      <c r="D895" s="13" t="inlineStr">
        <is>
          <t>TC-ANB-19</t>
        </is>
      </c>
      <c r="E895" s="12" t="inlineStr">
        <is>
          <t>BTS File Stage Advances the Transaction Correctly</t>
        </is>
      </c>
      <c r="F895" s="13" t="inlineStr">
        <is>
          <t>High</t>
        </is>
      </c>
      <c r="G895" s="12" t="inlineStr">
        <is>
          <t>A pending POS transaction and its BTS file</t>
        </is>
      </c>
      <c r="H895" s="12" t="inlineStr">
        <is>
          <t>1. Process the BTS file
2. Re-inspect all five observation points</t>
        </is>
      </c>
      <c r="I895" s="12" t="inlineStr">
        <is>
          <t>The ledger entry, base transaction, POS ledger entry, running balance and reserve credit all advance consistently with no gap between them</t>
        </is>
      </c>
      <c r="J895" s="13" t="inlineStr">
        <is>
          <t>Not Tested</t>
        </is>
      </c>
      <c r="K895" s="13" t="inlineStr">
        <is>
          <t>Functional</t>
        </is>
      </c>
    </row>
    <row r="896" ht="36" customHeight="1">
      <c r="A896" s="12" t="inlineStr">
        <is>
          <t>EMI Task Coverage</t>
        </is>
      </c>
      <c r="B896" s="12" t="inlineStr">
        <is>
          <t>ANB Settlement Files</t>
        </is>
      </c>
      <c r="C896" s="12" t="inlineStr">
        <is>
          <t>Lifecycle</t>
        </is>
      </c>
      <c r="D896" s="13" t="inlineStr">
        <is>
          <t>TC-ANB-20</t>
        </is>
      </c>
      <c r="E896" s="12" t="inlineStr">
        <is>
          <t>MT940 Stage Settles the Transaction End to End</t>
        </is>
      </c>
      <c r="F896" s="13" t="inlineStr">
        <is>
          <t>High</t>
        </is>
      </c>
      <c r="G896" s="12" t="inlineStr">
        <is>
          <t>A POS transaction that has passed callback and BTS stages</t>
        </is>
      </c>
      <c r="H896" s="12" t="inlineStr">
        <is>
          <t>1. Process the MT940
2. Re-inspect all five observation points</t>
        </is>
      </c>
      <c r="I896" s="12" t="inlineStr">
        <is>
          <t>Reserve credit is released into available, the running balance reflects the settlement, and the ledger and base transaction reach their settled state</t>
        </is>
      </c>
      <c r="J896" s="13" t="inlineStr">
        <is>
          <t>Not Tested</t>
        </is>
      </c>
      <c r="K896" s="13" t="inlineStr">
        <is>
          <t>Functional</t>
        </is>
      </c>
    </row>
    <row r="897" ht="36" customHeight="1">
      <c r="A897" s="12" t="inlineStr">
        <is>
          <t>EMI Task Coverage</t>
        </is>
      </c>
      <c r="B897" s="12" t="inlineStr">
        <is>
          <t>ANB Settlement Files</t>
        </is>
      </c>
      <c r="C897" s="12" t="inlineStr">
        <is>
          <t>Lifecycle</t>
        </is>
      </c>
      <c r="D897" s="13" t="inlineStr">
        <is>
          <t>TC-ANB-21</t>
        </is>
      </c>
      <c r="E897" s="12" t="inlineStr">
        <is>
          <t>Full Lifecycle Observed at Every Stage With No Inconsistent Window</t>
        </is>
      </c>
      <c r="F897" s="13" t="inlineStr">
        <is>
          <t>High</t>
        </is>
      </c>
      <c r="G897" s="12" t="inlineStr">
        <is>
          <t>A POS transaction driven callback to BTS to MT940</t>
        </is>
      </c>
      <c r="H897" s="12" t="inlineStr">
        <is>
          <t>1. After each stage, capture the pending ledger entry and reason, base transaction, POS ledger entry, running balance and reserve credit
2. Assert the bucket identity at every capture</t>
        </is>
      </c>
      <c r="I897" s="12" t="inlineStr">
        <is>
          <t>All five sources agree at every stage and current = available + reserve_debit holds throughout; there is no window in which the transaction is visible in an inconsistent state</t>
        </is>
      </c>
      <c r="J897" s="13" t="inlineStr">
        <is>
          <t>Not Tested</t>
        </is>
      </c>
      <c r="K897" s="13" t="inlineStr">
        <is>
          <t>Functional</t>
        </is>
      </c>
    </row>
    <row r="898" ht="36" customHeight="1">
      <c r="A898" s="12" t="inlineStr">
        <is>
          <t>EMI Task Coverage</t>
        </is>
      </c>
      <c r="B898" s="12" t="inlineStr">
        <is>
          <t>ANB Settlement Files</t>
        </is>
      </c>
      <c r="C898" s="12" t="inlineStr">
        <is>
          <t>Lifecycle</t>
        </is>
      </c>
      <c r="D898" s="13" t="inlineStr">
        <is>
          <t>TC-ANB-22</t>
        </is>
      </c>
      <c r="E898" s="12" t="inlineStr">
        <is>
          <t>Lifecycle Is Idempotent at Every Stage</t>
        </is>
      </c>
      <c r="F898" s="13" t="inlineStr">
        <is>
          <t>High</t>
        </is>
      </c>
      <c r="G898" s="12" t="inlineStr">
        <is>
          <t>A transaction that has completed the lifecycle</t>
        </is>
      </c>
      <c r="H898" s="12" t="inlineStr">
        <is>
          <t>1. Re-deliver the callback, re-process the BTS file and re-process the MT940
2. Inspect all five observation points</t>
        </is>
      </c>
      <c r="I898" s="12" t="inlineStr">
        <is>
          <t>Each re-delivery is absorbed; no stage double-applies and the final position is unchanged</t>
        </is>
      </c>
      <c r="J898" s="13" t="inlineStr">
        <is>
          <t>Not Tested</t>
        </is>
      </c>
      <c r="K898" s="13" t="inlineStr">
        <is>
          <t>Integration</t>
        </is>
      </c>
    </row>
    <row r="899" ht="36" customHeight="1">
      <c r="A899" s="12" t="inlineStr">
        <is>
          <t>EMI Task Coverage</t>
        </is>
      </c>
      <c r="B899" s="12" t="inlineStr">
        <is>
          <t>ANB Settlement Files</t>
        </is>
      </c>
      <c r="C899" s="12" t="inlineStr">
        <is>
          <t>Non-Functional</t>
        </is>
      </c>
      <c r="D899" s="13" t="inlineStr">
        <is>
          <t>TC-ANB-23</t>
        </is>
      </c>
      <c r="E899" s="12" t="inlineStr">
        <is>
          <t>Large File Ingestion Stays Within Budget and Memory</t>
        </is>
      </c>
      <c r="F899" s="13" t="inlineStr">
        <is>
          <t>High</t>
        </is>
      </c>
      <c r="G899" s="12" t="inlineStr">
        <is>
          <t>A production-scale PTS and MT940 file</t>
        </is>
      </c>
      <c r="H899" s="12" t="inlineStr">
        <is>
          <t>1. Run ingestion and capture duration, memory and query plans</t>
        </is>
      </c>
      <c r="I899" s="12" t="inlineStr">
        <is>
          <t>Ingestion completes within its window using bounded memory and indexed access, with no full-table scan</t>
        </is>
      </c>
      <c r="J899" s="13" t="inlineStr">
        <is>
          <t>Not Tested</t>
        </is>
      </c>
      <c r="K899" s="13" t="inlineStr">
        <is>
          <t>Performance / NFR</t>
        </is>
      </c>
    </row>
    <row r="900" ht="36" customHeight="1">
      <c r="A900" s="12" t="inlineStr">
        <is>
          <t>EMI Task Coverage</t>
        </is>
      </c>
      <c r="B900" s="12" t="inlineStr">
        <is>
          <t>ANB Settlement Files</t>
        </is>
      </c>
      <c r="C900" s="12" t="inlineStr">
        <is>
          <t>Non-Functional</t>
        </is>
      </c>
      <c r="D900" s="13" t="inlineStr">
        <is>
          <t>TC-ANB-24</t>
        </is>
      </c>
      <c r="E900" s="12" t="inlineStr">
        <is>
          <t>Job Failure Mid-File Is Resumable</t>
        </is>
      </c>
      <c r="F900" s="13" t="inlineStr">
        <is>
          <t>High</t>
        </is>
      </c>
      <c r="G900" s="12" t="inlineStr">
        <is>
          <t>A large file with ingestion interrupted part-way</t>
        </is>
      </c>
      <c r="H900" s="12" t="inlineStr">
        <is>
          <t>1. Interrupt the run
2. Re-run the job</t>
        </is>
      </c>
      <c r="I900" s="12" t="inlineStr">
        <is>
          <t>The run resumes or restarts cleanly with no duplicate and no partially ingested date left behind</t>
        </is>
      </c>
      <c r="J900" s="13" t="inlineStr">
        <is>
          <t>Not Tested</t>
        </is>
      </c>
      <c r="K900" s="13" t="inlineStr">
        <is>
          <t>Integration</t>
        </is>
      </c>
    </row>
    <row r="901" ht="36" customHeight="1">
      <c r="A901" s="12" t="inlineStr">
        <is>
          <t>EMI Task Coverage</t>
        </is>
      </c>
      <c r="B901" s="12" t="inlineStr">
        <is>
          <t>PoS Gateway Integration</t>
        </is>
      </c>
      <c r="C901" s="12" t="inlineStr">
        <is>
          <t>Architecture</t>
        </is>
      </c>
      <c r="D901" s="13" t="inlineStr">
        <is>
          <t>TC-Gateway-01</t>
        </is>
      </c>
      <c r="E901" s="12" t="inlineStr">
        <is>
          <t>Gateway Is a Separate Deployable Component</t>
        </is>
      </c>
      <c r="F901" s="13" t="inlineStr">
        <is>
          <t>High</t>
        </is>
      </c>
      <c r="G901" s="12" t="inlineStr">
        <is>
          <t>The deployed environment</t>
        </is>
      </c>
      <c r="H901" s="12" t="inlineStr">
        <is>
          <t>1. Inspect the deployment topology</t>
        </is>
      </c>
      <c r="I901" s="12" t="inlineStr">
        <is>
          <t>The POS Integration Gateway is deployed as its own component, not embedded in Payment Orchestrator or another business service</t>
        </is>
      </c>
      <c r="J901" s="13" t="inlineStr">
        <is>
          <t>Not Tested</t>
        </is>
      </c>
      <c r="K901" s="13" t="inlineStr">
        <is>
          <t>Architecture</t>
        </is>
      </c>
    </row>
    <row r="902" ht="36" customHeight="1">
      <c r="A902" s="12" t="inlineStr">
        <is>
          <t>EMI Task Coverage</t>
        </is>
      </c>
      <c r="B902" s="12" t="inlineStr">
        <is>
          <t>PoS Gateway Integration</t>
        </is>
      </c>
      <c r="C902" s="12" t="inlineStr">
        <is>
          <t>Architecture</t>
        </is>
      </c>
      <c r="D902" s="13" t="inlineStr">
        <is>
          <t>TC-Gateway-02</t>
        </is>
      </c>
      <c r="E902" s="12" t="inlineStr">
        <is>
          <t>Gateway Is the Only Ingress for the Partner Feed</t>
        </is>
      </c>
      <c r="F902" s="13" t="inlineStr">
        <is>
          <t>High</t>
        </is>
      </c>
      <c r="G902" s="12" t="inlineStr">
        <is>
          <t>The partner transaction feed</t>
        </is>
      </c>
      <c r="H902" s="12" t="inlineStr">
        <is>
          <t>1. Attempt to submit the partner feed directly to Payment Orchestrator and to other internal services</t>
        </is>
      </c>
      <c r="I902" s="12" t="inlineStr">
        <is>
          <t>Only the gateway accepts the feed; every other ingress refuses it</t>
        </is>
      </c>
      <c r="J902" s="13" t="inlineStr">
        <is>
          <t>Not Tested</t>
        </is>
      </c>
      <c r="K902" s="13" t="inlineStr">
        <is>
          <t>Architecture</t>
        </is>
      </c>
    </row>
    <row r="903" ht="36" customHeight="1">
      <c r="A903" s="12" t="inlineStr">
        <is>
          <t>EMI Task Coverage</t>
        </is>
      </c>
      <c r="B903" s="12" t="inlineStr">
        <is>
          <t>PoS Gateway Integration</t>
        </is>
      </c>
      <c r="C903" s="12" t="inlineStr">
        <is>
          <t>Architecture</t>
        </is>
      </c>
      <c r="D903" s="13" t="inlineStr">
        <is>
          <t>TC-Gateway-03</t>
        </is>
      </c>
      <c r="E903" s="12" t="inlineStr">
        <is>
          <t>No POS XML Handling Exists Outside the Gateway</t>
        </is>
      </c>
      <c r="F903" s="13" t="inlineStr">
        <is>
          <t>High</t>
        </is>
      </c>
      <c r="G903" s="12" t="inlineStr">
        <is>
          <t>Access to the internal services</t>
        </is>
      </c>
      <c r="H903" s="12" t="inlineStr">
        <is>
          <t>1. Search Payment Orchestrator and other internal services for POS XML parsing or handling</t>
        </is>
      </c>
      <c r="I903" s="12" t="inlineStr">
        <is>
          <t>None exists; XML handling is confined to the gateway</t>
        </is>
      </c>
      <c r="J903" s="13" t="inlineStr">
        <is>
          <t>Not Tested</t>
        </is>
      </c>
      <c r="K903" s="13" t="inlineStr">
        <is>
          <t>Architecture</t>
        </is>
      </c>
    </row>
    <row r="904" ht="36" customHeight="1">
      <c r="A904" s="12" t="inlineStr">
        <is>
          <t>EMI Task Coverage</t>
        </is>
      </c>
      <c r="B904" s="12" t="inlineStr">
        <is>
          <t>PoS Gateway Integration</t>
        </is>
      </c>
      <c r="C904" s="12" t="inlineStr">
        <is>
          <t>Auth</t>
        </is>
      </c>
      <c r="D904" s="13" t="inlineStr">
        <is>
          <t>TC-Gateway-04</t>
        </is>
      </c>
      <c r="E904" s="12" t="inlineStr">
        <is>
          <t>Unauthenticated Request Is Refused</t>
        </is>
      </c>
      <c r="F904" s="13" t="inlineStr">
        <is>
          <t>High</t>
        </is>
      </c>
      <c r="G904" s="12" t="inlineStr">
        <is>
          <t>Gateway endpoint reachable</t>
        </is>
      </c>
      <c r="H904" s="12" t="inlineStr">
        <is>
          <t>1. Submit a well-formed request with no credentials</t>
        </is>
      </c>
      <c r="I904" s="12" t="inlineStr">
        <is>
          <t>Refused; every inbound POS request must be authenticated and authorised</t>
        </is>
      </c>
      <c r="J904" s="13" t="inlineStr">
        <is>
          <t>Not Tested</t>
        </is>
      </c>
      <c r="K904" s="13" t="inlineStr">
        <is>
          <t>Security</t>
        </is>
      </c>
    </row>
    <row r="905" ht="36" customHeight="1">
      <c r="A905" s="12" t="inlineStr">
        <is>
          <t>EMI Task Coverage</t>
        </is>
      </c>
      <c r="B905" s="12" t="inlineStr">
        <is>
          <t>PoS Gateway Integration</t>
        </is>
      </c>
      <c r="C905" s="12" t="inlineStr">
        <is>
          <t>Auth</t>
        </is>
      </c>
      <c r="D905" s="13" t="inlineStr">
        <is>
          <t>TC-Gateway-05</t>
        </is>
      </c>
      <c r="E905" s="12" t="inlineStr">
        <is>
          <t>Invalid API Key or Client ID Is Refused</t>
        </is>
      </c>
      <c r="F905" s="13" t="inlineStr">
        <is>
          <t>High</t>
        </is>
      </c>
      <c r="G905" s="12" t="inlineStr">
        <is>
          <t>Gateway endpoint reachable</t>
        </is>
      </c>
      <c r="H905" s="12" t="inlineStr">
        <is>
          <t>1. Submit with a wrong API key, then a wrong client id</t>
        </is>
      </c>
      <c r="I905" s="12" t="inlineStr">
        <is>
          <t>Both are refused without processing the payload</t>
        </is>
      </c>
      <c r="J905" s="13" t="inlineStr">
        <is>
          <t>Not Tested</t>
        </is>
      </c>
      <c r="K905" s="13" t="inlineStr">
        <is>
          <t>Negative</t>
        </is>
      </c>
    </row>
    <row r="906" ht="36" customHeight="1">
      <c r="A906" s="12" t="inlineStr">
        <is>
          <t>EMI Task Coverage</t>
        </is>
      </c>
      <c r="B906" s="12" t="inlineStr">
        <is>
          <t>PoS Gateway Integration</t>
        </is>
      </c>
      <c r="C906" s="12" t="inlineStr">
        <is>
          <t>Auth</t>
        </is>
      </c>
      <c r="D906" s="13" t="inlineStr">
        <is>
          <t>TC-Gateway-06</t>
        </is>
      </c>
      <c r="E906" s="12" t="inlineStr">
        <is>
          <t>Expired or Reused JWT Is Refused</t>
        </is>
      </c>
      <c r="F906" s="13" t="inlineStr">
        <is>
          <t>High</t>
        </is>
      </c>
      <c r="G906" s="12" t="inlineStr">
        <is>
          <t>A short-TTL one-time-use JWT</t>
        </is>
      </c>
      <c r="H906" s="12" t="inlineStr">
        <is>
          <t>1. Submit with an expired JWT
2. Submit twice with the same valid JWT</t>
        </is>
      </c>
      <c r="I906" s="12" t="inlineStr">
        <is>
          <t>The expired token is refused; the second use of a one-time token is refused</t>
        </is>
      </c>
      <c r="J906" s="13" t="inlineStr">
        <is>
          <t>Not Tested</t>
        </is>
      </c>
      <c r="K906" s="13" t="inlineStr">
        <is>
          <t>Negative</t>
        </is>
      </c>
    </row>
    <row r="907" ht="36" customHeight="1">
      <c r="A907" s="12" t="inlineStr">
        <is>
          <t>EMI Task Coverage</t>
        </is>
      </c>
      <c r="B907" s="12" t="inlineStr">
        <is>
          <t>PoS Gateway Integration</t>
        </is>
      </c>
      <c r="C907" s="12" t="inlineStr">
        <is>
          <t>Auth</t>
        </is>
      </c>
      <c r="D907" s="13" t="inlineStr">
        <is>
          <t>TC-Gateway-07</t>
        </is>
      </c>
      <c r="E907" s="12" t="inlineStr">
        <is>
          <t>Mutual TLS Is Enforced</t>
        </is>
      </c>
      <c r="F907" s="13" t="inlineStr">
        <is>
          <t>High</t>
        </is>
      </c>
      <c r="G907" s="12" t="inlineStr">
        <is>
          <t>mTLS configured</t>
        </is>
      </c>
      <c r="H907" s="12" t="inlineStr">
        <is>
          <t>1. Connect without a client certificate
2. Connect with an untrusted certificate
3. Connect with the partner certificate</t>
        </is>
      </c>
      <c r="I907" s="12" t="inlineStr">
        <is>
          <t>Only the trusted partner certificate is accepted</t>
        </is>
      </c>
      <c r="J907" s="13" t="inlineStr">
        <is>
          <t>Not Tested</t>
        </is>
      </c>
      <c r="K907" s="13" t="inlineStr">
        <is>
          <t>Security</t>
        </is>
      </c>
    </row>
    <row r="908" ht="36" customHeight="1">
      <c r="A908" s="12" t="inlineStr">
        <is>
          <t>EMI Task Coverage</t>
        </is>
      </c>
      <c r="B908" s="12" t="inlineStr">
        <is>
          <t>PoS Gateway Integration</t>
        </is>
      </c>
      <c r="C908" s="12" t="inlineStr">
        <is>
          <t>Auth</t>
        </is>
      </c>
      <c r="D908" s="13" t="inlineStr">
        <is>
          <t>TC-Gateway-08</t>
        </is>
      </c>
      <c r="E908" s="12" t="inlineStr">
        <is>
          <t>Partner IP Allowlisting Is Enforced</t>
        </is>
      </c>
      <c r="F908" s="13" t="inlineStr">
        <is>
          <t>High</t>
        </is>
      </c>
      <c r="G908" s="12" t="inlineStr">
        <is>
          <t>IP allowlist configured</t>
        </is>
      </c>
      <c r="H908" s="12" t="inlineStr">
        <is>
          <t>1. Submit a fully valid request from an address outside the allowlist</t>
        </is>
      </c>
      <c r="I908" s="12" t="inlineStr">
        <is>
          <t>Refused despite otherwise valid credentials</t>
        </is>
      </c>
      <c r="J908" s="13" t="inlineStr">
        <is>
          <t>Not Tested</t>
        </is>
      </c>
      <c r="K908" s="13" t="inlineStr">
        <is>
          <t>Security</t>
        </is>
      </c>
    </row>
    <row r="909" ht="36" customHeight="1">
      <c r="A909" s="12" t="inlineStr">
        <is>
          <t>EMI Task Coverage</t>
        </is>
      </c>
      <c r="B909" s="12" t="inlineStr">
        <is>
          <t>PoS Gateway Integration</t>
        </is>
      </c>
      <c r="C909" s="12" t="inlineStr">
        <is>
          <t>Auth</t>
        </is>
      </c>
      <c r="D909" s="13" t="inlineStr">
        <is>
          <t>TC-Gateway-09</t>
        </is>
      </c>
      <c r="E909" s="12" t="inlineStr">
        <is>
          <t>Invalid HMAC Signature Is Refused</t>
        </is>
      </c>
      <c r="F909" s="13" t="inlineStr">
        <is>
          <t>High</t>
        </is>
      </c>
      <c r="G909" s="12" t="inlineStr">
        <is>
          <t>HMAC signing configured</t>
        </is>
      </c>
      <c r="H909" s="12" t="inlineStr">
        <is>
          <t>1. Submit with a missing signature, then a signature computed over altered content</t>
        </is>
      </c>
      <c r="I909" s="12" t="inlineStr">
        <is>
          <t>Both are refused; the signature must be valid over the raw payload</t>
        </is>
      </c>
      <c r="J909" s="13" t="inlineStr">
        <is>
          <t>Not Tested</t>
        </is>
      </c>
      <c r="K909" s="13" t="inlineStr">
        <is>
          <t>Security</t>
        </is>
      </c>
    </row>
    <row r="910" ht="36" customHeight="1">
      <c r="A910" s="12" t="inlineStr">
        <is>
          <t>EMI Task Coverage</t>
        </is>
      </c>
      <c r="B910" s="12" t="inlineStr">
        <is>
          <t>PoS Gateway Integration</t>
        </is>
      </c>
      <c r="C910" s="12" t="inlineStr">
        <is>
          <t>Auth</t>
        </is>
      </c>
      <c r="D910" s="13" t="inlineStr">
        <is>
          <t>TC-Gateway-10</t>
        </is>
      </c>
      <c r="E910" s="12" t="inlineStr">
        <is>
          <t>Replay Protection Blocks a Repeated Authenticated Request</t>
        </is>
      </c>
      <c r="F910" s="13" t="inlineStr">
        <is>
          <t>High</t>
        </is>
      </c>
      <c r="G910" s="12" t="inlineStr">
        <is>
          <t>A valid signed request already processed</t>
        </is>
      </c>
      <c r="H910" s="12" t="inlineStr">
        <is>
          <t>1. Replay the identical authenticated request</t>
        </is>
      </c>
      <c r="I910" s="12" t="inlineStr">
        <is>
          <t>It is not processed a second time; replay protection refuses it</t>
        </is>
      </c>
      <c r="J910" s="13" t="inlineStr">
        <is>
          <t>Not Tested</t>
        </is>
      </c>
      <c r="K910" s="13" t="inlineStr">
        <is>
          <t>Security</t>
        </is>
      </c>
    </row>
    <row r="911" ht="36" customHeight="1">
      <c r="A911" s="12" t="inlineStr">
        <is>
          <t>EMI Task Coverage</t>
        </is>
      </c>
      <c r="B911" s="12" t="inlineStr">
        <is>
          <t>PoS Gateway Integration</t>
        </is>
      </c>
      <c r="C911" s="12" t="inlineStr">
        <is>
          <t>Validation</t>
        </is>
      </c>
      <c r="D911" s="13" t="inlineStr">
        <is>
          <t>TC-Gateway-11</t>
        </is>
      </c>
      <c r="E911" s="12" t="inlineStr">
        <is>
          <t>XML Is Validated Against the Partner Schema Before Any Processing</t>
        </is>
      </c>
      <c r="F911" s="13" t="inlineStr">
        <is>
          <t>High</t>
        </is>
      </c>
      <c r="G911" s="12" t="inlineStr">
        <is>
          <t>The agreed mada Transaction Archive schema</t>
        </is>
      </c>
      <c r="H911" s="12" t="inlineStr">
        <is>
          <t>1. Submit a payload that violates the schema
2. Trace where validation occurs relative to transformation</t>
        </is>
      </c>
      <c r="I911" s="12" t="inlineStr">
        <is>
          <t>Validation happens before any transformation or business processing and the payload is rejected there</t>
        </is>
      </c>
      <c r="J911" s="13" t="inlineStr">
        <is>
          <t>Not Tested</t>
        </is>
      </c>
      <c r="K911" s="13" t="inlineStr">
        <is>
          <t>Integration</t>
        </is>
      </c>
    </row>
    <row r="912" ht="36" customHeight="1">
      <c r="A912" s="12" t="inlineStr">
        <is>
          <t>EMI Task Coverage</t>
        </is>
      </c>
      <c r="B912" s="12" t="inlineStr">
        <is>
          <t>PoS Gateway Integration</t>
        </is>
      </c>
      <c r="C912" s="12" t="inlineStr">
        <is>
          <t>Validation</t>
        </is>
      </c>
      <c r="D912" s="13" t="inlineStr">
        <is>
          <t>TC-Gateway-12</t>
        </is>
      </c>
      <c r="E912" s="12" t="inlineStr">
        <is>
          <t>Invalid XML Is Not Forwarded Downstream</t>
        </is>
      </c>
      <c r="F912" s="13" t="inlineStr">
        <is>
          <t>High</t>
        </is>
      </c>
      <c r="G912" s="12" t="inlineStr">
        <is>
          <t>A schema-invalid payload</t>
        </is>
      </c>
      <c r="H912" s="12" t="inlineStr">
        <is>
          <t>1. Submit it
2. Inspect downstream services for any call</t>
        </is>
      </c>
      <c r="I912" s="12" t="inlineStr">
        <is>
          <t>No downstream service receives the request; rejection is terminal at the gateway</t>
        </is>
      </c>
      <c r="J912" s="13" t="inlineStr">
        <is>
          <t>Not Tested</t>
        </is>
      </c>
      <c r="K912" s="13" t="inlineStr">
        <is>
          <t>Negative</t>
        </is>
      </c>
    </row>
    <row r="913" ht="36" customHeight="1">
      <c r="A913" s="12" t="inlineStr">
        <is>
          <t>EMI Task Coverage</t>
        </is>
      </c>
      <c r="B913" s="12" t="inlineStr">
        <is>
          <t>PoS Gateway Integration</t>
        </is>
      </c>
      <c r="C913" s="12" t="inlineStr">
        <is>
          <t>Validation</t>
        </is>
      </c>
      <c r="D913" s="13" t="inlineStr">
        <is>
          <t>TC-Gateway-13</t>
        </is>
      </c>
      <c r="E913" s="12" t="inlineStr">
        <is>
          <t>Malformed XML Is Rejected Cleanly</t>
        </is>
      </c>
      <c r="F913" s="13" t="inlineStr">
        <is>
          <t>High</t>
        </is>
      </c>
      <c r="G913" s="12" t="inlineStr">
        <is>
          <t>Gateway endpoint reachable</t>
        </is>
      </c>
      <c r="H913" s="12" t="inlineStr">
        <is>
          <t>1. Submit truncated XML, then XML with an unclosed element, then an empty body</t>
        </is>
      </c>
      <c r="I913" s="12" t="inlineStr">
        <is>
          <t>Each is rejected with a controlled error; none causes an unhandled failure</t>
        </is>
      </c>
      <c r="J913" s="13" t="inlineStr">
        <is>
          <t>Not Tested</t>
        </is>
      </c>
      <c r="K913" s="13" t="inlineStr">
        <is>
          <t>Negative</t>
        </is>
      </c>
    </row>
    <row r="914" ht="36" customHeight="1">
      <c r="A914" s="12" t="inlineStr">
        <is>
          <t>EMI Task Coverage</t>
        </is>
      </c>
      <c r="B914" s="12" t="inlineStr">
        <is>
          <t>PoS Gateway Integration</t>
        </is>
      </c>
      <c r="C914" s="12" t="inlineStr">
        <is>
          <t>Validation</t>
        </is>
      </c>
      <c r="D914" s="13" t="inlineStr">
        <is>
          <t>TC-Gateway-14</t>
        </is>
      </c>
      <c r="E914" s="12" t="inlineStr">
        <is>
          <t>Validation Errors Are Logged Without Exposing Cardholder Data</t>
        </is>
      </c>
      <c r="F914" s="13" t="inlineStr">
        <is>
          <t>High</t>
        </is>
      </c>
      <c r="G914" s="12" t="inlineStr">
        <is>
          <t>A schema-invalid payload containing card data</t>
        </is>
      </c>
      <c r="H914" s="12" t="inlineStr">
        <is>
          <t>1. Submit it
2. Inspect the validation logs</t>
        </is>
      </c>
      <c r="I914" s="12" t="inlineStr">
        <is>
          <t>Logs carry enough detail to troubleshoot and contain no sensitive cardholder data</t>
        </is>
      </c>
      <c r="J914" s="13" t="inlineStr">
        <is>
          <t>Not Tested</t>
        </is>
      </c>
      <c r="K914" s="13" t="inlineStr">
        <is>
          <t>Negative</t>
        </is>
      </c>
    </row>
    <row r="915" ht="36" customHeight="1">
      <c r="A915" s="12" t="inlineStr">
        <is>
          <t>EMI Task Coverage</t>
        </is>
      </c>
      <c r="B915" s="12" t="inlineStr">
        <is>
          <t>PoS Gateway Integration</t>
        </is>
      </c>
      <c r="C915" s="12" t="inlineStr">
        <is>
          <t>Mapping</t>
        </is>
      </c>
      <c r="D915" s="13" t="inlineStr">
        <is>
          <t>TC-Gateway-15</t>
        </is>
      </c>
      <c r="E915" s="12" t="inlineStr">
        <is>
          <t>Every Documented Field Maps to Its Internal Contract Field</t>
        </is>
      </c>
      <c r="F915" s="13" t="inlineStr">
        <is>
          <t>High</t>
        </is>
      </c>
      <c r="G915" s="12" t="inlineStr">
        <is>
          <t>A valid payload populating every mapped field</t>
        </is>
      </c>
      <c r="H915" s="12" t="inlineStr">
        <is>
          <t>1. Submit it
2. Compare the produced internal JSON against the documented mapping</t>
        </is>
      </c>
      <c r="I915" s="12" t="inlineStr">
        <is>
          <t>RRN, STAN, MerchantID, TerminalID, BankId, MCC, CardScheme, PAN, CardExpiryDate, TransactionType, Amount, EnglishCurrency, Result, ApprovalCode, EMV_Tags and the performance timestamps all map to their documented internal fields</t>
        </is>
      </c>
      <c r="J915" s="13" t="inlineStr">
        <is>
          <t>Not Tested</t>
        </is>
      </c>
      <c r="K915" s="13" t="inlineStr">
        <is>
          <t>Contract / API</t>
        </is>
      </c>
    </row>
    <row r="916" ht="36" customHeight="1">
      <c r="A916" s="12" t="inlineStr">
        <is>
          <t>EMI Task Coverage</t>
        </is>
      </c>
      <c r="B916" s="12" t="inlineStr">
        <is>
          <t>PoS Gateway Integration</t>
        </is>
      </c>
      <c r="C916" s="12" t="inlineStr">
        <is>
          <t>Mapping</t>
        </is>
      </c>
      <c r="D916" s="13" t="inlineStr">
        <is>
          <t>TC-Gateway-16</t>
        </is>
      </c>
      <c r="E916" s="12" t="inlineStr">
        <is>
          <t>Performance Timestamps Map to Start and End Correctly</t>
        </is>
      </c>
      <c r="F916" s="13" t="inlineStr">
        <is>
          <t>Medium</t>
        </is>
      </c>
      <c r="G916" s="12" t="inlineStr">
        <is>
          <t>A payload with distinct performance timestamps</t>
        </is>
      </c>
      <c r="H916" s="12" t="inlineStr">
        <is>
          <t>1. Submit it and inspect terminalStartAt and terminalEndAt</t>
        </is>
      </c>
      <c r="I916" s="12" t="inlineStr">
        <is>
          <t>The two timestamps map to the correct fields in the correct order with no transposition</t>
        </is>
      </c>
      <c r="J916" s="13" t="inlineStr">
        <is>
          <t>Not Tested</t>
        </is>
      </c>
      <c r="K916" s="13" t="inlineStr">
        <is>
          <t>Contract / API</t>
        </is>
      </c>
    </row>
    <row r="917" ht="36" customHeight="1">
      <c r="A917" s="12" t="inlineStr">
        <is>
          <t>EMI Task Coverage</t>
        </is>
      </c>
      <c r="B917" s="12" t="inlineStr">
        <is>
          <t>PoS Gateway Integration</t>
        </is>
      </c>
      <c r="C917" s="12" t="inlineStr">
        <is>
          <t>Mapping</t>
        </is>
      </c>
      <c r="D917" s="13" t="inlineStr">
        <is>
          <t>TC-Gateway-17</t>
        </is>
      </c>
      <c r="E917" s="12" t="inlineStr">
        <is>
          <t>Raw Document Is Referenced, Not Embedded</t>
        </is>
      </c>
      <c r="F917" s="13" t="inlineStr">
        <is>
          <t>High</t>
        </is>
      </c>
      <c r="G917" s="12" t="inlineStr">
        <is>
          <t>A valid payload</t>
        </is>
      </c>
      <c r="H917" s="12" t="inlineStr">
        <is>
          <t>1. Inspect the internal JSON produced</t>
        </is>
      </c>
      <c r="I917" s="12" t="inlineStr">
        <is>
          <t>The internal JSON carries rawPayloadRef pointing at the archived payload; the raw XML is not embedded in the JSON contract</t>
        </is>
      </c>
      <c r="J917" s="13" t="inlineStr">
        <is>
          <t>Not Tested</t>
        </is>
      </c>
      <c r="K917" s="13" t="inlineStr">
        <is>
          <t>Contract / API</t>
        </is>
      </c>
    </row>
    <row r="918" ht="36" customHeight="1">
      <c r="A918" s="12" t="inlineStr">
        <is>
          <t>EMI Task Coverage</t>
        </is>
      </c>
      <c r="B918" s="12" t="inlineStr">
        <is>
          <t>PoS Gateway Integration</t>
        </is>
      </c>
      <c r="C918" s="12" t="inlineStr">
        <is>
          <t>Mapping</t>
        </is>
      </c>
      <c r="D918" s="13" t="inlineStr">
        <is>
          <t>TC-Gateway-18</t>
        </is>
      </c>
      <c r="E918" s="12" t="inlineStr">
        <is>
          <t>Optional and Absent Fields Are Handled Without Failure</t>
        </is>
      </c>
      <c r="F918" s="13" t="inlineStr">
        <is>
          <t>Medium</t>
        </is>
      </c>
      <c r="G918" s="12" t="inlineStr">
        <is>
          <t>A schema-valid payload omitting every optional field</t>
        </is>
      </c>
      <c r="H918" s="12" t="inlineStr">
        <is>
          <t>1. Submit it</t>
        </is>
      </c>
      <c r="I918" s="12" t="inlineStr">
        <is>
          <t>Transformation succeeds and absent optional fields are represented consistently rather than as empty strings or nulls at random</t>
        </is>
      </c>
      <c r="J918" s="13" t="inlineStr">
        <is>
          <t>Not Tested</t>
        </is>
      </c>
      <c r="K918" s="13" t="inlineStr">
        <is>
          <t>Negative</t>
        </is>
      </c>
    </row>
    <row r="919" ht="36" customHeight="1">
      <c r="A919" s="12" t="inlineStr">
        <is>
          <t>EMI Task Coverage</t>
        </is>
      </c>
      <c r="B919" s="12" t="inlineStr">
        <is>
          <t>PoS Gateway Integration</t>
        </is>
      </c>
      <c r="C919" s="12" t="inlineStr">
        <is>
          <t>Amount</t>
        </is>
      </c>
      <c r="D919" s="13" t="inlineStr">
        <is>
          <t>TC-Gateway-19</t>
        </is>
      </c>
      <c r="E919" s="12" t="inlineStr">
        <is>
          <t>Amount Handling Uses BigDecimal With No Precision Loss</t>
        </is>
      </c>
      <c r="F919" s="13" t="inlineStr">
        <is>
          <t>High</t>
        </is>
      </c>
      <c r="G919" s="12" t="inlineStr">
        <is>
          <t>Payloads carrying amounts at high precision and at large magnitude</t>
        </is>
      </c>
      <c r="H919" s="12" t="inlineStr">
        <is>
          <t>1. Submit them and compare the internal amountMinor against the source</t>
        </is>
      </c>
      <c r="I919" s="12" t="inlineStr">
        <is>
          <t>No precision is lost and no float rounding is introduced</t>
        </is>
      </c>
      <c r="J919" s="13" t="inlineStr">
        <is>
          <t>Not Tested</t>
        </is>
      </c>
      <c r="K919" s="13" t="inlineStr">
        <is>
          <t>Functional</t>
        </is>
      </c>
    </row>
    <row r="920" ht="36" customHeight="1">
      <c r="A920" s="12" t="inlineStr">
        <is>
          <t>EMI Task Coverage</t>
        </is>
      </c>
      <c r="B920" s="12" t="inlineStr">
        <is>
          <t>PoS Gateway Integration</t>
        </is>
      </c>
      <c r="C920" s="12" t="inlineStr">
        <is>
          <t>Amount</t>
        </is>
      </c>
      <c r="D920" s="13" t="inlineStr">
        <is>
          <t>TC-Gateway-20</t>
        </is>
      </c>
      <c r="E920" s="12" t="inlineStr">
        <is>
          <t>Minor-Unit Conversion Is Explicitly Deferred</t>
        </is>
      </c>
      <c r="F920" s="13" t="inlineStr">
        <is>
          <t>Medium</t>
        </is>
      </c>
      <c r="G920" s="12" t="inlineStr">
        <is>
          <t>A non-SAR currency payload</t>
        </is>
      </c>
      <c r="H920" s="12" t="inlineStr">
        <is>
          <t>1. Submit it and record the behaviour</t>
        </is>
      </c>
      <c r="I920" s="12" t="inlineStr">
        <is>
          <t>Currency-specific minor-unit validation and conversion are a future phase. Record the current behaviour as the baseline; do not assert conversion that has not been built</t>
        </is>
      </c>
      <c r="J920" s="13" t="inlineStr">
        <is>
          <t>Not Tested</t>
        </is>
      </c>
      <c r="K920" s="13" t="inlineStr">
        <is>
          <t>Functional</t>
        </is>
      </c>
    </row>
    <row r="921" ht="36" customHeight="1">
      <c r="A921" s="12" t="inlineStr">
        <is>
          <t>EMI Task Coverage</t>
        </is>
      </c>
      <c r="B921" s="12" t="inlineStr">
        <is>
          <t>PoS Gateway Integration</t>
        </is>
      </c>
      <c r="C921" s="12" t="inlineStr">
        <is>
          <t>Merchant</t>
        </is>
      </c>
      <c r="D921" s="13" t="inlineStr">
        <is>
          <t>TC-Gateway-21</t>
        </is>
      </c>
      <c r="E921" s="12" t="inlineStr">
        <is>
          <t>MCC Mismatch Flags for Review and Does Not Reject</t>
        </is>
      </c>
      <c r="F921" s="13" t="inlineStr">
        <is>
          <t>High</t>
        </is>
      </c>
      <c r="G921" s="12" t="inlineStr">
        <is>
          <t>A payload whose MCC does not match the merchant record</t>
        </is>
      </c>
      <c r="H921" s="12" t="inlineStr">
        <is>
          <t>1. Submit it
2. Inspect the outcome and the review queue</t>
        </is>
      </c>
      <c r="I921" s="12" t="inlineStr">
        <is>
          <t>A review flag is raised and the transaction is not automatically rejected</t>
        </is>
      </c>
      <c r="J921" s="13" t="inlineStr">
        <is>
          <t>Not Tested</t>
        </is>
      </c>
      <c r="K921" s="13" t="inlineStr">
        <is>
          <t>Negative</t>
        </is>
      </c>
    </row>
    <row r="922" ht="36" customHeight="1">
      <c r="A922" s="12" t="inlineStr">
        <is>
          <t>EMI Task Coverage</t>
        </is>
      </c>
      <c r="B922" s="12" t="inlineStr">
        <is>
          <t>PoS Gateway Integration</t>
        </is>
      </c>
      <c r="C922" s="12" t="inlineStr">
        <is>
          <t>Idempotency</t>
        </is>
      </c>
      <c r="D922" s="13" t="inlineStr">
        <is>
          <t>TC-Gateway-22</t>
        </is>
      </c>
      <c r="E922" s="12" t="inlineStr">
        <is>
          <t>Idempotency Key Is TerminalID Plus RRN Plus STAN</t>
        </is>
      </c>
      <c r="F922" s="13" t="inlineStr">
        <is>
          <t>High</t>
        </is>
      </c>
      <c r="G922" s="12" t="inlineStr">
        <is>
          <t>A processed transaction</t>
        </is>
      </c>
      <c r="H922" s="12" t="inlineStr">
        <is>
          <t>1. Inspect the idempotency key used</t>
        </is>
      </c>
      <c r="I922" s="12" t="inlineStr">
        <is>
          <t>It is composed of TerminalID, RRN and STAN exactly as specified</t>
        </is>
      </c>
      <c r="J922" s="13" t="inlineStr">
        <is>
          <t>Not Tested</t>
        </is>
      </c>
      <c r="K922" s="13" t="inlineStr">
        <is>
          <t>Integration</t>
        </is>
      </c>
    </row>
    <row r="923" ht="36" customHeight="1">
      <c r="A923" s="12" t="inlineStr">
        <is>
          <t>EMI Task Coverage</t>
        </is>
      </c>
      <c r="B923" s="12" t="inlineStr">
        <is>
          <t>PoS Gateway Integration</t>
        </is>
      </c>
      <c r="C923" s="12" t="inlineStr">
        <is>
          <t>Idempotency</t>
        </is>
      </c>
      <c r="D923" s="13" t="inlineStr">
        <is>
          <t>TC-Gateway-23</t>
        </is>
      </c>
      <c r="E923" s="12" t="inlineStr">
        <is>
          <t>Retransmission Is Not Posted to the Subledger Again</t>
        </is>
      </c>
      <c r="F923" s="13" t="inlineStr">
        <is>
          <t>High</t>
        </is>
      </c>
      <c r="G923" s="12" t="inlineStr">
        <is>
          <t>A transaction already processed</t>
        </is>
      </c>
      <c r="H923" s="12" t="inlineStr">
        <is>
          <t>1. Retransmit it with the same idempotency key
2. Inspect the subledger</t>
        </is>
      </c>
      <c r="I923" s="12" t="inlineStr">
        <is>
          <t>No second subledger posting is created</t>
        </is>
      </c>
      <c r="J923" s="13" t="inlineStr">
        <is>
          <t>Not Tested</t>
        </is>
      </c>
      <c r="K923" s="13" t="inlineStr">
        <is>
          <t>Integration</t>
        </is>
      </c>
    </row>
    <row r="924" ht="36" customHeight="1">
      <c r="A924" s="12" t="inlineStr">
        <is>
          <t>EMI Task Coverage</t>
        </is>
      </c>
      <c r="B924" s="12" t="inlineStr">
        <is>
          <t>PoS Gateway Integration</t>
        </is>
      </c>
      <c r="C924" s="12" t="inlineStr">
        <is>
          <t>Idempotency</t>
        </is>
      </c>
      <c r="D924" s="13" t="inlineStr">
        <is>
          <t>TC-Gateway-24</t>
        </is>
      </c>
      <c r="E924" s="12" t="inlineStr">
        <is>
          <t>Retransmission Returns the Previously Computed Result</t>
        </is>
      </c>
      <c r="F924" s="13" t="inlineStr">
        <is>
          <t>High</t>
        </is>
      </c>
      <c r="G924" s="12" t="inlineStr">
        <is>
          <t>A transaction already processed</t>
        </is>
      </c>
      <c r="H924" s="12" t="inlineStr">
        <is>
          <t>1. Retransmit it and compare the response with the original</t>
        </is>
      </c>
      <c r="I924" s="12" t="inlineStr">
        <is>
          <t>The gateway returns the previously computed processing result rather than reprocessing</t>
        </is>
      </c>
      <c r="J924" s="13" t="inlineStr">
        <is>
          <t>Not Tested</t>
        </is>
      </c>
      <c r="K924" s="13" t="inlineStr">
        <is>
          <t>Integration</t>
        </is>
      </c>
    </row>
    <row r="925" ht="36" customHeight="1">
      <c r="A925" s="12" t="inlineStr">
        <is>
          <t>EMI Task Coverage</t>
        </is>
      </c>
      <c r="B925" s="12" t="inlineStr">
        <is>
          <t>PoS Gateway Integration</t>
        </is>
      </c>
      <c r="C925" s="12" t="inlineStr">
        <is>
          <t>Idempotency</t>
        </is>
      </c>
      <c r="D925" s="13" t="inlineStr">
        <is>
          <t>TC-Gateway-25</t>
        </is>
      </c>
      <c r="E925" s="12" t="inlineStr">
        <is>
          <t>Different STAN or RRN Is Treated as a New Transaction</t>
        </is>
      </c>
      <c r="F925" s="13" t="inlineStr">
        <is>
          <t>High</t>
        </is>
      </c>
      <c r="G925" s="12" t="inlineStr">
        <is>
          <t>Two payloads differing only in STAN, then only in RRN</t>
        </is>
      </c>
      <c r="H925" s="12" t="inlineStr">
        <is>
          <t>1. Submit each pair</t>
        </is>
      </c>
      <c r="I925" s="12" t="inlineStr">
        <is>
          <t>Each is treated as a distinct transaction; the key is not collapsed to the terminal alone</t>
        </is>
      </c>
      <c r="J925" s="13" t="inlineStr">
        <is>
          <t>Not Tested</t>
        </is>
      </c>
      <c r="K925" s="13" t="inlineStr">
        <is>
          <t>Integration</t>
        </is>
      </c>
    </row>
    <row r="926" ht="36" customHeight="1">
      <c r="A926" s="12" t="inlineStr">
        <is>
          <t>EMI Task Coverage</t>
        </is>
      </c>
      <c r="B926" s="12" t="inlineStr">
        <is>
          <t>PoS Gateway Integration</t>
        </is>
      </c>
      <c r="C926" s="12" t="inlineStr">
        <is>
          <t>Archiving</t>
        </is>
      </c>
      <c r="D926" s="13" t="inlineStr">
        <is>
          <t>TC-Gateway-26</t>
        </is>
      </c>
      <c r="E926" s="12" t="inlineStr">
        <is>
          <t>Raw Inbound and Outbound Payloads Are Archived Unmodified</t>
        </is>
      </c>
      <c r="F926" s="13" t="inlineStr">
        <is>
          <t>High</t>
        </is>
      </c>
      <c r="G926" s="12" t="inlineStr">
        <is>
          <t>A processed transaction</t>
        </is>
      </c>
      <c r="H926" s="12" t="inlineStr">
        <is>
          <t>1. Compare the archived inbound XML byte-for-byte against the source
2. Compare the archived outbound response against what was returned</t>
        </is>
      </c>
      <c r="I926" s="12" t="inlineStr">
        <is>
          <t>Both are archived without modification</t>
        </is>
      </c>
      <c r="J926" s="13" t="inlineStr">
        <is>
          <t>Not Tested</t>
        </is>
      </c>
      <c r="K926" s="13" t="inlineStr">
        <is>
          <t>Security</t>
        </is>
      </c>
    </row>
    <row r="927" ht="36" customHeight="1">
      <c r="A927" s="12" t="inlineStr">
        <is>
          <t>EMI Task Coverage</t>
        </is>
      </c>
      <c r="B927" s="12" t="inlineStr">
        <is>
          <t>PoS Gateway Integration</t>
        </is>
      </c>
      <c r="C927" s="12" t="inlineStr">
        <is>
          <t>Archiving</t>
        </is>
      </c>
      <c r="D927" s="13" t="inlineStr">
        <is>
          <t>TC-Gateway-27</t>
        </is>
      </c>
      <c r="E927" s="12" t="inlineStr">
        <is>
          <t>Archiving Happens Even When Downstream Processing Fails</t>
        </is>
      </c>
      <c r="F927" s="13" t="inlineStr">
        <is>
          <t>High</t>
        </is>
      </c>
      <c r="G927" s="12" t="inlineStr">
        <is>
          <t>A payload whose downstream processing is forced to fail</t>
        </is>
      </c>
      <c r="H927" s="12" t="inlineStr">
        <is>
          <t>1. Submit it
2. Inspect the archive</t>
        </is>
      </c>
      <c r="I927" s="12" t="inlineStr">
        <is>
          <t>The raw inbound payload is archived regardless of the downstream outcome</t>
        </is>
      </c>
      <c r="J927" s="13" t="inlineStr">
        <is>
          <t>Not Tested</t>
        </is>
      </c>
      <c r="K927" s="13" t="inlineStr">
        <is>
          <t>Negative</t>
        </is>
      </c>
    </row>
    <row r="928" ht="36" customHeight="1">
      <c r="A928" s="12" t="inlineStr">
        <is>
          <t>EMI Task Coverage</t>
        </is>
      </c>
      <c r="B928" s="12" t="inlineStr">
        <is>
          <t>PoS Gateway Integration</t>
        </is>
      </c>
      <c r="C928" s="12" t="inlineStr">
        <is>
          <t>Archiving</t>
        </is>
      </c>
      <c r="D928" s="13" t="inlineStr">
        <is>
          <t>TC-Gateway-28</t>
        </is>
      </c>
      <c r="E928" s="12" t="inlineStr">
        <is>
          <t>Archived Data Meets Encryption, Access and Retention Requirements</t>
        </is>
      </c>
      <c r="F928" s="13" t="inlineStr">
        <is>
          <t>High</t>
        </is>
      </c>
      <c r="G928" s="12" t="inlineStr">
        <is>
          <t>Archived payloads present</t>
        </is>
      </c>
      <c r="H928" s="12" t="inlineStr">
        <is>
          <t>1. Inspect the archive's encryption, access control and retention configuration</t>
        </is>
      </c>
      <c r="I928" s="12" t="inlineStr">
        <is>
          <t>All three meet the applicable requirements; the archive is not a plain unprotected store</t>
        </is>
      </c>
      <c r="J928" s="13" t="inlineStr">
        <is>
          <t>Not Tested</t>
        </is>
      </c>
      <c r="K928" s="13" t="inlineStr">
        <is>
          <t>Security</t>
        </is>
      </c>
    </row>
    <row r="929" ht="36" customHeight="1">
      <c r="A929" s="12" t="inlineStr">
        <is>
          <t>EMI Task Coverage</t>
        </is>
      </c>
      <c r="B929" s="12" t="inlineStr">
        <is>
          <t>PoS Gateway Integration</t>
        </is>
      </c>
      <c r="C929" s="12" t="inlineStr">
        <is>
          <t>Schema Independence</t>
        </is>
      </c>
      <c r="D929" s="13" t="inlineStr">
        <is>
          <t>TC-Gateway-29</t>
        </is>
      </c>
      <c r="E929" s="12" t="inlineStr">
        <is>
          <t>A Partner Schema Change Is Absorbed in the Mapping Layer</t>
        </is>
      </c>
      <c r="F929" s="13" t="inlineStr">
        <is>
          <t>High</t>
        </is>
      </c>
      <c r="G929" s="12" t="inlineStr">
        <is>
          <t>A partner payload with an added field and a renamed attribute</t>
        </is>
      </c>
      <c r="H929" s="12" t="inlineStr">
        <is>
          <t>1. Submit it
2. Inspect whether Payment Orchestrator or Product Management Service required any change</t>
        </is>
      </c>
      <c r="I929" s="12" t="inlineStr">
        <is>
          <t>The change is absorbed in the gateway mapping layer and no downstream service is modified while the internal JSON contract is unchanged</t>
        </is>
      </c>
      <c r="J929" s="13" t="inlineStr">
        <is>
          <t>Not Tested</t>
        </is>
      </c>
      <c r="K929" s="13" t="inlineStr">
        <is>
          <t>Architecture</t>
        </is>
      </c>
    </row>
    <row r="930" ht="36" customHeight="1">
      <c r="A930" s="12" t="inlineStr">
        <is>
          <t>EMI Task Coverage</t>
        </is>
      </c>
      <c r="B930" s="12" t="inlineStr">
        <is>
          <t>PoS Gateway Integration</t>
        </is>
      </c>
      <c r="C930" s="12" t="inlineStr">
        <is>
          <t>Sensitive Data</t>
        </is>
      </c>
      <c r="D930" s="13" t="inlineStr">
        <is>
          <t>TC-Gateway-30</t>
        </is>
      </c>
      <c r="E930" s="12" t="inlineStr">
        <is>
          <t>Full PAN Is Never Accepted or Stored</t>
        </is>
      </c>
      <c r="F930" s="13" t="inlineStr">
        <is>
          <t>High</t>
        </is>
      </c>
      <c r="G930" s="12" t="inlineStr">
        <is>
          <t>A payload carrying a full PAN</t>
        </is>
      </c>
      <c r="H930" s="12" t="inlineStr">
        <is>
          <t>1. Submit it
2. Search the gateway store, the internal JSON and the archive for the full PAN</t>
        </is>
      </c>
      <c r="I930" s="12" t="inlineStr">
        <is>
          <t>The full PAN is never accepted or stored anywhere; only the partner-supplied masked PAN is retained</t>
        </is>
      </c>
      <c r="J930" s="13" t="inlineStr">
        <is>
          <t>Not Tested</t>
        </is>
      </c>
      <c r="K930" s="13" t="inlineStr">
        <is>
          <t>Security</t>
        </is>
      </c>
    </row>
    <row r="931" ht="36" customHeight="1">
      <c r="A931" s="12" t="inlineStr">
        <is>
          <t>EMI Task Coverage</t>
        </is>
      </c>
      <c r="B931" s="12" t="inlineStr">
        <is>
          <t>PoS Gateway Integration</t>
        </is>
      </c>
      <c r="C931" s="12" t="inlineStr">
        <is>
          <t>Sensitive Data</t>
        </is>
      </c>
      <c r="D931" s="13" t="inlineStr">
        <is>
          <t>TC-Gateway-31</t>
        </is>
      </c>
      <c r="E931" s="12" t="inlineStr">
        <is>
          <t>EMV Data Is Passed Through but Not Interpreted</t>
        </is>
      </c>
      <c r="F931" s="13" t="inlineStr">
        <is>
          <t>High</t>
        </is>
      </c>
      <c r="G931" s="12" t="inlineStr">
        <is>
          <t>A payload carrying EMV tags</t>
        </is>
      </c>
      <c r="H931" s="12" t="inlineStr">
        <is>
          <t>1. Submit it
2. Trace whether any business decision reads the EMV data</t>
        </is>
      </c>
      <c r="I931" s="12" t="inlineStr">
        <is>
          <t>EMV data is retained for audit and dispute purposes and no business logic interprets it</t>
        </is>
      </c>
      <c r="J931" s="13" t="inlineStr">
        <is>
          <t>Not Tested</t>
        </is>
      </c>
      <c r="K931" s="13" t="inlineStr">
        <is>
          <t>Integration</t>
        </is>
      </c>
    </row>
    <row r="932" ht="36" customHeight="1">
      <c r="A932" s="12" t="inlineStr">
        <is>
          <t>EMI Task Coverage</t>
        </is>
      </c>
      <c r="B932" s="12" t="inlineStr">
        <is>
          <t>PoS Gateway Integration</t>
        </is>
      </c>
      <c r="C932" s="12" t="inlineStr">
        <is>
          <t>Sensitive Data</t>
        </is>
      </c>
      <c r="D932" s="13" t="inlineStr">
        <is>
          <t>TC-Gateway-32</t>
        </is>
      </c>
      <c r="E932" s="12" t="inlineStr">
        <is>
          <t>Sensitive Data Never Reaches Generic Application Logs</t>
        </is>
      </c>
      <c r="F932" s="13" t="inlineStr">
        <is>
          <t>High</t>
        </is>
      </c>
      <c r="G932" s="12" t="inlineStr">
        <is>
          <t>A processed transaction carrying card data</t>
        </is>
      </c>
      <c r="H932" s="12" t="inlineStr">
        <is>
          <t>1. Inspect the generic application logs</t>
        </is>
      </c>
      <c r="I932" s="12" t="inlineStr">
        <is>
          <t>No masked or unmasked card data, EMV data or archived sensitive content appears in generic logs</t>
        </is>
      </c>
      <c r="J932" s="13" t="inlineStr">
        <is>
          <t>Not Tested</t>
        </is>
      </c>
      <c r="K932" s="13" t="inlineStr">
        <is>
          <t>Security</t>
        </is>
      </c>
    </row>
    <row r="933" ht="36" customHeight="1">
      <c r="A933" s="12" t="inlineStr">
        <is>
          <t>EMI Task Coverage</t>
        </is>
      </c>
      <c r="B933" s="12" t="inlineStr">
        <is>
          <t>Admin POS Surfaces</t>
        </is>
      </c>
      <c r="C933" s="12" t="inlineStr">
        <is>
          <t>Device Txns</t>
        </is>
      </c>
      <c r="D933" s="13" t="inlineStr">
        <is>
          <t>TC-AdminPos-01</t>
        </is>
      </c>
      <c r="E933" s="12" t="inlineStr">
        <is>
          <t>Admin Views POS Transactions Across All Devices</t>
        </is>
      </c>
      <c r="F933" s="13" t="inlineStr">
        <is>
          <t>High</t>
        </is>
      </c>
      <c r="G933" s="12" t="inlineStr">
        <is>
          <t>POS transactions across several devices and businesses; admin signed in</t>
        </is>
      </c>
      <c r="H933" s="12" t="inlineStr">
        <is>
          <t>1. Open the POS Device Transactions view</t>
        </is>
      </c>
      <c r="I933" s="12" t="inlineStr">
        <is>
          <t>A paginated list of POS transactions across all devices is shown</t>
        </is>
      </c>
      <c r="J933" s="13" t="inlineStr">
        <is>
          <t>Not Tested</t>
        </is>
      </c>
      <c r="K933" s="13" t="inlineStr">
        <is>
          <t>Functional</t>
        </is>
      </c>
    </row>
    <row r="934" ht="36" customHeight="1">
      <c r="A934" s="12" t="inlineStr">
        <is>
          <t>EMI Task Coverage</t>
        </is>
      </c>
      <c r="B934" s="12" t="inlineStr">
        <is>
          <t>Admin POS Surfaces</t>
        </is>
      </c>
      <c r="C934" s="12" t="inlineStr">
        <is>
          <t>Device Txns</t>
        </is>
      </c>
      <c r="D934" s="13" t="inlineStr">
        <is>
          <t>TC-AdminPos-02</t>
        </is>
      </c>
      <c r="E934" s="12" t="inlineStr">
        <is>
          <t>Admin Filters or Navigates to a Selected Device or TID</t>
        </is>
      </c>
      <c r="F934" s="13" t="inlineStr">
        <is>
          <t>High</t>
        </is>
      </c>
      <c r="G934" s="12" t="inlineStr">
        <is>
          <t>A populated transaction list</t>
        </is>
      </c>
      <c r="H934" s="12" t="inlineStr">
        <is>
          <t>1. Filter by TID, then navigate from a device to its transactions</t>
        </is>
      </c>
      <c r="I934" s="12" t="inlineStr">
        <is>
          <t>Only that device's transactions are shown and the TID in view matches the selection</t>
        </is>
      </c>
      <c r="J934" s="13" t="inlineStr">
        <is>
          <t>Not Tested</t>
        </is>
      </c>
      <c r="K934" s="13" t="inlineStr">
        <is>
          <t>Functional</t>
        </is>
      </c>
    </row>
    <row r="935" ht="36" customHeight="1">
      <c r="A935" s="12" t="inlineStr">
        <is>
          <t>EMI Task Coverage</t>
        </is>
      </c>
      <c r="B935" s="12" t="inlineStr">
        <is>
          <t>Admin POS Surfaces</t>
        </is>
      </c>
      <c r="C935" s="12" t="inlineStr">
        <is>
          <t>Device Txns</t>
        </is>
      </c>
      <c r="D935" s="13" t="inlineStr">
        <is>
          <t>TC-AdminPos-03</t>
        </is>
      </c>
      <c r="E935" s="12" t="inlineStr">
        <is>
          <t>Backend-Supported Filters Work With Pagination</t>
        </is>
      </c>
      <c r="F935" s="13" t="inlineStr">
        <is>
          <t>High</t>
        </is>
      </c>
      <c r="G935" s="12" t="inlineStr">
        <is>
          <t>A long transaction list</t>
        </is>
      </c>
      <c r="H935" s="12" t="inlineStr">
        <is>
          <t>1. Apply a filter, then page through the results</t>
        </is>
      </c>
      <c r="I935" s="12" t="inlineStr">
        <is>
          <t>The filter persists across pages and paging is stable with no duplicated or skipped rows</t>
        </is>
      </c>
      <c r="J935" s="13" t="inlineStr">
        <is>
          <t>Not Tested</t>
        </is>
      </c>
      <c r="K935" s="13" t="inlineStr">
        <is>
          <t>Integration</t>
        </is>
      </c>
    </row>
    <row r="936" ht="36" customHeight="1">
      <c r="A936" s="12" t="inlineStr">
        <is>
          <t>EMI Task Coverage</t>
        </is>
      </c>
      <c r="B936" s="12" t="inlineStr">
        <is>
          <t>Admin POS Surfaces</t>
        </is>
      </c>
      <c r="C936" s="12" t="inlineStr">
        <is>
          <t>Device Txns</t>
        </is>
      </c>
      <c r="D936" s="13" t="inlineStr">
        <is>
          <t>TC-AdminPos-04</t>
        </is>
      </c>
      <c r="E936" s="12" t="inlineStr">
        <is>
          <t>Filters Can Be Reset</t>
        </is>
      </c>
      <c r="F936" s="13" t="inlineStr">
        <is>
          <t>Medium</t>
        </is>
      </c>
      <c r="G936" s="12" t="inlineStr">
        <is>
          <t>Filters applied</t>
        </is>
      </c>
      <c r="H936" s="12" t="inlineStr">
        <is>
          <t>1. Reset the filters</t>
        </is>
      </c>
      <c r="I936" s="12" t="inlineStr">
        <is>
          <t>The list returns to the unfiltered state and pagination resets with it</t>
        </is>
      </c>
      <c r="J936" s="13" t="inlineStr">
        <is>
          <t>Not Tested</t>
        </is>
      </c>
      <c r="K936" s="13" t="inlineStr">
        <is>
          <t>Functional</t>
        </is>
      </c>
    </row>
    <row r="937" ht="36" customHeight="1">
      <c r="A937" s="12" t="inlineStr">
        <is>
          <t>EMI Task Coverage</t>
        </is>
      </c>
      <c r="B937" s="12" t="inlineStr">
        <is>
          <t>Admin POS Surfaces</t>
        </is>
      </c>
      <c r="C937" s="12" t="inlineStr">
        <is>
          <t>Device Txns</t>
        </is>
      </c>
      <c r="D937" s="13" t="inlineStr">
        <is>
          <t>TC-AdminPos-05</t>
        </is>
      </c>
      <c r="E937" s="12" t="inlineStr">
        <is>
          <t>Loading, Empty and Error States Are Handled</t>
        </is>
      </c>
      <c r="F937" s="13" t="inlineStr">
        <is>
          <t>High</t>
        </is>
      </c>
      <c r="G937" s="12" t="inlineStr">
        <is>
          <t>A slow response, an empty result and a failing endpoint</t>
        </is>
      </c>
      <c r="H937" s="12" t="inlineStr">
        <is>
          <t>1. Trigger each condition</t>
        </is>
      </c>
      <c r="I937" s="12" t="inlineStr">
        <is>
          <t>A loading state is shown, an empty result shows an empty state rather than a blank grid, and a failure shows a controlled error with a retry</t>
        </is>
      </c>
      <c r="J937" s="13" t="inlineStr">
        <is>
          <t>Not Tested</t>
        </is>
      </c>
      <c r="K937" s="13" t="inlineStr">
        <is>
          <t>Negative</t>
        </is>
      </c>
    </row>
    <row r="938" ht="36" customHeight="1">
      <c r="A938" s="12" t="inlineStr">
        <is>
          <t>EMI Task Coverage</t>
        </is>
      </c>
      <c r="B938" s="12" t="inlineStr">
        <is>
          <t>Admin POS Surfaces</t>
        </is>
      </c>
      <c r="C938" s="12" t="inlineStr">
        <is>
          <t>ACH</t>
        </is>
      </c>
      <c r="D938" s="13" t="inlineStr">
        <is>
          <t>TC-AdminPos-06</t>
        </is>
      </c>
      <c r="E938" s="12" t="inlineStr">
        <is>
          <t>Admin Views ACH Records Across All Devices</t>
        </is>
      </c>
      <c r="F938" s="13" t="inlineStr">
        <is>
          <t>High</t>
        </is>
      </c>
      <c r="G938" s="12" t="inlineStr">
        <is>
          <t>ACH records present; admin signed in</t>
        </is>
      </c>
      <c r="H938" s="12" t="inlineStr">
        <is>
          <t>1. Open the ACH Records view</t>
        </is>
      </c>
      <c r="I938" s="12" t="inlineStr">
        <is>
          <t>A paginated list of ACH records across all devices is shown</t>
        </is>
      </c>
      <c r="J938" s="13" t="inlineStr">
        <is>
          <t>Not Tested</t>
        </is>
      </c>
      <c r="K938" s="13" t="inlineStr">
        <is>
          <t>Functional</t>
        </is>
      </c>
    </row>
    <row r="939" ht="36" customHeight="1">
      <c r="A939" s="12" t="inlineStr">
        <is>
          <t>EMI Task Coverage</t>
        </is>
      </c>
      <c r="B939" s="12" t="inlineStr">
        <is>
          <t>Admin POS Surfaces</t>
        </is>
      </c>
      <c r="C939" s="12" t="inlineStr">
        <is>
          <t>ACH</t>
        </is>
      </c>
      <c r="D939" s="13" t="inlineStr">
        <is>
          <t>TC-AdminPos-07</t>
        </is>
      </c>
      <c r="E939" s="12" t="inlineStr">
        <is>
          <t>ACH Filters Including TID Apply and Reset</t>
        </is>
      </c>
      <c r="F939" s="13" t="inlineStr">
        <is>
          <t>High</t>
        </is>
      </c>
      <c r="G939" s="12" t="inlineStr">
        <is>
          <t>ACH records across several TIDs</t>
        </is>
      </c>
      <c r="H939" s="12" t="inlineStr">
        <is>
          <t>1. Apply the backend-supported filters including TID
2. Reset them</t>
        </is>
      </c>
      <c r="I939" s="12" t="inlineStr">
        <is>
          <t>Filters return the correct subset where TID is available and reset restores the full list</t>
        </is>
      </c>
      <c r="J939" s="13" t="inlineStr">
        <is>
          <t>Not Tested</t>
        </is>
      </c>
      <c r="K939" s="13" t="inlineStr">
        <is>
          <t>Functional</t>
        </is>
      </c>
    </row>
    <row r="940" ht="36" customHeight="1">
      <c r="A940" s="12" t="inlineStr">
        <is>
          <t>EMI Task Coverage</t>
        </is>
      </c>
      <c r="B940" s="12" t="inlineStr">
        <is>
          <t>Admin POS Surfaces</t>
        </is>
      </c>
      <c r="C940" s="12" t="inlineStr">
        <is>
          <t>ACH</t>
        </is>
      </c>
      <c r="D940" s="13" t="inlineStr">
        <is>
          <t>TC-AdminPos-08</t>
        </is>
      </c>
      <c r="E940" s="12" t="inlineStr">
        <is>
          <t>Only Backend-Permitted Actions Are Displayed</t>
        </is>
      </c>
      <c r="F940" s="13" t="inlineStr">
        <is>
          <t>High</t>
        </is>
      </c>
      <c r="G940" s="12" t="inlineStr">
        <is>
          <t>ACH records in states permitting different actions</t>
        </is>
      </c>
      <c r="H940" s="12" t="inlineStr">
        <is>
          <t>1. Compare the actions shown per record against those the backend reports as available</t>
        </is>
      </c>
      <c r="I940" s="12" t="inlineStr">
        <is>
          <t>Only the actions the backend returns as available are displayed; the UI never offers an action the backend would refuse</t>
        </is>
      </c>
      <c r="J940" s="13" t="inlineStr">
        <is>
          <t>Not Tested</t>
        </is>
      </c>
      <c r="K940" s="13" t="inlineStr">
        <is>
          <t>Functional</t>
        </is>
      </c>
    </row>
    <row r="941" ht="36" customHeight="1">
      <c r="A941" s="12" t="inlineStr">
        <is>
          <t>EMI Task Coverage</t>
        </is>
      </c>
      <c r="B941" s="12" t="inlineStr">
        <is>
          <t>Admin POS Surfaces</t>
        </is>
      </c>
      <c r="C941" s="12" t="inlineStr">
        <is>
          <t>ACH</t>
        </is>
      </c>
      <c r="D941" s="13" t="inlineStr">
        <is>
          <t>TC-AdminPos-09</t>
        </is>
      </c>
      <c r="E941" s="12" t="inlineStr">
        <is>
          <t>Release Requires Confirmation and Is Submitted Through the Backend</t>
        </is>
      </c>
      <c r="F941" s="13" t="inlineStr">
        <is>
          <t>High</t>
        </is>
      </c>
      <c r="G941" s="12" t="inlineStr">
        <is>
          <t>An ACH record with release available</t>
        </is>
      </c>
      <c r="H941" s="12" t="inlineStr">
        <is>
          <t>1. Trigger release
2. Observe the confirmation step
3. Confirm and inspect the request</t>
        </is>
      </c>
      <c r="I941" s="12" t="inlineStr">
        <is>
          <t>A confirmation is required before submission and the action is performed through the backend, not simulated client-side</t>
        </is>
      </c>
      <c r="J941" s="13" t="inlineStr">
        <is>
          <t>Not Tested</t>
        </is>
      </c>
      <c r="K941" s="13" t="inlineStr">
        <is>
          <t>Functional</t>
        </is>
      </c>
    </row>
    <row r="942" ht="36" customHeight="1">
      <c r="A942" s="12" t="inlineStr">
        <is>
          <t>EMI Task Coverage</t>
        </is>
      </c>
      <c r="B942" s="12" t="inlineStr">
        <is>
          <t>Admin POS Surfaces</t>
        </is>
      </c>
      <c r="C942" s="12" t="inlineStr">
        <is>
          <t>ACH</t>
        </is>
      </c>
      <c r="D942" s="13" t="inlineStr">
        <is>
          <t>TC-AdminPos-10</t>
        </is>
      </c>
      <c r="E942" s="12" t="inlineStr">
        <is>
          <t>Reject Requires Confirmation and Refreshes State</t>
        </is>
      </c>
      <c r="F942" s="13" t="inlineStr">
        <is>
          <t>High</t>
        </is>
      </c>
      <c r="G942" s="12" t="inlineStr">
        <is>
          <t>An ACH record with reject available</t>
        </is>
      </c>
      <c r="H942" s="12" t="inlineStr">
        <is>
          <t>1. Trigger reject, confirm, and observe the record</t>
        </is>
      </c>
      <c r="I942" s="12" t="inlineStr">
        <is>
          <t>The record state refreshes after success and reflects what the backend returns</t>
        </is>
      </c>
      <c r="J942" s="13" t="inlineStr">
        <is>
          <t>Not Tested</t>
        </is>
      </c>
      <c r="K942" s="13" t="inlineStr">
        <is>
          <t>Functional</t>
        </is>
      </c>
    </row>
    <row r="943" ht="36" customHeight="1">
      <c r="A943" s="12" t="inlineStr">
        <is>
          <t>EMI Task Coverage</t>
        </is>
      </c>
      <c r="B943" s="12" t="inlineStr">
        <is>
          <t>Admin POS Surfaces</t>
        </is>
      </c>
      <c r="C943" s="12" t="inlineStr">
        <is>
          <t>ACH</t>
        </is>
      </c>
      <c r="D943" s="13" t="inlineStr">
        <is>
          <t>TC-AdminPos-11</t>
        </is>
      </c>
      <c r="E943" s="12" t="inlineStr">
        <is>
          <t>Cancelling a Confirmation Performs No Action</t>
        </is>
      </c>
      <c r="F943" s="13" t="inlineStr">
        <is>
          <t>High</t>
        </is>
      </c>
      <c r="G943" s="12" t="inlineStr">
        <is>
          <t>An ACH record with an action available</t>
        </is>
      </c>
      <c r="H943" s="12" t="inlineStr">
        <is>
          <t>1. Trigger the action and cancel at the confirmation step
2. Inspect the record and the network calls</t>
        </is>
      </c>
      <c r="I943" s="12" t="inlineStr">
        <is>
          <t>No request is sent and the record is unchanged</t>
        </is>
      </c>
      <c r="J943" s="13" t="inlineStr">
        <is>
          <t>Not Tested</t>
        </is>
      </c>
      <c r="K943" s="13" t="inlineStr">
        <is>
          <t>Functional</t>
        </is>
      </c>
    </row>
    <row r="944" ht="36" customHeight="1">
      <c r="A944" s="12" t="inlineStr">
        <is>
          <t>EMI Task Coverage</t>
        </is>
      </c>
      <c r="B944" s="12" t="inlineStr">
        <is>
          <t>Admin POS Surfaces</t>
        </is>
      </c>
      <c r="C944" s="12" t="inlineStr">
        <is>
          <t>ACH</t>
        </is>
      </c>
      <c r="D944" s="13" t="inlineStr">
        <is>
          <t>TC-AdminPos-12</t>
        </is>
      </c>
      <c r="E944" s="12" t="inlineStr">
        <is>
          <t>Action-Progress, Success and Error States Are Handled</t>
        </is>
      </c>
      <c r="F944" s="13" t="inlineStr">
        <is>
          <t>High</t>
        </is>
      </c>
      <c r="G944" s="12" t="inlineStr">
        <is>
          <t>An action that is slow, one that succeeds and one that fails</t>
        </is>
      </c>
      <c r="H944" s="12" t="inlineStr">
        <is>
          <t>1. Trigger each</t>
        </is>
      </c>
      <c r="I944" s="12" t="inlineStr">
        <is>
          <t>Progress is indicated, success refreshes the record, and failure shows a controlled error leaving the record in its prior state</t>
        </is>
      </c>
      <c r="J944" s="13" t="inlineStr">
        <is>
          <t>Not Tested</t>
        </is>
      </c>
      <c r="K944" s="13" t="inlineStr">
        <is>
          <t>Negative</t>
        </is>
      </c>
    </row>
    <row r="945" ht="36" customHeight="1">
      <c r="A945" s="12" t="inlineStr">
        <is>
          <t>EMI Task Coverage</t>
        </is>
      </c>
      <c r="B945" s="12" t="inlineStr">
        <is>
          <t>Admin POS Surfaces</t>
        </is>
      </c>
      <c r="C945" s="12" t="inlineStr">
        <is>
          <t>ACH</t>
        </is>
      </c>
      <c r="D945" s="13" t="inlineStr">
        <is>
          <t>TC-AdminPos-13</t>
        </is>
      </c>
      <c r="E945" s="12" t="inlineStr">
        <is>
          <t>A Failed Action Does Not Optimistically Change the Displayed State</t>
        </is>
      </c>
      <c r="F945" s="13" t="inlineStr">
        <is>
          <t>High</t>
        </is>
      </c>
      <c r="G945" s="12" t="inlineStr">
        <is>
          <t>An action forced to fail at the backend</t>
        </is>
      </c>
      <c r="H945" s="12" t="inlineStr">
        <is>
          <t>1. Trigger it and observe the row</t>
        </is>
      </c>
      <c r="I945" s="12" t="inlineStr">
        <is>
          <t>The displayed state is not changed optimistically; it reflects the backend outcome only</t>
        </is>
      </c>
      <c r="J945" s="13" t="inlineStr">
        <is>
          <t>Not Tested</t>
        </is>
      </c>
      <c r="K945" s="13" t="inlineStr">
        <is>
          <t>Functional</t>
        </is>
      </c>
    </row>
    <row r="946" ht="36" customHeight="1">
      <c r="A946" s="12" t="inlineStr">
        <is>
          <t>EMI Task Coverage</t>
        </is>
      </c>
      <c r="B946" s="12" t="inlineStr">
        <is>
          <t>Admin POS Surfaces</t>
        </is>
      </c>
      <c r="C946" s="12" t="inlineStr">
        <is>
          <t>Security</t>
        </is>
      </c>
      <c r="D946" s="13" t="inlineStr">
        <is>
          <t>TC-AdminPos-14</t>
        </is>
      </c>
      <c r="E946" s="12" t="inlineStr">
        <is>
          <t>Non-Admin Cannot Reach Either Admin View</t>
        </is>
      </c>
      <c r="F946" s="13" t="inlineStr">
        <is>
          <t>High</t>
        </is>
      </c>
      <c r="G946" s="12" t="inlineStr">
        <is>
          <t>A business user session</t>
        </is>
      </c>
      <c r="H946" s="12" t="inlineStr">
        <is>
          <t>1. Attempt to open both admin views and call their endpoints directly</t>
        </is>
      </c>
      <c r="I946" s="12" t="inlineStr">
        <is>
          <t>Both are refused; these are admin-scoped surfaces</t>
        </is>
      </c>
      <c r="J946" s="13" t="inlineStr">
        <is>
          <t>Not Tested</t>
        </is>
      </c>
      <c r="K946" s="13" t="inlineStr">
        <is>
          <t>Negative</t>
        </is>
      </c>
    </row>
    <row r="947" ht="36" customHeight="1">
      <c r="A947" s="12" t="inlineStr">
        <is>
          <t>EMI Task Coverage</t>
        </is>
      </c>
      <c r="B947" s="12" t="inlineStr">
        <is>
          <t>Admin POS Surfaces</t>
        </is>
      </c>
      <c r="C947" s="12" t="inlineStr">
        <is>
          <t>Security</t>
        </is>
      </c>
      <c r="D947" s="13" t="inlineStr">
        <is>
          <t>TC-AdminPos-15</t>
        </is>
      </c>
      <c r="E947" s="12" t="inlineStr">
        <is>
          <t>Action Authorisation Is Enforced Server-Side</t>
        </is>
      </c>
      <c r="F947" s="13" t="inlineStr">
        <is>
          <t>High</t>
        </is>
      </c>
      <c r="G947" s="12" t="inlineStr">
        <is>
          <t>An admin lacking the ACH action privilege</t>
        </is>
      </c>
      <c r="H947" s="12" t="inlineStr">
        <is>
          <t>1. Call the release and reject endpoints directly</t>
        </is>
      </c>
      <c r="I947" s="12" t="inlineStr">
        <is>
          <t>Both are refused server-side regardless of what the UI offers</t>
        </is>
      </c>
      <c r="J947" s="13" t="inlineStr">
        <is>
          <t>Not Tested</t>
        </is>
      </c>
      <c r="K947" s="13" t="inlineStr">
        <is>
          <t>Negative</t>
        </is>
      </c>
    </row>
    <row r="948" ht="36" customHeight="1">
      <c r="A948" s="12" t="inlineStr">
        <is>
          <t>EMI Task Coverage</t>
        </is>
      </c>
      <c r="B948" s="12" t="inlineStr">
        <is>
          <t>Admin POS Surfaces</t>
        </is>
      </c>
      <c r="C948" s="12" t="inlineStr">
        <is>
          <t>Non-Functional</t>
        </is>
      </c>
      <c r="D948" s="13" t="inlineStr">
        <is>
          <t>TC-AdminPos-16</t>
        </is>
      </c>
      <c r="E948" s="12" t="inlineStr">
        <is>
          <t>Large Result Sets Page Without Degradation</t>
        </is>
      </c>
      <c r="F948" s="13" t="inlineStr">
        <is>
          <t>Medium</t>
        </is>
      </c>
      <c r="G948" s="12" t="inlineStr">
        <is>
          <t>A production-scale volume of POS transactions and ACH records</t>
        </is>
      </c>
      <c r="H948" s="12" t="inlineStr">
        <is>
          <t>1. Page deep into both lists and measure response time</t>
        </is>
      </c>
      <c r="I948" s="12" t="inlineStr">
        <is>
          <t>Paging stays responsive and the backend uses indexed access rather than scanning</t>
        </is>
      </c>
      <c r="J948" s="13" t="inlineStr">
        <is>
          <t>Not Tested</t>
        </is>
      </c>
      <c r="K948" s="13" t="inlineStr">
        <is>
          <t>Performance / NFR</t>
        </is>
      </c>
    </row>
    <row r="949" ht="36" customHeight="1">
      <c r="A949" s="12" t="inlineStr">
        <is>
          <t>EMI Task Coverage</t>
        </is>
      </c>
      <c r="B949" s="12" t="inlineStr">
        <is>
          <t>Transaction Amounts &amp; Fees</t>
        </is>
      </c>
      <c r="C949" s="12" t="inlineStr">
        <is>
          <t>Amount Calc</t>
        </is>
      </c>
      <c r="D949" s="13" t="inlineStr">
        <is>
          <t>TC-Amount-01</t>
        </is>
      </c>
      <c r="E949" s="12" t="inlineStr">
        <is>
          <t>Base Transaction Amount Includes Commission and VAT</t>
        </is>
      </c>
      <c r="F949" s="13" t="inlineStr">
        <is>
          <t>High</t>
        </is>
      </c>
      <c r="G949" s="12" t="inlineStr">
        <is>
          <t>An applicable transaction type with commission and VAT configured</t>
        </is>
      </c>
      <c r="H949" s="12" t="inlineStr">
        <is>
          <t>1. Complete a transaction
2. Read the amount stored in the Base Transaction table</t>
        </is>
      </c>
      <c r="I949" s="12" t="inlineStr">
        <is>
          <t>The stored amount equals transaction amount plus commission amount plus VAT amount</t>
        </is>
      </c>
      <c r="J949" s="13" t="inlineStr">
        <is>
          <t>Not Tested</t>
        </is>
      </c>
      <c r="K949" s="13" t="inlineStr">
        <is>
          <t>Functional</t>
        </is>
      </c>
    </row>
    <row r="950" ht="36" customHeight="1">
      <c r="A950" s="12" t="inlineStr">
        <is>
          <t>EMI Task Coverage</t>
        </is>
      </c>
      <c r="B950" s="12" t="inlineStr">
        <is>
          <t>Transaction Amounts &amp; Fees</t>
        </is>
      </c>
      <c r="C950" s="12" t="inlineStr">
        <is>
          <t>Amount Calc</t>
        </is>
      </c>
      <c r="D950" s="13" t="inlineStr">
        <is>
          <t>TC-Amount-02</t>
        </is>
      </c>
      <c r="E950" s="12" t="inlineStr">
        <is>
          <t>Transaction Log Carries the Correct Amount</t>
        </is>
      </c>
      <c r="F950" s="13" t="inlineStr">
        <is>
          <t>High</t>
        </is>
      </c>
      <c r="G950" s="12" t="inlineStr">
        <is>
          <t>A completed applicable transaction</t>
        </is>
      </c>
      <c r="H950" s="12" t="inlineStr">
        <is>
          <t>1. Read the transaction log entry</t>
        </is>
      </c>
      <c r="I950" s="12" t="inlineStr">
        <is>
          <t>The log amount includes commission and VAT where applicable and agrees with the base transaction</t>
        </is>
      </c>
      <c r="J950" s="13" t="inlineStr">
        <is>
          <t>Not Tested</t>
        </is>
      </c>
      <c r="K950" s="13" t="inlineStr">
        <is>
          <t>Functional</t>
        </is>
      </c>
    </row>
    <row r="951" ht="36" customHeight="1">
      <c r="A951" s="12" t="inlineStr">
        <is>
          <t>EMI Task Coverage</t>
        </is>
      </c>
      <c r="B951" s="12" t="inlineStr">
        <is>
          <t>Transaction Amounts &amp; Fees</t>
        </is>
      </c>
      <c r="C951" s="12" t="inlineStr">
        <is>
          <t>Amount Calc</t>
        </is>
      </c>
      <c r="D951" s="13" t="inlineStr">
        <is>
          <t>TC-Amount-03</t>
        </is>
      </c>
      <c r="E951" s="12" t="inlineStr">
        <is>
          <t>External Party Receives the Amount It Is Expected to Receive</t>
        </is>
      </c>
      <c r="F951" s="13" t="inlineStr">
        <is>
          <t>High</t>
        </is>
      </c>
      <c r="G951" s="12" t="inlineStr">
        <is>
          <t>An applicable transaction routed to an external party</t>
        </is>
      </c>
      <c r="H951" s="12" t="inlineStr">
        <is>
          <t>1. Capture the outbound request
2. Compare against the expected receivable amount</t>
        </is>
      </c>
      <c r="I951" s="12" t="inlineStr">
        <is>
          <t>The amount sent matches what the external party is expected to receive</t>
        </is>
      </c>
      <c r="J951" s="13" t="inlineStr">
        <is>
          <t>Not Tested</t>
        </is>
      </c>
      <c r="K951" s="13" t="inlineStr">
        <is>
          <t>Functional</t>
        </is>
      </c>
    </row>
    <row r="952" ht="36" customHeight="1">
      <c r="A952" s="12" t="inlineStr">
        <is>
          <t>EMI Task Coverage</t>
        </is>
      </c>
      <c r="B952" s="12" t="inlineStr">
        <is>
          <t>Transaction Amounts &amp; Fees</t>
        </is>
      </c>
      <c r="C952" s="12" t="inlineStr">
        <is>
          <t>Amount Calc</t>
        </is>
      </c>
      <c r="D952" s="13" t="inlineStr">
        <is>
          <t>TC-Amount-04</t>
        </is>
      </c>
      <c r="E952" s="12" t="inlineStr">
        <is>
          <t>HyperPay Integration Amount Is Correct</t>
        </is>
      </c>
      <c r="F952" s="13" t="inlineStr">
        <is>
          <t>High</t>
        </is>
      </c>
      <c r="G952" s="12" t="inlineStr">
        <is>
          <t>A transaction routed through HyperPay</t>
        </is>
      </c>
      <c r="H952" s="12" t="inlineStr">
        <is>
          <t>1. Complete it and compare the amount at every hop</t>
        </is>
      </c>
      <c r="I952" s="12" t="inlineStr">
        <is>
          <t>The amount is consistent across base transaction, transaction log and the HyperPay request</t>
        </is>
      </c>
      <c r="J952" s="13" t="inlineStr">
        <is>
          <t>Not Tested</t>
        </is>
      </c>
      <c r="K952" s="13" t="inlineStr">
        <is>
          <t>Functional</t>
        </is>
      </c>
    </row>
    <row r="953" ht="36" customHeight="1">
      <c r="A953" s="12" t="inlineStr">
        <is>
          <t>EMI Task Coverage</t>
        </is>
      </c>
      <c r="B953" s="12" t="inlineStr">
        <is>
          <t>Transaction Amounts &amp; Fees</t>
        </is>
      </c>
      <c r="C953" s="12" t="inlineStr">
        <is>
          <t>Amount Calc</t>
        </is>
      </c>
      <c r="D953" s="13" t="inlineStr">
        <is>
          <t>TC-Amount-05</t>
        </is>
      </c>
      <c r="E953" s="12" t="inlineStr">
        <is>
          <t>Bank Integration Amount Is Correct</t>
        </is>
      </c>
      <c r="F953" s="13" t="inlineStr">
        <is>
          <t>High</t>
        </is>
      </c>
      <c r="G953" s="12" t="inlineStr">
        <is>
          <t>A transaction routed to the bank</t>
        </is>
      </c>
      <c r="H953" s="12" t="inlineStr">
        <is>
          <t>1. Complete it and compare the amount at every hop</t>
        </is>
      </c>
      <c r="I953" s="12" t="inlineStr">
        <is>
          <t>The amount is consistent across base transaction, transaction log and the bank request</t>
        </is>
      </c>
      <c r="J953" s="13" t="inlineStr">
        <is>
          <t>Not Tested</t>
        </is>
      </c>
      <c r="K953" s="13" t="inlineStr">
        <is>
          <t>Functional</t>
        </is>
      </c>
    </row>
    <row r="954" ht="36" customHeight="1">
      <c r="A954" s="12" t="inlineStr">
        <is>
          <t>EMI Task Coverage</t>
        </is>
      </c>
      <c r="B954" s="12" t="inlineStr">
        <is>
          <t>Transaction Amounts &amp; Fees</t>
        </is>
      </c>
      <c r="C954" s="12" t="inlineStr">
        <is>
          <t>Amount Calc</t>
        </is>
      </c>
      <c r="D954" s="13" t="inlineStr">
        <is>
          <t>TC-Amount-06</t>
        </is>
      </c>
      <c r="E954" s="12" t="inlineStr">
        <is>
          <t>OTC Integration Amount Is Correct</t>
        </is>
      </c>
      <c r="F954" s="13" t="inlineStr">
        <is>
          <t>High</t>
        </is>
      </c>
      <c r="G954" s="12" t="inlineStr">
        <is>
          <t>A transaction routed through OTC</t>
        </is>
      </c>
      <c r="H954" s="12" t="inlineStr">
        <is>
          <t>1. Complete it and compare the amount at every hop</t>
        </is>
      </c>
      <c r="I954" s="12" t="inlineStr">
        <is>
          <t>The amount is consistent across base transaction, transaction log and the OTC request</t>
        </is>
      </c>
      <c r="J954" s="13" t="inlineStr">
        <is>
          <t>Not Tested</t>
        </is>
      </c>
      <c r="K954" s="13" t="inlineStr">
        <is>
          <t>Functional</t>
        </is>
      </c>
    </row>
    <row r="955" ht="36" customHeight="1">
      <c r="A955" s="12" t="inlineStr">
        <is>
          <t>EMI Task Coverage</t>
        </is>
      </c>
      <c r="B955" s="12" t="inlineStr">
        <is>
          <t>Transaction Amounts &amp; Fees</t>
        </is>
      </c>
      <c r="C955" s="12" t="inlineStr">
        <is>
          <t>Amount Calc</t>
        </is>
      </c>
      <c r="D955" s="13" t="inlineStr">
        <is>
          <t>TC-Amount-07</t>
        </is>
      </c>
      <c r="E955" s="12" t="inlineStr">
        <is>
          <t>Cash-Out Is Not Affected by the Change</t>
        </is>
      </c>
      <c r="F955" s="13" t="inlineStr">
        <is>
          <t>High</t>
        </is>
      </c>
      <c r="G955" s="12" t="inlineStr">
        <is>
          <t>A Cash-Out transaction</t>
        </is>
      </c>
      <c r="H955" s="12" t="inlineStr">
        <is>
          <t>1. Complete it and compare the calculation against the pre-change behaviour</t>
        </is>
      </c>
      <c r="I955" s="12" t="inlineStr">
        <is>
          <t>Cash-Out amount calculation is unchanged; commission and VAT are not folded into the stored amount</t>
        </is>
      </c>
      <c r="J955" s="13" t="inlineStr">
        <is>
          <t>Not Tested</t>
        </is>
      </c>
      <c r="K955" s="13" t="inlineStr">
        <is>
          <t>Functional</t>
        </is>
      </c>
    </row>
    <row r="956" ht="36" customHeight="1">
      <c r="A956" s="12" t="inlineStr">
        <is>
          <t>EMI Task Coverage</t>
        </is>
      </c>
      <c r="B956" s="12" t="inlineStr">
        <is>
          <t>Transaction Amounts &amp; Fees</t>
        </is>
      </c>
      <c r="C956" s="12" t="inlineStr">
        <is>
          <t>Amount Calc</t>
        </is>
      </c>
      <c r="D956" s="13" t="inlineStr">
        <is>
          <t>TC-Amount-08</t>
        </is>
      </c>
      <c r="E956" s="12" t="inlineStr">
        <is>
          <t>VIBAN Is Not Affected by the Change</t>
        </is>
      </c>
      <c r="F956" s="13" t="inlineStr">
        <is>
          <t>High</t>
        </is>
      </c>
      <c r="G956" s="12" t="inlineStr">
        <is>
          <t>A VIBAN transaction</t>
        </is>
      </c>
      <c r="H956" s="12" t="inlineStr">
        <is>
          <t>1. Complete it and compare against the pre-change behaviour</t>
        </is>
      </c>
      <c r="I956" s="12" t="inlineStr">
        <is>
          <t>VIBAN amount calculation is unchanged</t>
        </is>
      </c>
      <c r="J956" s="13" t="inlineStr">
        <is>
          <t>Not Tested</t>
        </is>
      </c>
      <c r="K956" s="13" t="inlineStr">
        <is>
          <t>Functional</t>
        </is>
      </c>
    </row>
    <row r="957" ht="36" customHeight="1">
      <c r="A957" s="12" t="inlineStr">
        <is>
          <t>EMI Task Coverage</t>
        </is>
      </c>
      <c r="B957" s="12" t="inlineStr">
        <is>
          <t>Transaction Amounts &amp; Fees</t>
        </is>
      </c>
      <c r="C957" s="12" t="inlineStr">
        <is>
          <t>Amount Calc</t>
        </is>
      </c>
      <c r="D957" s="13" t="inlineStr">
        <is>
          <t>TC-Amount-09</t>
        </is>
      </c>
      <c r="E957" s="12" t="inlineStr">
        <is>
          <t>Commission and VAT Are Never Added Twice</t>
        </is>
      </c>
      <c r="F957" s="13" t="inlineStr">
        <is>
          <t>High</t>
        </is>
      </c>
      <c r="G957" s="12" t="inlineStr">
        <is>
          <t>An applicable transaction traced through its full flow</t>
        </is>
      </c>
      <c r="H957" s="12" t="inlineStr">
        <is>
          <t>1. Trace the amount at initiation, ledger posting, external call and settlement
2. Compare against the expected single application</t>
        </is>
      </c>
      <c r="I957" s="12" t="inlineStr">
        <is>
          <t>Commission and VAT are applied exactly once; no stage adds them a second time</t>
        </is>
      </c>
      <c r="J957" s="13" t="inlineStr">
        <is>
          <t>Not Tested</t>
        </is>
      </c>
      <c r="K957" s="13" t="inlineStr">
        <is>
          <t>Integration</t>
        </is>
      </c>
    </row>
    <row r="958" ht="36" customHeight="1">
      <c r="A958" s="12" t="inlineStr">
        <is>
          <t>EMI Task Coverage</t>
        </is>
      </c>
      <c r="B958" s="12" t="inlineStr">
        <is>
          <t>Transaction Amounts &amp; Fees</t>
        </is>
      </c>
      <c r="C958" s="12" t="inlineStr">
        <is>
          <t>Amount Calc</t>
        </is>
      </c>
      <c r="D958" s="13" t="inlineStr">
        <is>
          <t>TC-Amount-10</t>
        </is>
      </c>
      <c r="E958" s="12" t="inlineStr">
        <is>
          <t>Every Applicable Transaction Type Is Covered</t>
        </is>
      </c>
      <c r="F958" s="13" t="inlineStr">
        <is>
          <t>High</t>
        </is>
      </c>
      <c r="G958" s="12" t="inlineStr">
        <is>
          <t>One transaction of each applicable type</t>
        </is>
      </c>
      <c r="H958" s="12" t="inlineStr">
        <is>
          <t>1. Complete each type
2. Verify the amount rule on each</t>
        </is>
      </c>
      <c r="I958" s="12" t="inlineStr">
        <is>
          <t>Every applicable type follows the rule; the two documented exclusions are the only exceptions</t>
        </is>
      </c>
      <c r="J958" s="13" t="inlineStr">
        <is>
          <t>Not Tested</t>
        </is>
      </c>
      <c r="K958" s="13" t="inlineStr">
        <is>
          <t>Functional</t>
        </is>
      </c>
    </row>
    <row r="959" ht="36" customHeight="1">
      <c r="A959" s="12" t="inlineStr">
        <is>
          <t>EMI Task Coverage</t>
        </is>
      </c>
      <c r="B959" s="12" t="inlineStr">
        <is>
          <t>Transaction Amounts &amp; Fees</t>
        </is>
      </c>
      <c r="C959" s="12" t="inlineStr">
        <is>
          <t>Amount Calc</t>
        </is>
      </c>
      <c r="D959" s="13" t="inlineStr">
        <is>
          <t>TC-Amount-11</t>
        </is>
      </c>
      <c r="E959" s="12" t="inlineStr">
        <is>
          <t>Zero-Commission Configuration Still Computes Correctly</t>
        </is>
      </c>
      <c r="F959" s="13" t="inlineStr">
        <is>
          <t>Medium</t>
        </is>
      </c>
      <c r="G959" s="12" t="inlineStr">
        <is>
          <t>A transaction type with no commission or VAT configured</t>
        </is>
      </c>
      <c r="H959" s="12" t="inlineStr">
        <is>
          <t>1. Complete a transaction</t>
        </is>
      </c>
      <c r="I959" s="12" t="inlineStr">
        <is>
          <t>The stored amount equals the transaction amount with no phantom fee added</t>
        </is>
      </c>
      <c r="J959" s="13" t="inlineStr">
        <is>
          <t>Not Tested</t>
        </is>
      </c>
      <c r="K959" s="13" t="inlineStr">
        <is>
          <t>Edge / Boundary</t>
        </is>
      </c>
    </row>
    <row r="960" ht="36" customHeight="1">
      <c r="A960" s="12" t="inlineStr">
        <is>
          <t>EMI Task Coverage</t>
        </is>
      </c>
      <c r="B960" s="12" t="inlineStr">
        <is>
          <t>Transaction Amounts &amp; Fees</t>
        </is>
      </c>
      <c r="C960" s="12" t="inlineStr">
        <is>
          <t>Fees</t>
        </is>
      </c>
      <c r="D960" s="13" t="inlineStr">
        <is>
          <t>TC-Fees-01</t>
        </is>
      </c>
      <c r="E960" s="12" t="inlineStr">
        <is>
          <t>Source Validation - Fees ON_TOP Checks Wallet Can Cover Them</t>
        </is>
      </c>
      <c r="F960" s="13" t="inlineStr">
        <is>
          <t>High</t>
        </is>
      </c>
      <c r="G960" s="12" t="inlineStr">
        <is>
          <t>A source wallet whose balance covers the amount but not the amount plus on-top fee</t>
        </is>
      </c>
      <c r="H960" s="12" t="inlineStr">
        <is>
          <t>1. Attempt the transaction</t>
        </is>
      </c>
      <c r="I960" s="12" t="inlineStr">
        <is>
          <t>It is refused; the balance check covers the amount plus the on-top fee, not the amount alone</t>
        </is>
      </c>
      <c r="J960" s="13" t="inlineStr">
        <is>
          <t>Not Tested</t>
        </is>
      </c>
      <c r="K960" s="13" t="inlineStr">
        <is>
          <t>Negative</t>
        </is>
      </c>
    </row>
    <row r="961" ht="36" customHeight="1">
      <c r="A961" s="12" t="inlineStr">
        <is>
          <t>EMI Task Coverage</t>
        </is>
      </c>
      <c r="B961" s="12" t="inlineStr">
        <is>
          <t>Transaction Amounts &amp; Fees</t>
        </is>
      </c>
      <c r="C961" s="12" t="inlineStr">
        <is>
          <t>Fees</t>
        </is>
      </c>
      <c r="D961" s="13" t="inlineStr">
        <is>
          <t>TC-Fees-02</t>
        </is>
      </c>
      <c r="E961" s="12" t="inlineStr">
        <is>
          <t>Source Validation - Fees From Amount Cannot Drive It Negative</t>
        </is>
      </c>
      <c r="F961" s="13" t="inlineStr">
        <is>
          <t>High</t>
        </is>
      </c>
      <c r="G961" s="12" t="inlineStr">
        <is>
          <t>A source transaction whose fee taken from the amount would exceed the amount</t>
        </is>
      </c>
      <c r="H961" s="12" t="inlineStr">
        <is>
          <t>1. Attempt the transaction</t>
        </is>
      </c>
      <c r="I961" s="12" t="inlineStr">
        <is>
          <t>It is refused; the net amount is never allowed to go negative</t>
        </is>
      </c>
      <c r="J961" s="13" t="inlineStr">
        <is>
          <t>Not Tested</t>
        </is>
      </c>
      <c r="K961" s="13" t="inlineStr">
        <is>
          <t>Negative</t>
        </is>
      </c>
    </row>
    <row r="962" ht="36" customHeight="1">
      <c r="A962" s="12" t="inlineStr">
        <is>
          <t>EMI Task Coverage</t>
        </is>
      </c>
      <c r="B962" s="12" t="inlineStr">
        <is>
          <t>Transaction Amounts &amp; Fees</t>
        </is>
      </c>
      <c r="C962" s="12" t="inlineStr">
        <is>
          <t>Fees</t>
        </is>
      </c>
      <c r="D962" s="13" t="inlineStr">
        <is>
          <t>TC-Fees-03</t>
        </is>
      </c>
      <c r="E962" s="12" t="inlineStr">
        <is>
          <t>Source Validation - Limits Checked Against the Correct Total</t>
        </is>
      </c>
      <c r="F962" s="13" t="inlineStr">
        <is>
          <t>High</t>
        </is>
      </c>
      <c r="G962" s="12" t="inlineStr">
        <is>
          <t>A source wallet near its limit, with an on-top fee that would breach it</t>
        </is>
      </c>
      <c r="H962" s="12" t="inlineStr">
        <is>
          <t>1. Attempt the transaction</t>
        </is>
      </c>
      <c r="I962" s="12" t="inlineStr">
        <is>
          <t>The limit check accounts for the fee and the transaction is refused; the limit is not checked on the bare amount</t>
        </is>
      </c>
      <c r="J962" s="13" t="inlineStr">
        <is>
          <t>Not Tested</t>
        </is>
      </c>
      <c r="K962" s="13" t="inlineStr">
        <is>
          <t>Negative</t>
        </is>
      </c>
    </row>
    <row r="963" ht="36" customHeight="1">
      <c r="A963" s="12" t="inlineStr">
        <is>
          <t>EMI Task Coverage</t>
        </is>
      </c>
      <c r="B963" s="12" t="inlineStr">
        <is>
          <t>Transaction Amounts &amp; Fees</t>
        </is>
      </c>
      <c r="C963" s="12" t="inlineStr">
        <is>
          <t>Fees</t>
        </is>
      </c>
      <c r="D963" s="13" t="inlineStr">
        <is>
          <t>TC-Fees-04</t>
        </is>
      </c>
      <c r="E963" s="12" t="inlineStr">
        <is>
          <t>Destination Validation - No Fee ON_TOP Is Applied</t>
        </is>
      </c>
      <c r="F963" s="13" t="inlineStr">
        <is>
          <t>High</t>
        </is>
      </c>
      <c r="G963" s="12" t="inlineStr">
        <is>
          <t>A destination-side transaction</t>
        </is>
      </c>
      <c r="H963" s="12" t="inlineStr">
        <is>
          <t>1. Complete it and inspect the destination fee entries</t>
        </is>
      </c>
      <c r="I963" s="12" t="inlineStr">
        <is>
          <t>No on-top fee is added on the destination side</t>
        </is>
      </c>
      <c r="J963" s="13" t="inlineStr">
        <is>
          <t>Not Tested</t>
        </is>
      </c>
      <c r="K963" s="13" t="inlineStr">
        <is>
          <t>Functional</t>
        </is>
      </c>
    </row>
    <row r="964" ht="36" customHeight="1">
      <c r="A964" s="12" t="inlineStr">
        <is>
          <t>EMI Task Coverage</t>
        </is>
      </c>
      <c r="B964" s="12" t="inlineStr">
        <is>
          <t>Transaction Amounts &amp; Fees</t>
        </is>
      </c>
      <c r="C964" s="12" t="inlineStr">
        <is>
          <t>Fees</t>
        </is>
      </c>
      <c r="D964" s="13" t="inlineStr">
        <is>
          <t>TC-Fees-05</t>
        </is>
      </c>
      <c r="E964" s="12" t="inlineStr">
        <is>
          <t>Destination Validation - Fees From Amount Cannot Drive It Negative</t>
        </is>
      </c>
      <c r="F964" s="13" t="inlineStr">
        <is>
          <t>High</t>
        </is>
      </c>
      <c r="G964" s="12" t="inlineStr">
        <is>
          <t>A destination transaction whose fee from amount would exceed the amount</t>
        </is>
      </c>
      <c r="H964" s="12" t="inlineStr">
        <is>
          <t>1. Attempt it</t>
        </is>
      </c>
      <c r="I964" s="12" t="inlineStr">
        <is>
          <t>It is refused; the net cannot go negative on the destination side either</t>
        </is>
      </c>
      <c r="J964" s="13" t="inlineStr">
        <is>
          <t>Not Tested</t>
        </is>
      </c>
      <c r="K964" s="13" t="inlineStr">
        <is>
          <t>Negative</t>
        </is>
      </c>
    </row>
    <row r="965" ht="36" customHeight="1">
      <c r="A965" s="12" t="inlineStr">
        <is>
          <t>EMI Task Coverage</t>
        </is>
      </c>
      <c r="B965" s="12" t="inlineStr">
        <is>
          <t>Transaction Amounts &amp; Fees</t>
        </is>
      </c>
      <c r="C965" s="12" t="inlineStr">
        <is>
          <t>Fees</t>
        </is>
      </c>
      <c r="D965" s="13" t="inlineStr">
        <is>
          <t>TC-Fees-06</t>
        </is>
      </c>
      <c r="E965" s="12" t="inlineStr">
        <is>
          <t>Destination Validation - Limits Checked Properly</t>
        </is>
      </c>
      <c r="F965" s="13" t="inlineStr">
        <is>
          <t>High</t>
        </is>
      </c>
      <c r="G965" s="12" t="inlineStr">
        <is>
          <t>A destination wallet near its limit</t>
        </is>
      </c>
      <c r="H965" s="12" t="inlineStr">
        <is>
          <t>1. Attempt a transaction that would breach it once fees are accounted for</t>
        </is>
      </c>
      <c r="I965" s="12" t="inlineStr">
        <is>
          <t>The limit check is applied correctly on the destination side</t>
        </is>
      </c>
      <c r="J965" s="13" t="inlineStr">
        <is>
          <t>Not Tested</t>
        </is>
      </c>
      <c r="K965" s="13" t="inlineStr">
        <is>
          <t>Functional</t>
        </is>
      </c>
    </row>
    <row r="966" ht="36" customHeight="1">
      <c r="A966" s="12" t="inlineStr">
        <is>
          <t>EMI Task Coverage</t>
        </is>
      </c>
      <c r="B966" s="12" t="inlineStr">
        <is>
          <t>Transaction Amounts &amp; Fees</t>
        </is>
      </c>
      <c r="C966" s="12" t="inlineStr">
        <is>
          <t>Fees</t>
        </is>
      </c>
      <c r="D966" s="13" t="inlineStr">
        <is>
          <t>TC-Fees-07</t>
        </is>
      </c>
      <c r="E966" s="12" t="inlineStr">
        <is>
          <t>Fee Behaviour Is Correct Per Transaction Type</t>
        </is>
      </c>
      <c r="F966" s="13" t="inlineStr">
        <is>
          <t>High</t>
        </is>
      </c>
      <c r="G966" s="12" t="inlineStr">
        <is>
          <t>Each transaction type with its configured fee model</t>
        </is>
      </c>
      <c r="H966" s="12" t="inlineStr">
        <is>
          <t>1. Complete one of each and inspect the fee entries and validations applied</t>
        </is>
      </c>
      <c r="I966" s="12" t="inlineStr">
        <is>
          <t>Each type applies its own configured fee model; no type inherits another's on-top or from-amount behaviour</t>
        </is>
      </c>
      <c r="J966" s="13" t="inlineStr">
        <is>
          <t>Not Tested</t>
        </is>
      </c>
      <c r="K966" s="13" t="inlineStr">
        <is>
          <t>Functional</t>
        </is>
      </c>
    </row>
    <row r="967" ht="36" customHeight="1">
      <c r="A967" s="12" t="inlineStr">
        <is>
          <t>EMI Task Coverage</t>
        </is>
      </c>
      <c r="B967" s="12" t="inlineStr">
        <is>
          <t>Transaction Amounts &amp; Fees</t>
        </is>
      </c>
      <c r="C967" s="12" t="inlineStr">
        <is>
          <t>Fees</t>
        </is>
      </c>
      <c r="D967" s="13" t="inlineStr">
        <is>
          <t>TC-Fees-08</t>
        </is>
      </c>
      <c r="E967" s="12" t="inlineStr">
        <is>
          <t>Exact-Balance Boundary</t>
        </is>
      </c>
      <c r="F967" s="13" t="inlineStr">
        <is>
          <t>High</t>
        </is>
      </c>
      <c r="G967" s="12" t="inlineStr">
        <is>
          <t>A source wallet holding exactly the amount plus the on-top fee</t>
        </is>
      </c>
      <c r="H967" s="12" t="inlineStr">
        <is>
          <t>1. Attempt the transaction</t>
        </is>
      </c>
      <c r="I967" s="12" t="inlineStr">
        <is>
          <t>It succeeds and leaves a zero balance; the boundary is inclusive and not rejected by an off-by-one</t>
        </is>
      </c>
      <c r="J967" s="13" t="inlineStr">
        <is>
          <t>Not Tested</t>
        </is>
      </c>
      <c r="K967" s="13" t="inlineStr">
        <is>
          <t>Negative</t>
        </is>
      </c>
    </row>
    <row r="968" ht="36" customHeight="1">
      <c r="A968" s="12" t="inlineStr">
        <is>
          <t>EMI Task Coverage</t>
        </is>
      </c>
      <c r="B968" s="12" t="inlineStr">
        <is>
          <t>Transaction Amounts &amp; Fees</t>
        </is>
      </c>
      <c r="C968" s="12" t="inlineStr">
        <is>
          <t>Metadata</t>
        </is>
      </c>
      <c r="D968" s="13" t="inlineStr">
        <is>
          <t>TC-Meta-01</t>
        </is>
      </c>
      <c r="E968" s="12" t="inlineStr">
        <is>
          <t>swiftCode Is Present in Metadata</t>
        </is>
      </c>
      <c r="F968" s="13" t="inlineStr">
        <is>
          <t>High</t>
        </is>
      </c>
      <c r="G968" s="12" t="inlineStr">
        <is>
          <t>A transaction whose metadata should carry swiftCode</t>
        </is>
      </c>
      <c r="H968" s="12" t="inlineStr">
        <is>
          <t>1. Complete it and inspect the stored metadata</t>
        </is>
      </c>
      <c r="I968" s="12" t="inlineStr">
        <is>
          <t>swiftCode is present and correct</t>
        </is>
      </c>
      <c r="J968" s="13" t="inlineStr">
        <is>
          <t>Not Tested</t>
        </is>
      </c>
      <c r="K968" s="13" t="inlineStr">
        <is>
          <t>Functional</t>
        </is>
      </c>
    </row>
    <row r="969" ht="36" customHeight="1">
      <c r="A969" s="12" t="inlineStr">
        <is>
          <t>EMI Task Coverage</t>
        </is>
      </c>
      <c r="B969" s="12" t="inlineStr">
        <is>
          <t>Transaction Amounts &amp; Fees</t>
        </is>
      </c>
      <c r="C969" s="12" t="inlineStr">
        <is>
          <t>Metadata</t>
        </is>
      </c>
      <c r="D969" s="13" t="inlineStr">
        <is>
          <t>TC-Meta-02</t>
        </is>
      </c>
      <c r="E969" s="12" t="inlineStr">
        <is>
          <t>swiftCode Absence Is Handled Without Failure</t>
        </is>
      </c>
      <c r="F969" s="13" t="inlineStr">
        <is>
          <t>Medium</t>
        </is>
      </c>
      <c r="G969" s="12" t="inlineStr">
        <is>
          <t>A transaction where no swiftCode is available</t>
        </is>
      </c>
      <c r="H969" s="12" t="inlineStr">
        <is>
          <t>1. Complete it</t>
        </is>
      </c>
      <c r="I969" s="12" t="inlineStr">
        <is>
          <t>The transaction completes and the absent field is represented consistently rather than causing an error</t>
        </is>
      </c>
      <c r="J969" s="13" t="inlineStr">
        <is>
          <t>Not Tested</t>
        </is>
      </c>
      <c r="K969" s="13" t="inlineStr">
        <is>
          <t>Negative</t>
        </is>
      </c>
    </row>
    <row r="970" ht="36" customHeight="1">
      <c r="A970" s="12" t="inlineStr">
        <is>
          <t>EMI Task Coverage</t>
        </is>
      </c>
      <c r="B970" s="12" t="inlineStr">
        <is>
          <t>Transaction Amounts &amp; Fees</t>
        </is>
      </c>
      <c r="C970" s="12" t="inlineStr">
        <is>
          <t>Metadata</t>
        </is>
      </c>
      <c r="D970" s="13" t="inlineStr">
        <is>
          <t>TC-Meta-03</t>
        </is>
      </c>
      <c r="E970" s="12" t="inlineStr">
        <is>
          <t>Beneficiary IBAN and Name Are Populated on AchTransfer</t>
        </is>
      </c>
      <c r="F970" s="13" t="inlineStr">
        <is>
          <t>High</t>
        </is>
      </c>
      <c r="G970" s="12" t="inlineStr">
        <is>
          <t>An ACH transfer with a known beneficiary</t>
        </is>
      </c>
      <c r="H970" s="12" t="inlineStr">
        <is>
          <t>1. Complete it and inspect the AchTransfer record</t>
        </is>
      </c>
      <c r="I970" s="12" t="inlineStr">
        <is>
          <t>Both the beneficiary IBAN and the beneficiary name are populated and match the beneficiary</t>
        </is>
      </c>
      <c r="J970" s="13" t="inlineStr">
        <is>
          <t>Not Tested</t>
        </is>
      </c>
      <c r="K970" s="13" t="inlineStr">
        <is>
          <t>Functional</t>
        </is>
      </c>
    </row>
    <row r="971" ht="36" customHeight="1">
      <c r="A971" s="12" t="inlineStr">
        <is>
          <t>EMI Task Coverage</t>
        </is>
      </c>
      <c r="B971" s="12" t="inlineStr">
        <is>
          <t>Transaction Amounts &amp; Fees</t>
        </is>
      </c>
      <c r="C971" s="12" t="inlineStr">
        <is>
          <t>Metadata</t>
        </is>
      </c>
      <c r="D971" s="13" t="inlineStr">
        <is>
          <t>TC-Meta-04</t>
        </is>
      </c>
      <c r="E971" s="12" t="inlineStr">
        <is>
          <t>Beneficiary Fields Match the Downstream ACH File</t>
        </is>
      </c>
      <c r="F971" s="13" t="inlineStr">
        <is>
          <t>High</t>
        </is>
      </c>
      <c r="G971" s="12" t="inlineStr">
        <is>
          <t>An ACH transfer record with populated beneficiary fields</t>
        </is>
      </c>
      <c r="H971" s="12" t="inlineStr">
        <is>
          <t>1. Compare the record against the generated ACH file</t>
        </is>
      </c>
      <c r="I971" s="12" t="inlineStr">
        <is>
          <t>The IBAN and name in the record and in the file agree exactly</t>
        </is>
      </c>
      <c r="J971" s="13" t="inlineStr">
        <is>
          <t>Not Tested</t>
        </is>
      </c>
      <c r="K971" s="13" t="inlineStr">
        <is>
          <t>Edge / Boundary</t>
        </is>
      </c>
    </row>
    <row r="972" ht="36" customHeight="1">
      <c r="A972" s="12" t="inlineStr">
        <is>
          <t>EMI Task Coverage</t>
        </is>
      </c>
      <c r="B972" s="12" t="inlineStr">
        <is>
          <t>Transaction Amounts &amp; Fees</t>
        </is>
      </c>
      <c r="C972" s="12" t="inlineStr">
        <is>
          <t>Metadata</t>
        </is>
      </c>
      <c r="D972" s="13" t="inlineStr">
        <is>
          <t>TC-Meta-05</t>
        </is>
      </c>
      <c r="E972" s="12" t="inlineStr">
        <is>
          <t>Arabic Beneficiary Name Is Stored and Rendered Correctly</t>
        </is>
      </c>
      <c r="F972" s="13" t="inlineStr">
        <is>
          <t>Medium</t>
        </is>
      </c>
      <c r="G972" s="12" t="inlineStr">
        <is>
          <t>A beneficiary with an Arabic name</t>
        </is>
      </c>
      <c r="H972" s="12" t="inlineStr">
        <is>
          <t>1. Complete an ACH transfer and inspect the record, the file and every display surface</t>
        </is>
      </c>
      <c r="I972" s="12" t="inlineStr">
        <is>
          <t>The name is stored and rendered without corruption or transliteration anywhere</t>
        </is>
      </c>
      <c r="J972" s="13" t="inlineStr">
        <is>
          <t>Not Tested</t>
        </is>
      </c>
      <c r="K972" s="13" t="inlineStr">
        <is>
          <t>Negative</t>
        </is>
      </c>
    </row>
    <row r="973" ht="36" customHeight="1">
      <c r="A973" s="12" t="inlineStr">
        <is>
          <t>EMI Task Coverage</t>
        </is>
      </c>
      <c r="B973" s="12" t="inlineStr">
        <is>
          <t>Transaction Amounts &amp; Fees</t>
        </is>
      </c>
      <c r="C973" s="12" t="inlineStr">
        <is>
          <t>Regression</t>
        </is>
      </c>
      <c r="D973" s="13" t="inlineStr">
        <is>
          <t>TC-Amount-12</t>
        </is>
      </c>
      <c r="E973" s="12" t="inlineStr">
        <is>
          <t>Existing Transactions Are Not Retrospectively Re-Priced</t>
        </is>
      </c>
      <c r="F973" s="13" t="inlineStr">
        <is>
          <t>High</t>
        </is>
      </c>
      <c r="G973" s="12" t="inlineStr">
        <is>
          <t>Transactions completed before the amount-calculation change</t>
        </is>
      </c>
      <c r="H973" s="12" t="inlineStr">
        <is>
          <t>1. Re-read their base transaction and log amounts</t>
        </is>
      </c>
      <c r="I973" s="12" t="inlineStr">
        <is>
          <t>Historical amounts are unchanged; the new rule applies only to new transactions</t>
        </is>
      </c>
      <c r="J973" s="13" t="inlineStr">
        <is>
          <t>Not Tested</t>
        </is>
      </c>
      <c r="K973" s="13" t="inlineStr">
        <is>
          <t>Regression</t>
        </is>
      </c>
    </row>
    <row r="974" ht="36" customHeight="1">
      <c r="A974" s="12" t="inlineStr">
        <is>
          <t>EMI Task Coverage</t>
        </is>
      </c>
      <c r="B974" s="12" t="inlineStr">
        <is>
          <t>Pending Reason &amp; Rebuild Fix</t>
        </is>
      </c>
      <c r="C974" s="12" t="inlineStr">
        <is>
          <t>Reason</t>
        </is>
      </c>
      <c r="D974" s="13" t="inlineStr">
        <is>
          <t>TC-Reason-01</t>
        </is>
      </c>
      <c r="E974" s="12" t="inlineStr">
        <is>
          <t>Reason Is Persisted Whenever a Transaction Is Left Pending</t>
        </is>
      </c>
      <c r="F974" s="13" t="inlineStr">
        <is>
          <t>High</t>
        </is>
      </c>
      <c r="G974" s="12" t="inlineStr">
        <is>
          <t>A transaction that will be left in a pending state</t>
        </is>
      </c>
      <c r="H974" s="12" t="inlineStr">
        <is>
          <t>1. Drive it to pending
2. Read the reason on the base transaction</t>
        </is>
      </c>
      <c r="I974" s="12" t="inlineStr">
        <is>
          <t>The reason is persisted on the base transaction</t>
        </is>
      </c>
      <c r="J974" s="13" t="inlineStr">
        <is>
          <t>Not Tested</t>
        </is>
      </c>
      <c r="K974" s="13" t="inlineStr">
        <is>
          <t>Functional</t>
        </is>
      </c>
    </row>
    <row r="975" ht="36" customHeight="1">
      <c r="A975" s="12" t="inlineStr">
        <is>
          <t>EMI Task Coverage</t>
        </is>
      </c>
      <c r="B975" s="12" t="inlineStr">
        <is>
          <t>Pending Reason &amp; Rebuild Fix</t>
        </is>
      </c>
      <c r="C975" s="12" t="inlineStr">
        <is>
          <t>Reason</t>
        </is>
      </c>
      <c r="D975" s="13" t="inlineStr">
        <is>
          <t>TC-Reason-02</t>
        </is>
      </c>
      <c r="E975" s="12" t="inlineStr">
        <is>
          <t>Reason Is Persisted for Every Pending Cause</t>
        </is>
      </c>
      <c r="F975" s="13" t="inlineStr">
        <is>
          <t>High</t>
        </is>
      </c>
      <c r="G975" s="12" t="inlineStr">
        <is>
          <t>Several distinct causes that leave a transaction pending</t>
        </is>
      </c>
      <c r="H975" s="12" t="inlineStr">
        <is>
          <t>1. Drive a transaction to pending by each cause in turn
2. Read the reason each time</t>
        </is>
      </c>
      <c r="I975" s="12" t="inlineStr">
        <is>
          <t>Every cause persists a reason and each reason distinguishes its cause; none is left null or a generic placeholder</t>
        </is>
      </c>
      <c r="J975" s="13" t="inlineStr">
        <is>
          <t>Not Tested</t>
        </is>
      </c>
      <c r="K975" s="13" t="inlineStr">
        <is>
          <t>Functional</t>
        </is>
      </c>
    </row>
    <row r="976" ht="36" customHeight="1">
      <c r="A976" s="12" t="inlineStr">
        <is>
          <t>EMI Task Coverage</t>
        </is>
      </c>
      <c r="B976" s="12" t="inlineStr">
        <is>
          <t>Pending Reason &amp; Rebuild Fix</t>
        </is>
      </c>
      <c r="C976" s="12" t="inlineStr">
        <is>
          <t>Reason</t>
        </is>
      </c>
      <c r="D976" s="13" t="inlineStr">
        <is>
          <t>TC-Reason-03</t>
        </is>
      </c>
      <c r="E976" s="12" t="inlineStr">
        <is>
          <t>Reason Survives Through to Settlement or Failure</t>
        </is>
      </c>
      <c r="F976" s="13" t="inlineStr">
        <is>
          <t>High</t>
        </is>
      </c>
      <c r="G976" s="12" t="inlineStr">
        <is>
          <t>A pending transaction that later settles, and another that later fails</t>
        </is>
      </c>
      <c r="H976" s="12" t="inlineStr">
        <is>
          <t>1. Advance each to its terminal state
2. Read the record</t>
        </is>
      </c>
      <c r="I976" s="12" t="inlineStr">
        <is>
          <t>The pending reason remains available for audit after the transaction reaches its terminal state</t>
        </is>
      </c>
      <c r="J976" s="13" t="inlineStr">
        <is>
          <t>Not Tested</t>
        </is>
      </c>
      <c r="K976" s="13" t="inlineStr">
        <is>
          <t>Negative</t>
        </is>
      </c>
    </row>
    <row r="977" ht="36" customHeight="1">
      <c r="A977" s="12" t="inlineStr">
        <is>
          <t>EMI Task Coverage</t>
        </is>
      </c>
      <c r="B977" s="12" t="inlineStr">
        <is>
          <t>Pending Reason &amp; Rebuild Fix</t>
        </is>
      </c>
      <c r="C977" s="12" t="inlineStr">
        <is>
          <t>Reason</t>
        </is>
      </c>
      <c r="D977" s="13" t="inlineStr">
        <is>
          <t>TC-Reason-04</t>
        </is>
      </c>
      <c r="E977" s="12" t="inlineStr">
        <is>
          <t>Reason Is Visible to Ops on the Pending Queue</t>
        </is>
      </c>
      <c r="F977" s="13" t="inlineStr">
        <is>
          <t>Medium</t>
        </is>
      </c>
      <c r="G977" s="12" t="inlineStr">
        <is>
          <t>Pending transactions of several causes</t>
        </is>
      </c>
      <c r="H977" s="12" t="inlineStr">
        <is>
          <t>1. Open the Ops pending view</t>
        </is>
      </c>
      <c r="I977" s="12" t="inlineStr">
        <is>
          <t>The reason is displayed per transaction, so the cause is visible without opening the record</t>
        </is>
      </c>
      <c r="J977" s="13" t="inlineStr">
        <is>
          <t>Not Tested</t>
        </is>
      </c>
      <c r="K977" s="13" t="inlineStr">
        <is>
          <t>Functional</t>
        </is>
      </c>
    </row>
    <row r="978" ht="36" customHeight="1">
      <c r="A978" s="12" t="inlineStr">
        <is>
          <t>EMI Task Coverage</t>
        </is>
      </c>
      <c r="B978" s="12" t="inlineStr">
        <is>
          <t>Pending Reason &amp; Rebuild Fix</t>
        </is>
      </c>
      <c r="C978" s="12" t="inlineStr">
        <is>
          <t>Reason</t>
        </is>
      </c>
      <c r="D978" s="13" t="inlineStr">
        <is>
          <t>TC-Reason-05</t>
        </is>
      </c>
      <c r="E978" s="12" t="inlineStr">
        <is>
          <t>Reason Is Consistent With the Transaction Ledger Pending Entry</t>
        </is>
      </c>
      <c r="F978" s="13" t="inlineStr">
        <is>
          <t>High</t>
        </is>
      </c>
      <c r="G978" s="12" t="inlineStr">
        <is>
          <t>A pending POS transaction</t>
        </is>
      </c>
      <c r="H978" s="12" t="inlineStr">
        <is>
          <t>1. Compare the base transaction reason with the transaction ledger pending entry reason</t>
        </is>
      </c>
      <c r="I978" s="12" t="inlineStr">
        <is>
          <t>The two agree; there is no divergence between the base transaction and the ledger view</t>
        </is>
      </c>
      <c r="J978" s="13" t="inlineStr">
        <is>
          <t>Not Tested</t>
        </is>
      </c>
      <c r="K978" s="13" t="inlineStr">
        <is>
          <t>Functional</t>
        </is>
      </c>
    </row>
    <row r="979" ht="36" customHeight="1">
      <c r="A979" s="12" t="inlineStr">
        <is>
          <t>EMI Task Coverage</t>
        </is>
      </c>
      <c r="B979" s="12" t="inlineStr">
        <is>
          <t>Pending Reason &amp; Rebuild Fix</t>
        </is>
      </c>
      <c r="C979" s="12" t="inlineStr">
        <is>
          <t>Rebuild Fix</t>
        </is>
      </c>
      <c r="D979" s="13" t="inlineStr">
        <is>
          <t>TC-RebuildFix-01</t>
        </is>
      </c>
      <c r="E979" s="12" t="inlineStr">
        <is>
          <t>Rebuild Running Balance Completes Without the Reported Failure</t>
        </is>
      </c>
      <c r="F979" s="13" t="inlineStr">
        <is>
          <t>High</t>
        </is>
      </c>
      <c r="G979" s="12" t="inlineStr">
        <is>
          <t>The scenario that previously caused the rebuild to fail</t>
        </is>
      </c>
      <c r="H979" s="12" t="inlineStr">
        <is>
          <t>1. Reproduce the scenario
2. Run the rebuild</t>
        </is>
      </c>
      <c r="I979" s="12" t="inlineStr">
        <is>
          <t>The rebuild completes; the previously reported failure does not recur</t>
        </is>
      </c>
      <c r="J979" s="13" t="inlineStr">
        <is>
          <t>Not Tested</t>
        </is>
      </c>
      <c r="K979" s="13" t="inlineStr">
        <is>
          <t>Negative</t>
        </is>
      </c>
    </row>
    <row r="980" ht="36" customHeight="1">
      <c r="A980" s="12" t="inlineStr">
        <is>
          <t>EMI Task Coverage</t>
        </is>
      </c>
      <c r="B980" s="12" t="inlineStr">
        <is>
          <t>Pending Reason &amp; Rebuild Fix</t>
        </is>
      </c>
      <c r="C980" s="12" t="inlineStr">
        <is>
          <t>Rebuild Fix</t>
        </is>
      </c>
      <c r="D980" s="13" t="inlineStr">
        <is>
          <t>TC-RebuildFix-02</t>
        </is>
      </c>
      <c r="E980" s="12" t="inlineStr">
        <is>
          <t>Rebuilt Balances Match the Ledger-Derived Values</t>
        </is>
      </c>
      <c r="F980" s="13" t="inlineStr">
        <is>
          <t>High</t>
        </is>
      </c>
      <c r="G980" s="12" t="inlineStr">
        <is>
          <t>A wallet rebuilt after the fix</t>
        </is>
      </c>
      <c r="H980" s="12" t="inlineStr">
        <is>
          <t>1. Compare the rebuilt balances against a ledger-derived recompute</t>
        </is>
      </c>
      <c r="I980" s="12" t="inlineStr">
        <is>
          <t>The two agree across all four buckets</t>
        </is>
      </c>
      <c r="J980" s="13" t="inlineStr">
        <is>
          <t>Not Tested</t>
        </is>
      </c>
      <c r="K980" s="13" t="inlineStr">
        <is>
          <t>Regression</t>
        </is>
      </c>
    </row>
    <row r="981" ht="36" customHeight="1">
      <c r="A981" s="12" t="inlineStr">
        <is>
          <t>EMI Task Coverage</t>
        </is>
      </c>
      <c r="B981" s="12" t="inlineStr">
        <is>
          <t>Pending Reason &amp; Rebuild Fix</t>
        </is>
      </c>
      <c r="C981" s="12" t="inlineStr">
        <is>
          <t>Rebuild Fix</t>
        </is>
      </c>
      <c r="D981" s="13" t="inlineStr">
        <is>
          <t>TC-RebuildFix-03</t>
        </is>
      </c>
      <c r="E981" s="12" t="inlineStr">
        <is>
          <t>Rebuild Is Idempotent After the Fix</t>
        </is>
      </c>
      <c r="F981" s="13" t="inlineStr">
        <is>
          <t>High</t>
        </is>
      </c>
      <c r="G981" s="12" t="inlineStr">
        <is>
          <t>A completed rebuild over an unchanged ledger</t>
        </is>
      </c>
      <c r="H981" s="12" t="inlineStr">
        <is>
          <t>1. Re-run the identical rebuild</t>
        </is>
      </c>
      <c r="I981" s="12" t="inlineStr">
        <is>
          <t>The second run makes no change; the fix did not reintroduce mutation on every execution</t>
        </is>
      </c>
      <c r="J981" s="13" t="inlineStr">
        <is>
          <t>Not Tested</t>
        </is>
      </c>
      <c r="K981" s="13" t="inlineStr">
        <is>
          <t>Integration</t>
        </is>
      </c>
    </row>
    <row r="982" ht="36" customHeight="1">
      <c r="A982" s="12" t="inlineStr">
        <is>
          <t>EMI Task Coverage</t>
        </is>
      </c>
      <c r="B982" s="12" t="inlineStr">
        <is>
          <t>Pending Reason &amp; Rebuild Fix</t>
        </is>
      </c>
      <c r="C982" s="12" t="inlineStr">
        <is>
          <t>Rebuild Fix</t>
        </is>
      </c>
      <c r="D982" s="13" t="inlineStr">
        <is>
          <t>TC-RebuildFix-04</t>
        </is>
      </c>
      <c r="E982" s="12" t="inlineStr">
        <is>
          <t>Fix Does Not Alter Entry Ordering</t>
        </is>
      </c>
      <c r="F982" s="13" t="inlineStr">
        <is>
          <t>High</t>
        </is>
      </c>
      <c r="G982" s="12" t="inlineStr">
        <is>
          <t>A wallet with a known statement sequence</t>
        </is>
      </c>
      <c r="H982" s="12" t="inlineStr">
        <is>
          <t>1. Rebuild and compare the entry sequence against the expected order</t>
        </is>
      </c>
      <c r="I982" s="12" t="inlineStr">
        <is>
          <t>Ordering is unchanged by the fix; the sequence is reproducible across runs</t>
        </is>
      </c>
      <c r="J982" s="13" t="inlineStr">
        <is>
          <t>Not Tested</t>
        </is>
      </c>
      <c r="K982" s="13" t="inlineStr">
        <is>
          <t>Regression</t>
        </is>
      </c>
    </row>
    <row r="983" ht="36" customHeight="1">
      <c r="A983" s="12" t="inlineStr">
        <is>
          <t>EMI Task Coverage</t>
        </is>
      </c>
      <c r="B983" s="12" t="inlineStr">
        <is>
          <t>Pending Reason &amp; Rebuild Fix</t>
        </is>
      </c>
      <c r="C983" s="12" t="inlineStr">
        <is>
          <t>Rebuild Fix</t>
        </is>
      </c>
      <c r="D983" s="13" t="inlineStr">
        <is>
          <t>TC-RebuildFix-05</t>
        </is>
      </c>
      <c r="E983" s="12" t="inlineStr">
        <is>
          <t>Fix Is Consistent With the Newer Rebuild Design</t>
        </is>
      </c>
      <c r="F983" s="13" t="inlineStr">
        <is>
          <t>Medium</t>
        </is>
      </c>
      <c r="G983" s="12" t="inlineStr">
        <is>
          <t>The EMI-5945 statement rebuild criteria</t>
        </is>
      </c>
      <c r="H983" s="12" t="inlineStr">
        <is>
          <t>1. Compare the fixed behaviour against the archive-then-replay design EMI-5945 defines</t>
        </is>
      </c>
      <c r="I983" s="12" t="inlineStr">
        <is>
          <t>The fix does not contradict the newer design. Any divergence is recorded so the two are reconciled rather than left to drift</t>
        </is>
      </c>
      <c r="J983" s="13" t="inlineStr">
        <is>
          <t>Not Tested</t>
        </is>
      </c>
      <c r="K983" s="13" t="inlineStr">
        <is>
          <t>Integration</t>
        </is>
      </c>
    </row>
    <row r="984" ht="36" customHeight="1">
      <c r="A984" s="12" t="inlineStr">
        <is>
          <t>EMI Task Coverage</t>
        </is>
      </c>
      <c r="B984" s="12" t="inlineStr">
        <is>
          <t>Security &amp; Logging</t>
        </is>
      </c>
      <c r="C984" s="12" t="inlineStr">
        <is>
          <t>OTP Hashing</t>
        </is>
      </c>
      <c r="D984" s="13" t="inlineStr">
        <is>
          <t>TC-Sec-01</t>
        </is>
      </c>
      <c r="E984" s="12" t="inlineStr">
        <is>
          <t>OTP Is Hashed in the Notification Log</t>
        </is>
      </c>
      <c r="F984" s="13" t="inlineStr">
        <is>
          <t>High</t>
        </is>
      </c>
      <c r="G984" s="12" t="inlineStr">
        <is>
          <t>A notification carrying an OTP</t>
        </is>
      </c>
      <c r="H984" s="12" t="inlineStr">
        <is>
          <t>1. Trigger it
2. Read the Notification Log collection in MongoDB</t>
        </is>
      </c>
      <c r="I984" s="12" t="inlineStr">
        <is>
          <t>The OTP is stored hashed; no plain-text OTP is present</t>
        </is>
      </c>
      <c r="J984" s="13" t="inlineStr">
        <is>
          <t>Not Tested</t>
        </is>
      </c>
      <c r="K984" s="13" t="inlineStr">
        <is>
          <t>Security</t>
        </is>
      </c>
    </row>
    <row r="985" ht="36" customHeight="1">
      <c r="A985" s="12" t="inlineStr">
        <is>
          <t>EMI Task Coverage</t>
        </is>
      </c>
      <c r="B985" s="12" t="inlineStr">
        <is>
          <t>Security &amp; Logging</t>
        </is>
      </c>
      <c r="C985" s="12" t="inlineStr">
        <is>
          <t>OTP Hashing</t>
        </is>
      </c>
      <c r="D985" s="13" t="inlineStr">
        <is>
          <t>TC-Sec-02</t>
        </is>
      </c>
      <c r="E985" s="12" t="inlineStr">
        <is>
          <t>OTP Is Hashed in the Taqnyat HTTP Log</t>
        </is>
      </c>
      <c r="F985" s="13" t="inlineStr">
        <is>
          <t>High</t>
        </is>
      </c>
      <c r="G985" s="12" t="inlineStr">
        <is>
          <t>A Taqnyat request carrying an OTP</t>
        </is>
      </c>
      <c r="H985" s="12" t="inlineStr">
        <is>
          <t>1. Trigger it
2. Read the HTTP Log collection</t>
        </is>
      </c>
      <c r="I985" s="12" t="inlineStr">
        <is>
          <t>The OTP is stored hashed in the HTTP log</t>
        </is>
      </c>
      <c r="J985" s="13" t="inlineStr">
        <is>
          <t>Not Tested</t>
        </is>
      </c>
      <c r="K985" s="13" t="inlineStr">
        <is>
          <t>Security</t>
        </is>
      </c>
    </row>
    <row r="986" ht="36" customHeight="1">
      <c r="A986" s="12" t="inlineStr">
        <is>
          <t>EMI Task Coverage</t>
        </is>
      </c>
      <c r="B986" s="12" t="inlineStr">
        <is>
          <t>Security &amp; Logging</t>
        </is>
      </c>
      <c r="C986" s="12" t="inlineStr">
        <is>
          <t>OTP Hashing</t>
        </is>
      </c>
      <c r="D986" s="13" t="inlineStr">
        <is>
          <t>TC-Sec-03</t>
        </is>
      </c>
      <c r="E986" s="12" t="inlineStr">
        <is>
          <t>Only Taqnyat Stores OTP Data in the HTTP Log</t>
        </is>
      </c>
      <c r="F986" s="13" t="inlineStr">
        <is>
          <t>High</t>
        </is>
      </c>
      <c r="G986" s="12" t="inlineStr">
        <is>
          <t>Traffic across all integrations</t>
        </is>
      </c>
      <c r="H986" s="12" t="inlineStr">
        <is>
          <t>1. Exercise Wathiq, Nafath, Yaqeen, Taqnyat, Lean, MOZN, HyperPay, WS1, WS3 and ANB
2. Search the HTTP Log for OTP-related content per integration</t>
        </is>
      </c>
      <c r="I986" s="12" t="inlineStr">
        <is>
          <t>Only Taqnyat carries OTP-related data, and it is hashed. Any other integration storing OTP data is a finding</t>
        </is>
      </c>
      <c r="J986" s="13" t="inlineStr">
        <is>
          <t>Not Tested</t>
        </is>
      </c>
      <c r="K986" s="13" t="inlineStr">
        <is>
          <t>Security</t>
        </is>
      </c>
    </row>
    <row r="987" ht="36" customHeight="1">
      <c r="A987" s="12" t="inlineStr">
        <is>
          <t>EMI Task Coverage</t>
        </is>
      </c>
      <c r="B987" s="12" t="inlineStr">
        <is>
          <t>Security &amp; Logging</t>
        </is>
      </c>
      <c r="C987" s="12" t="inlineStr">
        <is>
          <t>OTP Hashing</t>
        </is>
      </c>
      <c r="D987" s="13" t="inlineStr">
        <is>
          <t>TC-Sec-04</t>
        </is>
      </c>
      <c r="E987" s="12" t="inlineStr">
        <is>
          <t>Login Flow Stores No Plain-Text OTP</t>
        </is>
      </c>
      <c r="F987" s="13" t="inlineStr">
        <is>
          <t>High</t>
        </is>
      </c>
      <c r="G987" s="12" t="inlineStr">
        <is>
          <t>Login with OTP</t>
        </is>
      </c>
      <c r="H987" s="12" t="inlineStr">
        <is>
          <t>1. Complete a login
2. Search both log collections for the OTP value</t>
        </is>
      </c>
      <c r="I987" s="12" t="inlineStr">
        <is>
          <t>No plain-text OTP is persisted anywhere</t>
        </is>
      </c>
      <c r="J987" s="13" t="inlineStr">
        <is>
          <t>Not Tested</t>
        </is>
      </c>
      <c r="K987" s="13" t="inlineStr">
        <is>
          <t>Security</t>
        </is>
      </c>
    </row>
    <row r="988" ht="36" customHeight="1">
      <c r="A988" s="12" t="inlineStr">
        <is>
          <t>EMI Task Coverage</t>
        </is>
      </c>
      <c r="B988" s="12" t="inlineStr">
        <is>
          <t>Security &amp; Logging</t>
        </is>
      </c>
      <c r="C988" s="12" t="inlineStr">
        <is>
          <t>OTP Hashing</t>
        </is>
      </c>
      <c r="D988" s="13" t="inlineStr">
        <is>
          <t>TC-Sec-05</t>
        </is>
      </c>
      <c r="E988" s="12" t="inlineStr">
        <is>
          <t>Registration Flow Stores No Plain-Text OTP</t>
        </is>
      </c>
      <c r="F988" s="13" t="inlineStr">
        <is>
          <t>High</t>
        </is>
      </c>
      <c r="G988" s="12" t="inlineStr">
        <is>
          <t>Registration with OTP</t>
        </is>
      </c>
      <c r="H988" s="12" t="inlineStr">
        <is>
          <t>1. Complete a registration
2. Search both log collections</t>
        </is>
      </c>
      <c r="I988" s="12" t="inlineStr">
        <is>
          <t>No plain-text OTP is persisted</t>
        </is>
      </c>
      <c r="J988" s="13" t="inlineStr">
        <is>
          <t>Not Tested</t>
        </is>
      </c>
      <c r="K988" s="13" t="inlineStr">
        <is>
          <t>Security</t>
        </is>
      </c>
    </row>
    <row r="989" ht="36" customHeight="1">
      <c r="A989" s="12" t="inlineStr">
        <is>
          <t>EMI Task Coverage</t>
        </is>
      </c>
      <c r="B989" s="12" t="inlineStr">
        <is>
          <t>Security &amp; Logging</t>
        </is>
      </c>
      <c r="C989" s="12" t="inlineStr">
        <is>
          <t>OTP Hashing</t>
        </is>
      </c>
      <c r="D989" s="13" t="inlineStr">
        <is>
          <t>TC-Sec-06</t>
        </is>
      </c>
      <c r="E989" s="12" t="inlineStr">
        <is>
          <t>Top-Up and Bank Transfer Store No Plain-Text OTP</t>
        </is>
      </c>
      <c r="F989" s="13" t="inlineStr">
        <is>
          <t>High</t>
        </is>
      </c>
      <c r="G989" s="12" t="inlineStr">
        <is>
          <t>A top-up and a bank transfer, both OTP-verified</t>
        </is>
      </c>
      <c r="H989" s="12" t="inlineStr">
        <is>
          <t>1. Complete both
2. Search both log collections</t>
        </is>
      </c>
      <c r="I989" s="12" t="inlineStr">
        <is>
          <t>No plain-text OTP is persisted for either</t>
        </is>
      </c>
      <c r="J989" s="13" t="inlineStr">
        <is>
          <t>Not Tested</t>
        </is>
      </c>
      <c r="K989" s="13" t="inlineStr">
        <is>
          <t>Security</t>
        </is>
      </c>
    </row>
    <row r="990" ht="36" customHeight="1">
      <c r="A990" s="12" t="inlineStr">
        <is>
          <t>EMI Task Coverage</t>
        </is>
      </c>
      <c r="B990" s="12" t="inlineStr">
        <is>
          <t>Security &amp; Logging</t>
        </is>
      </c>
      <c r="C990" s="12" t="inlineStr">
        <is>
          <t>OTP Hashing</t>
        </is>
      </c>
      <c r="D990" s="13" t="inlineStr">
        <is>
          <t>TC-Sec-07</t>
        </is>
      </c>
      <c r="E990" s="12" t="inlineStr">
        <is>
          <t>Every OTP-Verified Transaction Type Is Covered</t>
        </is>
      </c>
      <c r="F990" s="13" t="inlineStr">
        <is>
          <t>High</t>
        </is>
      </c>
      <c r="G990" s="12" t="inlineStr">
        <is>
          <t>One transaction of each type requiring OTP verification</t>
        </is>
      </c>
      <c r="H990" s="12" t="inlineStr">
        <is>
          <t>1. Complete each
2. Search both log collections</t>
        </is>
      </c>
      <c r="I990" s="12" t="inlineStr">
        <is>
          <t>No transaction type leaves a plain-text OTP in either collection</t>
        </is>
      </c>
      <c r="J990" s="13" t="inlineStr">
        <is>
          <t>Not Tested</t>
        </is>
      </c>
      <c r="K990" s="13" t="inlineStr">
        <is>
          <t>Security</t>
        </is>
      </c>
    </row>
    <row r="991" ht="36" customHeight="1">
      <c r="A991" s="12" t="inlineStr">
        <is>
          <t>EMI Task Coverage</t>
        </is>
      </c>
      <c r="B991" s="12" t="inlineStr">
        <is>
          <t>Security &amp; Logging</t>
        </is>
      </c>
      <c r="C991" s="12" t="inlineStr">
        <is>
          <t>OTP Hashing</t>
        </is>
      </c>
      <c r="D991" s="13" t="inlineStr">
        <is>
          <t>TC-Sec-08</t>
        </is>
      </c>
      <c r="E991" s="12" t="inlineStr">
        <is>
          <t>Incoming Transaction Job Stores No Plain-Text OTP</t>
        </is>
      </c>
      <c r="F991" s="13" t="inlineStr">
        <is>
          <t>High</t>
        </is>
      </c>
      <c r="G991" s="12" t="inlineStr">
        <is>
          <t>The incoming transaction job running with OTP-bearing notifications</t>
        </is>
      </c>
      <c r="H991" s="12" t="inlineStr">
        <is>
          <t>1. Let the job run
2. Search both log collections</t>
        </is>
      </c>
      <c r="I991" s="12" t="inlineStr">
        <is>
          <t>No plain-text OTP is persisted by the job path</t>
        </is>
      </c>
      <c r="J991" s="13" t="inlineStr">
        <is>
          <t>Not Tested</t>
        </is>
      </c>
      <c r="K991" s="13" t="inlineStr">
        <is>
          <t>Security</t>
        </is>
      </c>
    </row>
    <row r="992" ht="36" customHeight="1">
      <c r="A992" s="12" t="inlineStr">
        <is>
          <t>EMI Task Coverage</t>
        </is>
      </c>
      <c r="B992" s="12" t="inlineStr">
        <is>
          <t>Security &amp; Logging</t>
        </is>
      </c>
      <c r="C992" s="12" t="inlineStr">
        <is>
          <t>OTP Hashing</t>
        </is>
      </c>
      <c r="D992" s="13" t="inlineStr">
        <is>
          <t>TC-Sec-09</t>
        </is>
      </c>
      <c r="E992" s="12" t="inlineStr">
        <is>
          <t>Hash Is Not Trivially Reversible to the OTP</t>
        </is>
      </c>
      <c r="F992" s="13" t="inlineStr">
        <is>
          <t>High</t>
        </is>
      </c>
      <c r="G992" s="12" t="inlineStr">
        <is>
          <t>A hashed OTP in the log</t>
        </is>
      </c>
      <c r="H992" s="12" t="inlineStr">
        <is>
          <t>1. Attempt to recover the OTP from the stored value by direct comparison against the small OTP keyspace</t>
        </is>
      </c>
      <c r="I992" s="12" t="inlineStr">
        <is>
          <t>The hashing approach does not make the short OTP keyspace trivially reversible. If it does, record it as a finding rather than passing the test</t>
        </is>
      </c>
      <c r="J992" s="13" t="inlineStr">
        <is>
          <t>Not Tested</t>
        </is>
      </c>
      <c r="K992" s="13" t="inlineStr">
        <is>
          <t>Security</t>
        </is>
      </c>
    </row>
    <row r="993" ht="36" customHeight="1">
      <c r="A993" s="12" t="inlineStr">
        <is>
          <t>EMI Task Coverage</t>
        </is>
      </c>
      <c r="B993" s="12" t="inlineStr">
        <is>
          <t>Security &amp; Logging</t>
        </is>
      </c>
      <c r="C993" s="12" t="inlineStr">
        <is>
          <t>Lean</t>
        </is>
      </c>
      <c r="D993" s="13" t="inlineStr">
        <is>
          <t>TC-Lean-01</t>
        </is>
      </c>
      <c r="E993" s="12" t="inlineStr">
        <is>
          <t>Auth Failure Throws LeanAuthenticationException With Its Code</t>
        </is>
      </c>
      <c r="F993" s="13" t="inlineStr">
        <is>
          <t>High</t>
        </is>
      </c>
      <c r="G993" s="12" t="inlineStr">
        <is>
          <t>Lean access-token call able to fail authentication</t>
        </is>
      </c>
      <c r="H993" s="12" t="inlineStr">
        <is>
          <t>1. Force an auth failure
2. Inspect the exception and the returned error code</t>
        </is>
      </c>
      <c r="I993" s="12" t="inlineStr">
        <is>
          <t>LeanAuthenticationException is thrown and LEAN_AUTHENTICATION_FAILED is returned, not a raw or unhandled error</t>
        </is>
      </c>
      <c r="J993" s="13" t="inlineStr">
        <is>
          <t>Not Tested</t>
        </is>
      </c>
      <c r="K993" s="13" t="inlineStr">
        <is>
          <t>Negative</t>
        </is>
      </c>
    </row>
    <row r="994" ht="36" customHeight="1">
      <c r="A994" s="12" t="inlineStr">
        <is>
          <t>EMI Task Coverage</t>
        </is>
      </c>
      <c r="B994" s="12" t="inlineStr">
        <is>
          <t>Security &amp; Logging</t>
        </is>
      </c>
      <c r="C994" s="12" t="inlineStr">
        <is>
          <t>Lean</t>
        </is>
      </c>
      <c r="D994" s="13" t="inlineStr">
        <is>
          <t>TC-Lean-02</t>
        </is>
      </c>
      <c r="E994" s="12" t="inlineStr">
        <is>
          <t>Business Verification Failure Throws LeanVerificationException</t>
        </is>
      </c>
      <c r="F994" s="13" t="inlineStr">
        <is>
          <t>High</t>
        </is>
      </c>
      <c r="G994" s="12" t="inlineStr">
        <is>
          <t>verifyBusinessAccount able to fail</t>
        </is>
      </c>
      <c r="H994" s="12" t="inlineStr">
        <is>
          <t>1. Force a verification failure</t>
        </is>
      </c>
      <c r="I994" s="12" t="inlineStr">
        <is>
          <t>LeanVerificationException is thrown and LEAN_VERIFICATION_FAILED is returned</t>
        </is>
      </c>
      <c r="J994" s="13" t="inlineStr">
        <is>
          <t>Not Tested</t>
        </is>
      </c>
      <c r="K994" s="13" t="inlineStr">
        <is>
          <t>Negative</t>
        </is>
      </c>
    </row>
    <row r="995" ht="36" customHeight="1">
      <c r="A995" s="12" t="inlineStr">
        <is>
          <t>EMI Task Coverage</t>
        </is>
      </c>
      <c r="B995" s="12" t="inlineStr">
        <is>
          <t>Security &amp; Logging</t>
        </is>
      </c>
      <c r="C995" s="12" t="inlineStr">
        <is>
          <t>Lean</t>
        </is>
      </c>
      <c r="D995" s="13" t="inlineStr">
        <is>
          <t>TC-Lean-03</t>
        </is>
      </c>
      <c r="E995" s="12" t="inlineStr">
        <is>
          <t>Customer Verification Failure Behaves Identically</t>
        </is>
      </c>
      <c r="F995" s="13" t="inlineStr">
        <is>
          <t>High</t>
        </is>
      </c>
      <c r="G995" s="12" t="inlineStr">
        <is>
          <t>verifyCustomerAccount able to fail</t>
        </is>
      </c>
      <c r="H995" s="12" t="inlineStr">
        <is>
          <t>1. Force a verification failure</t>
        </is>
      </c>
      <c r="I995" s="12" t="inlineStr">
        <is>
          <t>LeanVerificationException is thrown and LEAN_VERIFICATION_FAILED is returned, matching the business path</t>
        </is>
      </c>
      <c r="J995" s="13" t="inlineStr">
        <is>
          <t>Not Tested</t>
        </is>
      </c>
      <c r="K995" s="13" t="inlineStr">
        <is>
          <t>Negative</t>
        </is>
      </c>
    </row>
    <row r="996" ht="36" customHeight="1">
      <c r="A996" s="12" t="inlineStr">
        <is>
          <t>EMI Task Coverage</t>
        </is>
      </c>
      <c r="B996" s="12" t="inlineStr">
        <is>
          <t>Security &amp; Logging</t>
        </is>
      </c>
      <c r="C996" s="12" t="inlineStr">
        <is>
          <t>Lean</t>
        </is>
      </c>
      <c r="D996" s="13" t="inlineStr">
        <is>
          <t>TC-Lean-04</t>
        </is>
      </c>
      <c r="E996" s="12" t="inlineStr">
        <is>
          <t>Lean Raw Error Body Is Parsed and Logged</t>
        </is>
      </c>
      <c r="F996" s="13" t="inlineStr">
        <is>
          <t>High</t>
        </is>
      </c>
      <c r="G996" s="12" t="inlineStr">
        <is>
          <t>A verification failure carrying a Lean error body</t>
        </is>
      </c>
      <c r="H996" s="12" t="inlineStr">
        <is>
          <t>1. Force it and inspect the logs</t>
        </is>
      </c>
      <c r="I996" s="12" t="inlineStr">
        <is>
          <t>Lean's raw error response body is parsed and logged, and its message is included in the returned error</t>
        </is>
      </c>
      <c r="J996" s="13" t="inlineStr">
        <is>
          <t>Not Tested</t>
        </is>
      </c>
      <c r="K996" s="13" t="inlineStr">
        <is>
          <t>Integration</t>
        </is>
      </c>
    </row>
    <row r="997" ht="36" customHeight="1">
      <c r="A997" s="12" t="inlineStr">
        <is>
          <t>EMI Task Coverage</t>
        </is>
      </c>
      <c r="B997" s="12" t="inlineStr">
        <is>
          <t>Security &amp; Logging</t>
        </is>
      </c>
      <c r="C997" s="12" t="inlineStr">
        <is>
          <t>Lean</t>
        </is>
      </c>
      <c r="D997" s="13" t="inlineStr">
        <is>
          <t>TC-Lean-05</t>
        </is>
      </c>
      <c r="E997" s="12" t="inlineStr">
        <is>
          <t>4xx Fails Fast With No Retry</t>
        </is>
      </c>
      <c r="F997" s="13" t="inlineStr">
        <is>
          <t>High</t>
        </is>
      </c>
      <c r="G997" s="12" t="inlineStr">
        <is>
          <t>Lean returning a 4xx</t>
        </is>
      </c>
      <c r="H997" s="12" t="inlineStr">
        <is>
          <t>1. Force a 4xx
2. Inspect the logs for retry attempts</t>
        </is>
      </c>
      <c r="I997" s="12" t="inlineStr">
        <is>
          <t>The call fails fast with LEAN_VERIFICATION_FAILED and no retry attempt appears in the logs</t>
        </is>
      </c>
      <c r="J997" s="13" t="inlineStr">
        <is>
          <t>Not Tested</t>
        </is>
      </c>
      <c r="K997" s="13" t="inlineStr">
        <is>
          <t>Negative</t>
        </is>
      </c>
    </row>
    <row r="998" ht="36" customHeight="1">
      <c r="A998" s="12" t="inlineStr">
        <is>
          <t>EMI Task Coverage</t>
        </is>
      </c>
      <c r="B998" s="12" t="inlineStr">
        <is>
          <t>Security &amp; Logging</t>
        </is>
      </c>
      <c r="C998" s="12" t="inlineStr">
        <is>
          <t>Lean</t>
        </is>
      </c>
      <c r="D998" s="13" t="inlineStr">
        <is>
          <t>TC-Lean-06</t>
        </is>
      </c>
      <c r="E998" s="12" t="inlineStr">
        <is>
          <t>5xx Retries Up to the Configured Maximum</t>
        </is>
      </c>
      <c r="F998" s="13" t="inlineStr">
        <is>
          <t>High</t>
        </is>
      </c>
      <c r="G998" s="12" t="inlineStr">
        <is>
          <t>Lean returning a 5xx</t>
        </is>
      </c>
      <c r="H998" s="12" t="inlineStr">
        <is>
          <t>1. Force repeated 5xx responses
2. Count the attempts</t>
        </is>
      </c>
      <c r="I998" s="12" t="inlineStr">
        <is>
          <t>The call retries up to lean.max.retries (default 3) with the configured delay (default 1000ms), then returns LEAN_VERIFICATION_FAILED</t>
        </is>
      </c>
      <c r="J998" s="13" t="inlineStr">
        <is>
          <t>Not Tested</t>
        </is>
      </c>
      <c r="K998" s="13" t="inlineStr">
        <is>
          <t>Edge / Boundary</t>
        </is>
      </c>
    </row>
    <row r="999" ht="36" customHeight="1">
      <c r="A999" s="12" t="inlineStr">
        <is>
          <t>EMI Task Coverage</t>
        </is>
      </c>
      <c r="B999" s="12" t="inlineStr">
        <is>
          <t>Security &amp; Logging</t>
        </is>
      </c>
      <c r="C999" s="12" t="inlineStr">
        <is>
          <t>Lean</t>
        </is>
      </c>
      <c r="D999" s="13" t="inlineStr">
        <is>
          <t>TC-Lean-07</t>
        </is>
      </c>
      <c r="E999" s="12" t="inlineStr">
        <is>
          <t>Timeout Is Retried Like a 5xx</t>
        </is>
      </c>
      <c r="F999" s="13" t="inlineStr">
        <is>
          <t>High</t>
        </is>
      </c>
      <c r="G999" s="12" t="inlineStr">
        <is>
          <t>Lean timing out</t>
        </is>
      </c>
      <c r="H999" s="12" t="inlineStr">
        <is>
          <t>1. Force timeouts
2. Count the attempts</t>
        </is>
      </c>
      <c r="I999" s="12" t="inlineStr">
        <is>
          <t>Timeouts retry up to the configured maximum then return LEAN_VERIFICATION_FAILED</t>
        </is>
      </c>
      <c r="J999" s="13" t="inlineStr">
        <is>
          <t>Not Tested</t>
        </is>
      </c>
      <c r="K999" s="13" t="inlineStr">
        <is>
          <t>Edge / Boundary</t>
        </is>
      </c>
    </row>
    <row r="1000" ht="36" customHeight="1">
      <c r="A1000" s="12" t="inlineStr">
        <is>
          <t>EMI Task Coverage</t>
        </is>
      </c>
      <c r="B1000" s="12" t="inlineStr">
        <is>
          <t>Security &amp; Logging</t>
        </is>
      </c>
      <c r="C1000" s="12" t="inlineStr">
        <is>
          <t>Lean</t>
        </is>
      </c>
      <c r="D1000" s="13" t="inlineStr">
        <is>
          <t>TC-Lean-08</t>
        </is>
      </c>
      <c r="E1000" s="12" t="inlineStr">
        <is>
          <t>Unknown JSON Properties Are Ignored</t>
        </is>
      </c>
      <c r="F1000" s="13" t="inlineStr">
        <is>
          <t>High</t>
        </is>
      </c>
      <c r="G1000" s="12" t="inlineStr">
        <is>
          <t>Lean returning extra or unrecognised fields</t>
        </is>
      </c>
      <c r="H1000" s="12" t="inlineStr">
        <is>
          <t>1. Return additional fields on the verification and error responses
2. Observe parsing</t>
        </is>
      </c>
      <c r="I1000" s="12" t="inlineStr">
        <is>
          <t>AccountVerificationResponse, Verifications and LeanErrorResponse all ignore unknown properties and parsing succeeds</t>
        </is>
      </c>
      <c r="J1000" s="13" t="inlineStr">
        <is>
          <t>Not Tested</t>
        </is>
      </c>
      <c r="K1000" s="13" t="inlineStr">
        <is>
          <t>Negative</t>
        </is>
      </c>
    </row>
    <row r="1001" ht="36" customHeight="1">
      <c r="A1001" s="12" t="inlineStr">
        <is>
          <t>EMI Task Coverage</t>
        </is>
      </c>
      <c r="B1001" s="12" t="inlineStr">
        <is>
          <t>Security &amp; Logging</t>
        </is>
      </c>
      <c r="C1001" s="12" t="inlineStr">
        <is>
          <t>Lean</t>
        </is>
      </c>
      <c r="D1001" s="13" t="inlineStr">
        <is>
          <t>TC-Lean-09</t>
        </is>
      </c>
      <c r="E1001" s="12" t="inlineStr">
        <is>
          <t>Verifications Carries the matching Field</t>
        </is>
      </c>
      <c r="F1001" s="13" t="inlineStr">
        <is>
          <t>Medium</t>
        </is>
      </c>
      <c r="G1001" s="12" t="inlineStr">
        <is>
          <t>A successful verification response</t>
        </is>
      </c>
      <c r="H1001" s="12" t="inlineStr">
        <is>
          <t>1. Inspect the parsed Verifications object</t>
        </is>
      </c>
      <c r="I1001" s="12" t="inlineStr">
        <is>
          <t>The matching field is present and populated</t>
        </is>
      </c>
      <c r="J1001" s="13" t="inlineStr">
        <is>
          <t>Not Tested</t>
        </is>
      </c>
      <c r="K1001" s="13" t="inlineStr">
        <is>
          <t>Integration</t>
        </is>
      </c>
    </row>
    <row r="1002" ht="36" customHeight="1">
      <c r="A1002" s="12" t="inlineStr">
        <is>
          <t>EMI Task Coverage</t>
        </is>
      </c>
      <c r="B1002" s="12" t="inlineStr">
        <is>
          <t>Security &amp; Logging</t>
        </is>
      </c>
      <c r="C1002" s="12" t="inlineStr">
        <is>
          <t>Lean</t>
        </is>
      </c>
      <c r="D1002" s="13" t="inlineStr">
        <is>
          <t>TC-Lean-10</t>
        </is>
      </c>
      <c r="E1002" s="12" t="inlineStr">
        <is>
          <t>Business Verification Happy Path</t>
        </is>
      </c>
      <c r="F1002" s="13" t="inlineStr">
        <is>
          <t>High</t>
        </is>
      </c>
      <c r="G1002" s="12" t="inlineStr">
        <is>
          <t>A valid business with unifiedNumber, optional crn and iban</t>
        </is>
      </c>
      <c r="H1002" s="12" t="inlineStr">
        <is>
          <t>1. Run verification</t>
        </is>
      </c>
      <c r="I1002" s="12" t="inlineStr">
        <is>
          <t>Verification succeeds and the result is returned correctly</t>
        </is>
      </c>
      <c r="J1002" s="13" t="inlineStr">
        <is>
          <t>Not Tested</t>
        </is>
      </c>
      <c r="K1002" s="13" t="inlineStr">
        <is>
          <t>Integration</t>
        </is>
      </c>
    </row>
    <row r="1003" ht="36" customHeight="1">
      <c r="A1003" s="12" t="inlineStr">
        <is>
          <t>EMI Task Coverage</t>
        </is>
      </c>
      <c r="B1003" s="12" t="inlineStr">
        <is>
          <t>Security &amp; Logging</t>
        </is>
      </c>
      <c r="C1003" s="12" t="inlineStr">
        <is>
          <t>Lean</t>
        </is>
      </c>
      <c r="D1003" s="13" t="inlineStr">
        <is>
          <t>TC-Lean-11</t>
        </is>
      </c>
      <c r="E1003" s="12" t="inlineStr">
        <is>
          <t>Customer Verification Happy Path</t>
        </is>
      </c>
      <c r="F1003" s="13" t="inlineStr">
        <is>
          <t>High</t>
        </is>
      </c>
      <c r="G1003" s="12" t="inlineStr">
        <is>
          <t>A valid customer with nationalId and iban</t>
        </is>
      </c>
      <c r="H1003" s="12" t="inlineStr">
        <is>
          <t>1. Run verification</t>
        </is>
      </c>
      <c r="I1003" s="12" t="inlineStr">
        <is>
          <t>Verification succeeds and the result is returned correctly</t>
        </is>
      </c>
      <c r="J1003" s="13" t="inlineStr">
        <is>
          <t>Not Tested</t>
        </is>
      </c>
      <c r="K1003" s="13" t="inlineStr">
        <is>
          <t>Integration</t>
        </is>
      </c>
    </row>
    <row r="1004" ht="36" customHeight="1">
      <c r="A1004" s="12" t="inlineStr">
        <is>
          <t>EMI Task Coverage</t>
        </is>
      </c>
      <c r="B1004" s="12" t="inlineStr">
        <is>
          <t>Security &amp; Logging</t>
        </is>
      </c>
      <c r="C1004" s="12" t="inlineStr">
        <is>
          <t>Lean</t>
        </is>
      </c>
      <c r="D1004" s="13" t="inlineStr">
        <is>
          <t>TC-Lean-12</t>
        </is>
      </c>
      <c r="E1004" s="12" t="inlineStr">
        <is>
          <t>Both Flows Regression-Checked Across Release Branches</t>
        </is>
      </c>
      <c r="F1004" s="13" t="inlineStr">
        <is>
          <t>Medium</t>
        </is>
      </c>
      <c r="G1004" s="12" t="inlineStr">
        <is>
          <t>The environments QA covers for the affected release branches</t>
        </is>
      </c>
      <c r="H1004" s="12" t="inlineStr">
        <is>
          <t>1. Run both verification flows on each covered environment</t>
        </is>
      </c>
      <c r="I1004" s="12" t="inlineStr">
        <is>
          <t>Behaviour is identical on every environment the fix was backported to</t>
        </is>
      </c>
      <c r="J1004" s="13" t="inlineStr">
        <is>
          <t>Not Tested</t>
        </is>
      </c>
      <c r="K1004" s="13" t="inlineStr">
        <is>
          <t>Integration</t>
        </is>
      </c>
    </row>
    <row r="1005" ht="36" customHeight="1">
      <c r="A1005" s="12" t="inlineStr">
        <is>
          <t>EMI Task Coverage</t>
        </is>
      </c>
      <c r="B1005" s="12" t="inlineStr">
        <is>
          <t>Security &amp; Logging</t>
        </is>
      </c>
      <c r="C1005" s="12" t="inlineStr">
        <is>
          <t>Remediation</t>
        </is>
      </c>
      <c r="D1005" s="13" t="inlineStr">
        <is>
          <t>TC-Sec-10</t>
        </is>
      </c>
      <c r="E1005" s="12" t="inlineStr">
        <is>
          <t>Android Security Audit Findings Are Remediated</t>
        </is>
      </c>
      <c r="F1005" s="13" t="inlineStr">
        <is>
          <t>High</t>
        </is>
      </c>
      <c r="G1005" s="12" t="inlineStr">
        <is>
          <t>The Android security audit finding list</t>
        </is>
      </c>
      <c r="H1005" s="12" t="inlineStr">
        <is>
          <t>1. Re-test each finding on the remediated build</t>
        </is>
      </c>
      <c r="I1005" s="12" t="inlineStr">
        <is>
          <t>Every finding is closed or has a recorded accepted-risk decision; none is silently left open</t>
        </is>
      </c>
      <c r="J1005" s="13" t="inlineStr">
        <is>
          <t>Not Tested</t>
        </is>
      </c>
      <c r="K1005" s="13" t="inlineStr">
        <is>
          <t>Security</t>
        </is>
      </c>
    </row>
    <row r="1006" ht="36" customHeight="1">
      <c r="A1006" s="12" t="inlineStr">
        <is>
          <t>EMI Task Coverage</t>
        </is>
      </c>
      <c r="B1006" s="12" t="inlineStr">
        <is>
          <t>Security &amp; Logging</t>
        </is>
      </c>
      <c r="C1006" s="12" t="inlineStr">
        <is>
          <t>Remediation</t>
        </is>
      </c>
      <c r="D1006" s="13" t="inlineStr">
        <is>
          <t>TC-Sec-11</t>
        </is>
      </c>
      <c r="E1006" s="12" t="inlineStr">
        <is>
          <t>Remediation Introduced No Functional Regression</t>
        </is>
      </c>
      <c r="F1006" s="13" t="inlineStr">
        <is>
          <t>High</t>
        </is>
      </c>
      <c r="G1006" s="12" t="inlineStr">
        <is>
          <t>The remediated Android build</t>
        </is>
      </c>
      <c r="H1006" s="12" t="inlineStr">
        <is>
          <t>1. Run the core business flows: login, registration, transfer, bill payment, top-up</t>
        </is>
      </c>
      <c r="I1006" s="12" t="inlineStr">
        <is>
          <t>All core flows work unchanged after the security remediation</t>
        </is>
      </c>
      <c r="J1006" s="13" t="inlineStr">
        <is>
          <t>Not Tested</t>
        </is>
      </c>
      <c r="K1006" s="13" t="inlineStr">
        <is>
          <t>Security</t>
        </is>
      </c>
    </row>
    <row r="1007" ht="36" customHeight="1">
      <c r="A1007" s="12" t="inlineStr">
        <is>
          <t>EMI Task Coverage</t>
        </is>
      </c>
      <c r="B1007" s="12" t="inlineStr">
        <is>
          <t>Localisation &amp; Messages</t>
        </is>
      </c>
      <c r="C1007" s="12" t="inlineStr">
        <is>
          <t>Locale</t>
        </is>
      </c>
      <c r="D1007" s="13" t="inlineStr">
        <is>
          <t>TC-Locale-01</t>
        </is>
      </c>
      <c r="E1007" s="12" t="inlineStr">
        <is>
          <t>Response Language Follows the Requested Locale</t>
        </is>
      </c>
      <c r="F1007" s="13" t="inlineStr">
        <is>
          <t>High</t>
        </is>
      </c>
      <c r="G1007" s="12" t="inlineStr">
        <is>
          <t>Endpoints returning user-facing messages</t>
        </is>
      </c>
      <c r="H1007" s="12" t="inlineStr">
        <is>
          <t>1. Call a representative set with an Arabic locale, then an English locale</t>
        </is>
      </c>
      <c r="I1007" s="12" t="inlineStr">
        <is>
          <t>Each returns messages in the requested language; nothing is pinned to a single hardcoded locale</t>
        </is>
      </c>
      <c r="J1007" s="13" t="inlineStr">
        <is>
          <t>Not Tested</t>
        </is>
      </c>
      <c r="K1007" s="13" t="inlineStr">
        <is>
          <t>Localisation</t>
        </is>
      </c>
    </row>
    <row r="1008" ht="36" customHeight="1">
      <c r="A1008" s="12" t="inlineStr">
        <is>
          <t>EMI Task Coverage</t>
        </is>
      </c>
      <c r="B1008" s="12" t="inlineStr">
        <is>
          <t>Localisation &amp; Messages</t>
        </is>
      </c>
      <c r="C1008" s="12" t="inlineStr">
        <is>
          <t>Locale</t>
        </is>
      </c>
      <c r="D1008" s="13" t="inlineStr">
        <is>
          <t>TC-Locale-02</t>
        </is>
      </c>
      <c r="E1008" s="12" t="inlineStr">
        <is>
          <t>No Hardcoded Locale Remains in the Audited Paths</t>
        </is>
      </c>
      <c r="F1008" s="13" t="inlineStr">
        <is>
          <t>High</t>
        </is>
      </c>
      <c r="G1008" s="12" t="inlineStr">
        <is>
          <t>The hardcoded-locale audit list produced by the task</t>
        </is>
      </c>
      <c r="H1008" s="12" t="inlineStr">
        <is>
          <t>1. Exercise each listed path in both locales</t>
        </is>
      </c>
      <c r="I1008" s="12" t="inlineStr">
        <is>
          <t>Each resolves the locale dynamically; none returns a fixed language regardless of the request</t>
        </is>
      </c>
      <c r="J1008" s="13" t="inlineStr">
        <is>
          <t>Not Tested</t>
        </is>
      </c>
      <c r="K1008" s="13" t="inlineStr">
        <is>
          <t>Localisation</t>
        </is>
      </c>
    </row>
    <row r="1009" ht="36" customHeight="1">
      <c r="A1009" s="12" t="inlineStr">
        <is>
          <t>EMI Task Coverage</t>
        </is>
      </c>
      <c r="B1009" s="12" t="inlineStr">
        <is>
          <t>Localisation &amp; Messages</t>
        </is>
      </c>
      <c r="C1009" s="12" t="inlineStr">
        <is>
          <t>Locale</t>
        </is>
      </c>
      <c r="D1009" s="13" t="inlineStr">
        <is>
          <t>TC-Locale-03</t>
        </is>
      </c>
      <c r="E1009" s="12" t="inlineStr">
        <is>
          <t>Unsupported or Missing Locale Falls Back Predictably</t>
        </is>
      </c>
      <c r="F1009" s="13" t="inlineStr">
        <is>
          <t>Medium</t>
        </is>
      </c>
      <c r="G1009" s="12" t="inlineStr">
        <is>
          <t>Endpoints returning user-facing messages</t>
        </is>
      </c>
      <c r="H1009" s="12" t="inlineStr">
        <is>
          <t>1. Call with an unsupported locale, then with none at all</t>
        </is>
      </c>
      <c r="I1009" s="12" t="inlineStr">
        <is>
          <t>A documented default is applied consistently rather than the response varying by endpoint</t>
        </is>
      </c>
      <c r="J1009" s="13" t="inlineStr">
        <is>
          <t>Not Tested</t>
        </is>
      </c>
      <c r="K1009" s="13" t="inlineStr">
        <is>
          <t>Negative</t>
        </is>
      </c>
    </row>
    <row r="1010" ht="36" customHeight="1">
      <c r="A1010" s="12" t="inlineStr">
        <is>
          <t>EMI Task Coverage</t>
        </is>
      </c>
      <c r="B1010" s="12" t="inlineStr">
        <is>
          <t>Localisation &amp; Messages</t>
        </is>
      </c>
      <c r="C1010" s="12" t="inlineStr">
        <is>
          <t>Locale</t>
        </is>
      </c>
      <c r="D1010" s="13" t="inlineStr">
        <is>
          <t>TC-Locale-04</t>
        </is>
      </c>
      <c r="E1010" s="12" t="inlineStr">
        <is>
          <t>Locale Is Honoured on Error Responses Too</t>
        </is>
      </c>
      <c r="F1010" s="13" t="inlineStr">
        <is>
          <t>High</t>
        </is>
      </c>
      <c r="G1010" s="12" t="inlineStr">
        <is>
          <t>An endpoint that returns a validation error</t>
        </is>
      </c>
      <c r="H1010" s="12" t="inlineStr">
        <is>
          <t>1. Force the error in each locale</t>
        </is>
      </c>
      <c r="I1010" s="12" t="inlineStr">
        <is>
          <t>Error messages follow the requested locale, not only success messages</t>
        </is>
      </c>
      <c r="J1010" s="13" t="inlineStr">
        <is>
          <t>Not Tested</t>
        </is>
      </c>
      <c r="K1010" s="13" t="inlineStr">
        <is>
          <t>Localisation</t>
        </is>
      </c>
    </row>
    <row r="1011" ht="36" customHeight="1">
      <c r="A1011" s="12" t="inlineStr">
        <is>
          <t>EMI Task Coverage</t>
        </is>
      </c>
      <c r="B1011" s="12" t="inlineStr">
        <is>
          <t>Localisation &amp; Messages</t>
        </is>
      </c>
      <c r="C1011" s="12" t="inlineStr">
        <is>
          <t>Messages</t>
        </is>
      </c>
      <c r="D1011" s="13" t="inlineStr">
        <is>
          <t>TC-Msg-01</t>
        </is>
      </c>
      <c r="E1011" s="12" t="inlineStr">
        <is>
          <t>Every Database-Stored Exception Message Has an Arabic Translation</t>
        </is>
      </c>
      <c r="F1011" s="13" t="inlineStr">
        <is>
          <t>High</t>
        </is>
      </c>
      <c r="G1011" s="12" t="inlineStr">
        <is>
          <t>The list of exceptions using database-stored messages</t>
        </is>
      </c>
      <c r="H1011" s="12" t="inlineStr">
        <is>
          <t>1. Trigger or query each
2. Check the Arabic text</t>
        </is>
      </c>
      <c r="I1011" s="12" t="inlineStr">
        <is>
          <t>Every listed message has Arabic coverage; any missing translation is recorded as a finding</t>
        </is>
      </c>
      <c r="J1011" s="13" t="inlineStr">
        <is>
          <t>Not Tested</t>
        </is>
      </c>
      <c r="K1011" s="13" t="inlineStr">
        <is>
          <t>Negative</t>
        </is>
      </c>
    </row>
    <row r="1012" ht="36" customHeight="1">
      <c r="A1012" s="12" t="inlineStr">
        <is>
          <t>EMI Task Coverage</t>
        </is>
      </c>
      <c r="B1012" s="12" t="inlineStr">
        <is>
          <t>Localisation &amp; Messages</t>
        </is>
      </c>
      <c r="C1012" s="12" t="inlineStr">
        <is>
          <t>Messages</t>
        </is>
      </c>
      <c r="D1012" s="13" t="inlineStr">
        <is>
          <t>TC-Msg-02</t>
        </is>
      </c>
      <c r="E1012" s="12" t="inlineStr">
        <is>
          <t>Every Database-Stored Exception Message Has an English Translation</t>
        </is>
      </c>
      <c r="F1012" s="13" t="inlineStr">
        <is>
          <t>High</t>
        </is>
      </c>
      <c r="G1012" s="12" t="inlineStr">
        <is>
          <t>The same list</t>
        </is>
      </c>
      <c r="H1012" s="12" t="inlineStr">
        <is>
          <t>1. Trigger or query each
2. Check the English text</t>
        </is>
      </c>
      <c r="I1012" s="12" t="inlineStr">
        <is>
          <t>Every listed message has English coverage; gaps are recorded</t>
        </is>
      </c>
      <c r="J1012" s="13" t="inlineStr">
        <is>
          <t>Not Tested</t>
        </is>
      </c>
      <c r="K1012" s="13" t="inlineStr">
        <is>
          <t>Localisation</t>
        </is>
      </c>
    </row>
    <row r="1013" ht="36" customHeight="1">
      <c r="A1013" s="12" t="inlineStr">
        <is>
          <t>EMI Task Coverage</t>
        </is>
      </c>
      <c r="B1013" s="12" t="inlineStr">
        <is>
          <t>Localisation &amp; Messages</t>
        </is>
      </c>
      <c r="C1013" s="12" t="inlineStr">
        <is>
          <t>Messages</t>
        </is>
      </c>
      <c r="D1013" s="13" t="inlineStr">
        <is>
          <t>TC-Msg-03</t>
        </is>
      </c>
      <c r="E1013" s="12" t="inlineStr">
        <is>
          <t>No Message Falls Back to a Raw Key or Code</t>
        </is>
      </c>
      <c r="F1013" s="13" t="inlineStr">
        <is>
          <t>High</t>
        </is>
      </c>
      <c r="G1013" s="12" t="inlineStr">
        <is>
          <t>All database-stored messages in both locales</t>
        </is>
      </c>
      <c r="H1013" s="12" t="inlineStr">
        <is>
          <t>1. Render each in both locales</t>
        </is>
      </c>
      <c r="I1013" s="12" t="inlineStr">
        <is>
          <t>No surface shows a raw translation key, an enum name or a bare error code to the user</t>
        </is>
      </c>
      <c r="J1013" s="13" t="inlineStr">
        <is>
          <t>Not Tested</t>
        </is>
      </c>
      <c r="K1013" s="13" t="inlineStr">
        <is>
          <t>Localisation</t>
        </is>
      </c>
    </row>
    <row r="1014" ht="36" customHeight="1">
      <c r="A1014" s="12" t="inlineStr">
        <is>
          <t>EMI Task Coverage</t>
        </is>
      </c>
      <c r="B1014" s="12" t="inlineStr">
        <is>
          <t>Localisation &amp; Messages</t>
        </is>
      </c>
      <c r="C1014" s="12" t="inlineStr">
        <is>
          <t>Messages</t>
        </is>
      </c>
      <c r="D1014" s="13" t="inlineStr">
        <is>
          <t>TC-Msg-04</t>
        </is>
      </c>
      <c r="E1014" s="12" t="inlineStr">
        <is>
          <t>Message Audit List Is Complete</t>
        </is>
      </c>
      <c r="F1014" s="13" t="inlineStr">
        <is>
          <t>Medium</t>
        </is>
      </c>
      <c r="G1014" s="12" t="inlineStr">
        <is>
          <t>The produced list of exceptions using database-stored messages</t>
        </is>
      </c>
      <c r="H1014" s="12" t="inlineStr">
        <is>
          <t>1. Cross-check the list against the exceptions actually reachable in the product</t>
        </is>
      </c>
      <c r="I1014" s="12" t="inlineStr">
        <is>
          <t>The list covers every reachable database-stored message; an incomplete audit is itself a finding</t>
        </is>
      </c>
      <c r="J1014" s="13" t="inlineStr">
        <is>
          <t>Not Tested</t>
        </is>
      </c>
      <c r="K1014" s="13" t="inlineStr">
        <is>
          <t>Localisation</t>
        </is>
      </c>
    </row>
    <row r="1015" ht="36" customHeight="1">
      <c r="A1015" s="12" t="inlineStr">
        <is>
          <t>EMI Task Coverage</t>
        </is>
      </c>
      <c r="B1015" s="12" t="inlineStr">
        <is>
          <t>Localisation &amp; Messages</t>
        </is>
      </c>
      <c r="C1015" s="12" t="inlineStr">
        <is>
          <t>Translations</t>
        </is>
      </c>
      <c r="D1015" s="13" t="inlineStr">
        <is>
          <t>TC-Trans-01</t>
        </is>
      </c>
      <c r="E1015" s="12" t="inlineStr">
        <is>
          <t>Saudi Banking Language Guidelines Are Applied</t>
        </is>
      </c>
      <c r="F1015" s="13" t="inlineStr">
        <is>
          <t>High</t>
        </is>
      </c>
      <c r="G1015" s="12" t="inlineStr">
        <is>
          <t>The approved language guidelines</t>
        </is>
      </c>
      <c r="H1015" s="12" t="inlineStr">
        <is>
          <t>1. Review the Arabic wording across the main flows against the guidelines</t>
        </is>
      </c>
      <c r="I1015" s="12" t="inlineStr">
        <is>
          <t>Wording follows the approved guidelines and reads correctly for the Saudi banking context</t>
        </is>
      </c>
      <c r="J1015" s="13" t="inlineStr">
        <is>
          <t>Not Tested</t>
        </is>
      </c>
      <c r="K1015" s="13" t="inlineStr">
        <is>
          <t>Localisation</t>
        </is>
      </c>
    </row>
    <row r="1016" ht="36" customHeight="1">
      <c r="A1016" s="12" t="inlineStr">
        <is>
          <t>EMI Task Coverage</t>
        </is>
      </c>
      <c r="B1016" s="12" t="inlineStr">
        <is>
          <t>Localisation &amp; Messages</t>
        </is>
      </c>
      <c r="C1016" s="12" t="inlineStr">
        <is>
          <t>Translations</t>
        </is>
      </c>
      <c r="D1016" s="13" t="inlineStr">
        <is>
          <t>TC-Trans-02</t>
        </is>
      </c>
      <c r="E1016" s="12" t="inlineStr">
        <is>
          <t>Common Terms Are Consistent Across the Application</t>
        </is>
      </c>
      <c r="F1016" s="13" t="inlineStr">
        <is>
          <t>High</t>
        </is>
      </c>
      <c r="G1016" s="12" t="inlineStr">
        <is>
          <t>A list of recurring terms such as balance, wallet, transfer, commission and VAT</t>
        </is>
      </c>
      <c r="H1016" s="12" t="inlineStr">
        <is>
          <t>1. Compare how each term is rendered across every screen that uses it</t>
        </is>
      </c>
      <c r="I1016" s="12" t="inlineStr">
        <is>
          <t>Each term is rendered consistently everywhere; the shared common file is the single source for them</t>
        </is>
      </c>
      <c r="J1016" s="13" t="inlineStr">
        <is>
          <t>Not Tested</t>
        </is>
      </c>
      <c r="K1016" s="13" t="inlineStr">
        <is>
          <t>Localisation</t>
        </is>
      </c>
    </row>
    <row r="1017" ht="36" customHeight="1">
      <c r="A1017" s="12" t="inlineStr">
        <is>
          <t>EMI Task Coverage</t>
        </is>
      </c>
      <c r="B1017" s="12" t="inlineStr">
        <is>
          <t>Localisation &amp; Messages</t>
        </is>
      </c>
      <c r="C1017" s="12" t="inlineStr">
        <is>
          <t>Translations</t>
        </is>
      </c>
      <c r="D1017" s="13" t="inlineStr">
        <is>
          <t>TC-Trans-03</t>
        </is>
      </c>
      <c r="E1017" s="12" t="inlineStr">
        <is>
          <t>Screen-Specific Wording Is Preserved Where Needed</t>
        </is>
      </c>
      <c r="F1017" s="13" t="inlineStr">
        <is>
          <t>Medium</t>
        </is>
      </c>
      <c r="G1017" s="12" t="inlineStr">
        <is>
          <t>Screens whose wording is deliberately specific</t>
        </is>
      </c>
      <c r="H1017" s="12" t="inlineStr">
        <is>
          <t>1. Review those screens against the shared common wording</t>
        </is>
      </c>
      <c r="I1017" s="12" t="inlineStr">
        <is>
          <t>Deliberately specific wording is retained rather than flattened into the shared term</t>
        </is>
      </c>
      <c r="J1017" s="13" t="inlineStr">
        <is>
          <t>Not Tested</t>
        </is>
      </c>
      <c r="K1017" s="13" t="inlineStr">
        <is>
          <t>Localisation</t>
        </is>
      </c>
    </row>
    <row r="1018" ht="36" customHeight="1">
      <c r="A1018" s="12" t="inlineStr">
        <is>
          <t>EMI Task Coverage</t>
        </is>
      </c>
      <c r="B1018" s="12" t="inlineStr">
        <is>
          <t>Localisation &amp; Messages</t>
        </is>
      </c>
      <c r="C1018" s="12" t="inlineStr">
        <is>
          <t>Translations</t>
        </is>
      </c>
      <c r="D1018" s="13" t="inlineStr">
        <is>
          <t>TC-Trans-04</t>
        </is>
      </c>
      <c r="E1018" s="12" t="inlineStr">
        <is>
          <t>No Untranslated String Remains in Arabic</t>
        </is>
      </c>
      <c r="F1018" s="13" t="inlineStr">
        <is>
          <t>High</t>
        </is>
      </c>
      <c r="G1018" s="12" t="inlineStr">
        <is>
          <t>The Arabic locale</t>
        </is>
      </c>
      <c r="H1018" s="12" t="inlineStr">
        <is>
          <t>1. Walk the main flows end to end in Arabic</t>
        </is>
      </c>
      <c r="I1018" s="12" t="inlineStr">
        <is>
          <t>No English string, placeholder or raw key appears in the Arabic experience</t>
        </is>
      </c>
      <c r="J1018" s="13" t="inlineStr">
        <is>
          <t>Not Tested</t>
        </is>
      </c>
      <c r="K1018" s="13" t="inlineStr">
        <is>
          <t>Localisation</t>
        </is>
      </c>
    </row>
    <row r="1019" ht="36" customHeight="1">
      <c r="A1019" s="12" t="inlineStr">
        <is>
          <t>EMI Task Coverage</t>
        </is>
      </c>
      <c r="B1019" s="12" t="inlineStr">
        <is>
          <t>Localisation &amp; Messages</t>
        </is>
      </c>
      <c r="C1019" s="12" t="inlineStr">
        <is>
          <t>Translations</t>
        </is>
      </c>
      <c r="D1019" s="13" t="inlineStr">
        <is>
          <t>TC-Trans-05</t>
        </is>
      </c>
      <c r="E1019" s="12" t="inlineStr">
        <is>
          <t>Right-to-Left Layout Holds With the Updated Wording</t>
        </is>
      </c>
      <c r="F1019" s="13" t="inlineStr">
        <is>
          <t>High</t>
        </is>
      </c>
      <c r="G1019" s="12" t="inlineStr">
        <is>
          <t>The Arabic locale on Web</t>
        </is>
      </c>
      <c r="H1019" s="12" t="inlineStr">
        <is>
          <t>1. Walk the main flows and inspect layout, alignment and numeric rendering</t>
        </is>
      </c>
      <c r="I1019" s="12" t="inlineStr">
        <is>
          <t>Layout holds under RTL with the new wording; nothing overflows, truncates or mirrors incorrectly</t>
        </is>
      </c>
      <c r="J1019" s="13" t="inlineStr">
        <is>
          <t>Not Tested</t>
        </is>
      </c>
      <c r="K1019" s="13" t="inlineStr">
        <is>
          <t>Localisation</t>
        </is>
      </c>
    </row>
    <row r="1020" ht="36" customHeight="1">
      <c r="A1020" s="12" t="inlineStr">
        <is>
          <t>EMI Task Coverage</t>
        </is>
      </c>
      <c r="B1020" s="12" t="inlineStr">
        <is>
          <t>Localisation &amp; Messages</t>
        </is>
      </c>
      <c r="C1020" s="12" t="inlineStr">
        <is>
          <t>Translations</t>
        </is>
      </c>
      <c r="D1020" s="13" t="inlineStr">
        <is>
          <t>TC-Trans-06</t>
        </is>
      </c>
      <c r="E1020" s="12" t="inlineStr">
        <is>
          <t>Longer Translations Do Not Break Layout</t>
        </is>
      </c>
      <c r="F1020" s="13" t="inlineStr">
        <is>
          <t>Medium</t>
        </is>
      </c>
      <c r="G1020" s="12" t="inlineStr">
        <is>
          <t>Screens whose new wording is materially longer than before</t>
        </is>
      </c>
      <c r="H1020" s="12" t="inlineStr">
        <is>
          <t>1. Review those screens at the smallest supported viewport</t>
        </is>
      </c>
      <c r="I1020" s="12" t="inlineStr">
        <is>
          <t>Text wraps or truncates gracefully; no control is pushed off screen or overlapped</t>
        </is>
      </c>
      <c r="J1020" s="13" t="inlineStr">
        <is>
          <t>Not Tested</t>
        </is>
      </c>
      <c r="K1020" s="13" t="inlineStr">
        <is>
          <t>Integration</t>
        </is>
      </c>
    </row>
    <row r="1021" ht="36" customHeight="1">
      <c r="A1021" s="12" t="inlineStr">
        <is>
          <t>EMI Task Coverage</t>
        </is>
      </c>
      <c r="B1021" s="12" t="inlineStr">
        <is>
          <t>Localisation &amp; Messages</t>
        </is>
      </c>
      <c r="C1021" s="12" t="inlineStr">
        <is>
          <t>Translations</t>
        </is>
      </c>
      <c r="D1021" s="13" t="inlineStr">
        <is>
          <t>TC-Trans-07</t>
        </is>
      </c>
      <c r="E1021" s="12" t="inlineStr">
        <is>
          <t>Interpolated Values Render Correctly in Both Locales</t>
        </is>
      </c>
      <c r="F1021" s="13" t="inlineStr">
        <is>
          <t>High</t>
        </is>
      </c>
      <c r="G1021" s="12" t="inlineStr">
        <is>
          <t>Messages carrying amounts, dates, names and counts</t>
        </is>
      </c>
      <c r="H1021" s="12" t="inlineStr">
        <is>
          <t>1. Render each in Arabic and English</t>
        </is>
      </c>
      <c r="I1021" s="12" t="inlineStr">
        <is>
          <t>Placeholders are substituted correctly in both, with no reversed or misplaced values under RTL</t>
        </is>
      </c>
      <c r="J1021" s="13" t="inlineStr">
        <is>
          <t>Not Tested</t>
        </is>
      </c>
      <c r="K1021" s="13" t="inlineStr">
        <is>
          <t>Localisation</t>
        </is>
      </c>
    </row>
    <row r="1022" ht="36" customHeight="1">
      <c r="A1022" s="12" t="inlineStr">
        <is>
          <t>EMI Task Coverage</t>
        </is>
      </c>
      <c r="B1022" s="12" t="inlineStr">
        <is>
          <t>Customer App Updates</t>
        </is>
      </c>
      <c r="C1022" s="12" t="inlineStr">
        <is>
          <t>BalanceCard</t>
        </is>
      </c>
      <c r="D1022" s="13" t="inlineStr">
        <is>
          <t>TC-App-01</t>
        </is>
      </c>
      <c r="E1022" s="12" t="inlineStr">
        <is>
          <t>BalanceCard Owns Balance Fetch and Refresh</t>
        </is>
      </c>
      <c r="F1022" s="13" t="inlineStr">
        <is>
          <t>High</t>
        </is>
      </c>
      <c r="G1022" s="12" t="inlineStr">
        <is>
          <t>Android customer app on a screen hosting BalanceCard</t>
        </is>
      </c>
      <c r="H1022" s="12" t="inlineStr">
        <is>
          <t>1. Open the screen and observe where the balance fetch originates</t>
        </is>
      </c>
      <c r="I1022" s="12" t="inlineStr">
        <is>
          <t>BalanceCard owns the fetch and refresh state; the host screen does not fetch the balance itself</t>
        </is>
      </c>
      <c r="J1022" s="13" t="inlineStr">
        <is>
          <t>Not Tested</t>
        </is>
      </c>
      <c r="K1022" s="13" t="inlineStr">
        <is>
          <t>Functional</t>
        </is>
      </c>
    </row>
    <row r="1023" ht="36" customHeight="1">
      <c r="A1023" s="12" t="inlineStr">
        <is>
          <t>EMI Task Coverage</t>
        </is>
      </c>
      <c r="B1023" s="12" t="inlineStr">
        <is>
          <t>Customer App Updates</t>
        </is>
      </c>
      <c r="C1023" s="12" t="inlineStr">
        <is>
          <t>BalanceCard</t>
        </is>
      </c>
      <c r="D1023" s="13" t="inlineStr">
        <is>
          <t>TC-App-02</t>
        </is>
      </c>
      <c r="E1023" s="12" t="inlineStr">
        <is>
          <t>Redundant Home Balance Fetch Is Removed</t>
        </is>
      </c>
      <c r="F1023" s="13" t="inlineStr">
        <is>
          <t>High</t>
        </is>
      </c>
      <c r="G1023" s="12" t="inlineStr">
        <is>
          <t>Android customer Home screen</t>
        </is>
      </c>
      <c r="H1023" s="12" t="inlineStr">
        <is>
          <t>1. Open Home and capture the network calls</t>
        </is>
      </c>
      <c r="I1023" s="12" t="inlineStr">
        <is>
          <t>The balance is fetched once by BalanceCard; the previous duplicate Home fetch no longer occurs</t>
        </is>
      </c>
      <c r="J1023" s="13" t="inlineStr">
        <is>
          <t>Not Tested</t>
        </is>
      </c>
      <c r="K1023" s="13" t="inlineStr">
        <is>
          <t>Integration</t>
        </is>
      </c>
    </row>
    <row r="1024" ht="36" customHeight="1">
      <c r="A1024" s="12" t="inlineStr">
        <is>
          <t>EMI Task Coverage</t>
        </is>
      </c>
      <c r="B1024" s="12" t="inlineStr">
        <is>
          <t>Customer App Updates</t>
        </is>
      </c>
      <c r="C1024" s="12" t="inlineStr">
        <is>
          <t>BalanceCard</t>
        </is>
      </c>
      <c r="D1024" s="13" t="inlineStr">
        <is>
          <t>TC-App-03</t>
        </is>
      </c>
      <c r="E1024" s="12" t="inlineStr">
        <is>
          <t>Balance Refreshes on Return After a Successful Payment</t>
        </is>
      </c>
      <c r="F1024" s="13" t="inlineStr">
        <is>
          <t>High</t>
        </is>
      </c>
      <c r="G1024" s="12" t="inlineStr">
        <is>
          <t>A supported payment flow on Android customer</t>
        </is>
      </c>
      <c r="H1024" s="12" t="inlineStr">
        <is>
          <t>1. Complete a payment successfully and return to the host screen</t>
        </is>
      </c>
      <c r="I1024" s="12" t="inlineStr">
        <is>
          <t>The balance refreshes automatically and reflects the completed payment</t>
        </is>
      </c>
      <c r="J1024" s="13" t="inlineStr">
        <is>
          <t>Not Tested</t>
        </is>
      </c>
      <c r="K1024" s="13" t="inlineStr">
        <is>
          <t>Functional</t>
        </is>
      </c>
    </row>
    <row r="1025" ht="36" customHeight="1">
      <c r="A1025" s="12" t="inlineStr">
        <is>
          <t>EMI Task Coverage</t>
        </is>
      </c>
      <c r="B1025" s="12" t="inlineStr">
        <is>
          <t>Customer App Updates</t>
        </is>
      </c>
      <c r="C1025" s="12" t="inlineStr">
        <is>
          <t>BalanceCard</t>
        </is>
      </c>
      <c r="D1025" s="13" t="inlineStr">
        <is>
          <t>TC-App-04</t>
        </is>
      </c>
      <c r="E1025" s="12" t="inlineStr">
        <is>
          <t>Balance Refreshes on Return After a Failed or Cancelled Flow</t>
        </is>
      </c>
      <c r="F1025" s="13" t="inlineStr">
        <is>
          <t>High</t>
        </is>
      </c>
      <c r="G1025" s="12" t="inlineStr">
        <is>
          <t>A supported payment or transfer flow</t>
        </is>
      </c>
      <c r="H1025" s="12" t="inlineStr">
        <is>
          <t>1. Fail a transaction and return
2. Cancel another and return</t>
        </is>
      </c>
      <c r="I1025" s="12" t="inlineStr">
        <is>
          <t>The balance refreshes on resume in both cases and shows the correct unchanged value</t>
        </is>
      </c>
      <c r="J1025" s="13" t="inlineStr">
        <is>
          <t>Not Tested</t>
        </is>
      </c>
      <c r="K1025" s="13" t="inlineStr">
        <is>
          <t>Functional</t>
        </is>
      </c>
    </row>
    <row r="1026" ht="36" customHeight="1">
      <c r="A1026" s="12" t="inlineStr">
        <is>
          <t>EMI Task Coverage</t>
        </is>
      </c>
      <c r="B1026" s="12" t="inlineStr">
        <is>
          <t>Customer App Updates</t>
        </is>
      </c>
      <c r="C1026" s="12" t="inlineStr">
        <is>
          <t>BalanceCard</t>
        </is>
      </c>
      <c r="D1026" s="13" t="inlineStr">
        <is>
          <t>TC-App-05</t>
        </is>
      </c>
      <c r="E1026" s="12" t="inlineStr">
        <is>
          <t>Pull-to-Refresh Is Driven Through the Host Screen</t>
        </is>
      </c>
      <c r="F1026" s="13" t="inlineStr">
        <is>
          <t>Medium</t>
        </is>
      </c>
      <c r="G1026" s="12" t="inlineStr">
        <is>
          <t>A host screen with pull-to-refresh</t>
        </is>
      </c>
      <c r="H1026" s="12" t="inlineStr">
        <is>
          <t>1. Pull to refresh</t>
        </is>
      </c>
      <c r="I1026" s="12" t="inlineStr">
        <is>
          <t>The host screen triggers the refresh through its UI state and actions and BalanceCard performs it</t>
        </is>
      </c>
      <c r="J1026" s="13" t="inlineStr">
        <is>
          <t>Not Tested</t>
        </is>
      </c>
      <c r="K1026" s="13" t="inlineStr">
        <is>
          <t>Functional</t>
        </is>
      </c>
    </row>
    <row r="1027" ht="36" customHeight="1">
      <c r="A1027" s="12" t="inlineStr">
        <is>
          <t>EMI Task Coverage</t>
        </is>
      </c>
      <c r="B1027" s="12" t="inlineStr">
        <is>
          <t>Customer App Updates</t>
        </is>
      </c>
      <c r="C1027" s="12" t="inlineStr">
        <is>
          <t>BalanceCard</t>
        </is>
      </c>
      <c r="D1027" s="13" t="inlineStr">
        <is>
          <t>TC-App-06</t>
        </is>
      </c>
      <c r="E1027" s="12" t="inlineStr">
        <is>
          <t>Shimmer Is Shown While Loading and Refreshing</t>
        </is>
      </c>
      <c r="F1027" s="13" t="inlineStr">
        <is>
          <t>Medium</t>
        </is>
      </c>
      <c r="G1027" s="12" t="inlineStr">
        <is>
          <t>A slow balance response</t>
        </is>
      </c>
      <c r="H1027" s="12" t="inlineStr">
        <is>
          <t>1. Open the screen and pull to refresh</t>
        </is>
      </c>
      <c r="I1027" s="12" t="inlineStr">
        <is>
          <t>A shimmer is displayed during both the initial load and the refresh, and is replaced by the value on completion</t>
        </is>
      </c>
      <c r="J1027" s="13" t="inlineStr">
        <is>
          <t>Not Tested</t>
        </is>
      </c>
      <c r="K1027" s="13" t="inlineStr">
        <is>
          <t>Functional</t>
        </is>
      </c>
    </row>
    <row r="1028" ht="36" customHeight="1">
      <c r="A1028" s="12" t="inlineStr">
        <is>
          <t>EMI Task Coverage</t>
        </is>
      </c>
      <c r="B1028" s="12" t="inlineStr">
        <is>
          <t>Customer App Updates</t>
        </is>
      </c>
      <c r="C1028" s="12" t="inlineStr">
        <is>
          <t>BalanceCard</t>
        </is>
      </c>
      <c r="D1028" s="13" t="inlineStr">
        <is>
          <t>TC-App-07</t>
        </is>
      </c>
      <c r="E1028" s="12" t="inlineStr">
        <is>
          <t>Balance Fetch Failure Is Handled Without a Blank Card</t>
        </is>
      </c>
      <c r="F1028" s="13" t="inlineStr">
        <is>
          <t>High</t>
        </is>
      </c>
      <c r="G1028" s="12" t="inlineStr">
        <is>
          <t>A failing balance endpoint</t>
        </is>
      </c>
      <c r="H1028" s="12" t="inlineStr">
        <is>
          <t>1. Open the screen</t>
        </is>
      </c>
      <c r="I1028" s="12" t="inlineStr">
        <is>
          <t>A controlled error or retry state is shown rather than a blank card or an indefinite shimmer</t>
        </is>
      </c>
      <c r="J1028" s="13" t="inlineStr">
        <is>
          <t>Not Tested</t>
        </is>
      </c>
      <c r="K1028" s="13" t="inlineStr">
        <is>
          <t>Negative</t>
        </is>
      </c>
    </row>
    <row r="1029" ht="36" customHeight="1">
      <c r="A1029" s="12" t="inlineStr">
        <is>
          <t>EMI Task Coverage</t>
        </is>
      </c>
      <c r="B1029" s="12" t="inlineStr">
        <is>
          <t>Customer App Updates</t>
        </is>
      </c>
      <c r="C1029" s="12" t="inlineStr">
        <is>
          <t>Registration</t>
        </is>
      </c>
      <c r="D1029" s="13" t="inlineStr">
        <is>
          <t>TC-App-08</t>
        </is>
      </c>
      <c r="E1029" s="12" t="inlineStr">
        <is>
          <t>iOS Customer Registration on the Migrated Approach</t>
        </is>
      </c>
      <c r="F1029" s="13" t="inlineStr">
        <is>
          <t>High</t>
        </is>
      </c>
      <c r="G1029" s="12" t="inlineStr">
        <is>
          <t>iOS customer app</t>
        </is>
      </c>
      <c r="H1029" s="12" t="inlineStr">
        <is>
          <t>1. Complete a full registration end to end</t>
        </is>
      </c>
      <c r="I1029" s="12" t="inlineStr">
        <is>
          <t>Registration completes on the new migrated approach with no step falling back to the old flow</t>
        </is>
      </c>
      <c r="J1029" s="13" t="inlineStr">
        <is>
          <t>Not Tested</t>
        </is>
      </c>
      <c r="K1029" s="13" t="inlineStr">
        <is>
          <t>Functional</t>
        </is>
      </c>
    </row>
    <row r="1030" ht="36" customHeight="1">
      <c r="A1030" s="12" t="inlineStr">
        <is>
          <t>EMI Task Coverage</t>
        </is>
      </c>
      <c r="B1030" s="12" t="inlineStr">
        <is>
          <t>Customer App Updates</t>
        </is>
      </c>
      <c r="C1030" s="12" t="inlineStr">
        <is>
          <t>Registration</t>
        </is>
      </c>
      <c r="D1030" s="13" t="inlineStr">
        <is>
          <t>TC-App-09</t>
        </is>
      </c>
      <c r="E1030" s="12" t="inlineStr">
        <is>
          <t>Android Customer Registration on the Migrated Approach</t>
        </is>
      </c>
      <c r="F1030" s="13" t="inlineStr">
        <is>
          <t>High</t>
        </is>
      </c>
      <c r="G1030" s="12" t="inlineStr">
        <is>
          <t>Android customer app</t>
        </is>
      </c>
      <c r="H1030" s="12" t="inlineStr">
        <is>
          <t>1. Complete a full registration end to end</t>
        </is>
      </c>
      <c r="I1030" s="12" t="inlineStr">
        <is>
          <t>Registration completes on the new migrated approach with no step falling back to the old flow</t>
        </is>
      </c>
      <c r="J1030" s="13" t="inlineStr">
        <is>
          <t>Not Tested</t>
        </is>
      </c>
      <c r="K1030" s="13" t="inlineStr">
        <is>
          <t>Functional</t>
        </is>
      </c>
    </row>
    <row r="1031" ht="36" customHeight="1">
      <c r="A1031" s="12" t="inlineStr">
        <is>
          <t>EMI Task Coverage</t>
        </is>
      </c>
      <c r="B1031" s="12" t="inlineStr">
        <is>
          <t>Customer App Updates</t>
        </is>
      </c>
      <c r="C1031" s="12" t="inlineStr">
        <is>
          <t>Registration</t>
        </is>
      </c>
      <c r="D1031" s="13" t="inlineStr">
        <is>
          <t>TC-App-10</t>
        </is>
      </c>
      <c r="E1031" s="12" t="inlineStr">
        <is>
          <t>Migrated Registration Handles Interruption and Resume</t>
        </is>
      </c>
      <c r="F1031" s="13" t="inlineStr">
        <is>
          <t>High</t>
        </is>
      </c>
      <c r="G1031" s="12" t="inlineStr">
        <is>
          <t>A registration in progress on each platform</t>
        </is>
      </c>
      <c r="H1031" s="12" t="inlineStr">
        <is>
          <t>1. Background the app mid-flow and return
2. Lose connectivity mid-step and restore it</t>
        </is>
      </c>
      <c r="I1031" s="12" t="inlineStr">
        <is>
          <t>The flow resumes correctly on both platforms without data loss or an unexplained restart</t>
        </is>
      </c>
      <c r="J1031" s="13" t="inlineStr">
        <is>
          <t>Not Tested</t>
        </is>
      </c>
      <c r="K1031" s="13" t="inlineStr">
        <is>
          <t>Integration</t>
        </is>
      </c>
    </row>
    <row r="1032" ht="36" customHeight="1">
      <c r="A1032" s="12" t="inlineStr">
        <is>
          <t>EMI Task Coverage</t>
        </is>
      </c>
      <c r="B1032" s="12" t="inlineStr">
        <is>
          <t>Customer App Updates</t>
        </is>
      </c>
      <c r="C1032" s="12" t="inlineStr">
        <is>
          <t>Registration</t>
        </is>
      </c>
      <c r="D1032" s="13" t="inlineStr">
        <is>
          <t>TC-App-11</t>
        </is>
      </c>
      <c r="E1032" s="12" t="inlineStr">
        <is>
          <t>profileCode Replaces firstTimePassword in Client Handling</t>
        </is>
      </c>
      <c r="F1032" s="13" t="inlineStr">
        <is>
          <t>High</t>
        </is>
      </c>
      <c r="G1032" s="12" t="inlineStr">
        <is>
          <t>A registration returning the profile-code value</t>
        </is>
      </c>
      <c r="H1032" s="12" t="inlineStr">
        <is>
          <t>1. Inspect the parsed response and any client storage</t>
        </is>
      </c>
      <c r="I1032" s="12" t="inlineStr">
        <is>
          <t>The field is consumed as profileCode; no client still reads or writes firstTimePassword for this value, and the behaviour is unchanged</t>
        </is>
      </c>
      <c r="J1032" s="13" t="inlineStr">
        <is>
          <t>Not Tested</t>
        </is>
      </c>
      <c r="K1032" s="13" t="inlineStr">
        <is>
          <t>Functional</t>
        </is>
      </c>
    </row>
    <row r="1033" ht="36" customHeight="1">
      <c r="A1033" s="12" t="inlineStr">
        <is>
          <t>EMI Task Coverage</t>
        </is>
      </c>
      <c r="B1033" s="12" t="inlineStr">
        <is>
          <t>Customer App Updates</t>
        </is>
      </c>
      <c r="C1033" s="12" t="inlineStr">
        <is>
          <t>Fingerprint</t>
        </is>
      </c>
      <c r="D1033" s="13" t="inlineStr">
        <is>
          <t>TC-App-12</t>
        </is>
      </c>
      <c r="E1033" s="12" t="inlineStr">
        <is>
          <t>Fingerprint Uses the Configured Timezone</t>
        </is>
      </c>
      <c r="F1033" s="13" t="inlineStr">
        <is>
          <t>High</t>
        </is>
      </c>
      <c r="G1033" s="12" t="inlineStr">
        <is>
          <t>Fingerprint timezone configuration accessible</t>
        </is>
      </c>
      <c r="H1033" s="12" t="inlineStr">
        <is>
          <t>1. Set a timezone in configuration
2. Generate fingerprints and inspect their timestamps</t>
        </is>
      </c>
      <c r="I1033" s="12" t="inlineStr">
        <is>
          <t>Fingerprint processing uses the configured timezone; no fixed timezone remains</t>
        </is>
      </c>
      <c r="J1033" s="13" t="inlineStr">
        <is>
          <t>Not Tested</t>
        </is>
      </c>
      <c r="K1033" s="13" t="inlineStr">
        <is>
          <t>Configuration</t>
        </is>
      </c>
    </row>
    <row r="1034" ht="36" customHeight="1">
      <c r="A1034" s="12" t="inlineStr">
        <is>
          <t>EMI Task Coverage</t>
        </is>
      </c>
      <c r="B1034" s="12" t="inlineStr">
        <is>
          <t>Customer App Updates</t>
        </is>
      </c>
      <c r="C1034" s="12" t="inlineStr">
        <is>
          <t>Fingerprint</t>
        </is>
      </c>
      <c r="D1034" s="13" t="inlineStr">
        <is>
          <t>TC-App-13</t>
        </is>
      </c>
      <c r="E1034" s="12" t="inlineStr">
        <is>
          <t>Changing the Configured Timezone Takes Effect</t>
        </is>
      </c>
      <c r="F1034" s="13" t="inlineStr">
        <is>
          <t>Medium</t>
        </is>
      </c>
      <c r="G1034" s="12" t="inlineStr">
        <is>
          <t>An active fingerprint configuration</t>
        </is>
      </c>
      <c r="H1034" s="12" t="inlineStr">
        <is>
          <t>1. Change the configured timezone and regenerate</t>
        </is>
      </c>
      <c r="I1034" s="12" t="inlineStr">
        <is>
          <t>The new timezone is applied without a code change</t>
        </is>
      </c>
      <c r="J1034" s="13" t="inlineStr">
        <is>
          <t>Not Tested</t>
        </is>
      </c>
      <c r="K1034" s="13" t="inlineStr">
        <is>
          <t>Configuration</t>
        </is>
      </c>
    </row>
    <row r="1035" ht="36" customHeight="1">
      <c r="A1035" s="12" t="inlineStr">
        <is>
          <t>EMI Task Coverage</t>
        </is>
      </c>
      <c r="B1035" s="12" t="inlineStr">
        <is>
          <t>Customer App Updates</t>
        </is>
      </c>
      <c r="C1035" s="12" t="inlineStr">
        <is>
          <t>Platform</t>
        </is>
      </c>
      <c r="D1035" s="13" t="inlineStr">
        <is>
          <t>TC-App-14</t>
        </is>
      </c>
      <c r="E1035" s="12" t="inlineStr">
        <is>
          <t>Android SDK 37 Upgrade Introduces No Functional Regression</t>
        </is>
      </c>
      <c r="F1035" s="13" t="inlineStr">
        <is>
          <t>High</t>
        </is>
      </c>
      <c r="G1035" s="12" t="inlineStr">
        <is>
          <t>The Android build on the upgraded compile and target SDK</t>
        </is>
      </c>
      <c r="H1035" s="12" t="inlineStr">
        <is>
          <t>1. Run the core customer flows: login, registration, balance, transfer, payment, notifications
2. Check runtime permissions and background behaviour on a recent Android version</t>
        </is>
      </c>
      <c r="I1035" s="12" t="inlineStr">
        <is>
          <t>All core flows work; permission prompts and background behaviour comply with the newer SDK requirements and nothing regresses</t>
        </is>
      </c>
      <c r="J1035" s="13" t="inlineStr">
        <is>
          <t>Not Tested</t>
        </is>
      </c>
      <c r="K1035" s="13" t="inlineStr">
        <is>
          <t>Cross-Platform</t>
        </is>
      </c>
    </row>
    <row r="1036" ht="36" customHeight="1">
      <c r="A1036" s="12" t="inlineStr">
        <is>
          <t>EMI Task Coverage</t>
        </is>
      </c>
      <c r="B1036" s="12" t="inlineStr">
        <is>
          <t>Customer App Updates</t>
        </is>
      </c>
      <c r="C1036" s="12" t="inlineStr">
        <is>
          <t>Platform</t>
        </is>
      </c>
      <c r="D1036" s="13" t="inlineStr">
        <is>
          <t>TC-App-15</t>
        </is>
      </c>
      <c r="E1036" s="12" t="inlineStr">
        <is>
          <t>Design Enhancements Introduce No Functional Regression - iOS</t>
        </is>
      </c>
      <c r="F1036" s="13" t="inlineStr">
        <is>
          <t>Medium</t>
        </is>
      </c>
      <c r="G1036" s="12" t="inlineStr">
        <is>
          <t>The iOS business build carrying the design alignment changes</t>
        </is>
      </c>
      <c r="H1036" s="12" t="inlineStr">
        <is>
          <t>1. Walk the affected screens and run their primary actions</t>
        </is>
      </c>
      <c r="I1036" s="12" t="inlineStr">
        <is>
          <t>Visual alignment is applied and every primary action still works; no control is lost or made unreachable</t>
        </is>
      </c>
      <c r="J1036" s="13" t="inlineStr">
        <is>
          <t>Not Tested</t>
        </is>
      </c>
      <c r="K1036" s="13" t="inlineStr">
        <is>
          <t>Cross-Platform</t>
        </is>
      </c>
    </row>
    <row r="1037" ht="36" customHeight="1">
      <c r="A1037" s="12" t="inlineStr">
        <is>
          <t>EMI Task Coverage</t>
        </is>
      </c>
      <c r="B1037" s="12" t="inlineStr">
        <is>
          <t>Customer App Updates</t>
        </is>
      </c>
      <c r="C1037" s="12" t="inlineStr">
        <is>
          <t>Platform</t>
        </is>
      </c>
      <c r="D1037" s="13" t="inlineStr">
        <is>
          <t>TC-App-16</t>
        </is>
      </c>
      <c r="E1037" s="12" t="inlineStr">
        <is>
          <t>Design Enhancements Introduce No Functional Regression - Android</t>
        </is>
      </c>
      <c r="F1037" s="13" t="inlineStr">
        <is>
          <t>Medium</t>
        </is>
      </c>
      <c r="G1037" s="12" t="inlineStr">
        <is>
          <t>The Android business build carrying the design alignment changes</t>
        </is>
      </c>
      <c r="H1037" s="12" t="inlineStr">
        <is>
          <t>1. Walk the affected screens and run their primary actions</t>
        </is>
      </c>
      <c r="I1037" s="12" t="inlineStr">
        <is>
          <t>Visual alignment is applied and every primary action still works; no control is lost or made unreachable</t>
        </is>
      </c>
      <c r="J1037" s="13" t="inlineStr">
        <is>
          <t>Not Tested</t>
        </is>
      </c>
      <c r="K1037" s="13" t="inlineStr">
        <is>
          <t>Cross-Platform</t>
        </is>
      </c>
    </row>
    <row r="1038" ht="36" customHeight="1">
      <c r="A1038" s="12" t="inlineStr">
        <is>
          <t>EMI Task Coverage</t>
        </is>
      </c>
      <c r="B1038" s="12" t="inlineStr">
        <is>
          <t>Customer App Updates</t>
        </is>
      </c>
      <c r="C1038" s="12" t="inlineStr">
        <is>
          <t>Platform</t>
        </is>
      </c>
      <c r="D1038" s="13" t="inlineStr">
        <is>
          <t>TC-App-17</t>
        </is>
      </c>
      <c r="E1038" s="12" t="inlineStr">
        <is>
          <t>Design Alignment Is Consistent Between iOS and Android</t>
        </is>
      </c>
      <c r="F1038" s="13" t="inlineStr">
        <is>
          <t>Medium</t>
        </is>
      </c>
      <c r="G1038" s="12" t="inlineStr">
        <is>
          <t>Both business builds</t>
        </is>
      </c>
      <c r="H1038" s="12" t="inlineStr">
        <is>
          <t>1. Compare the affected screens side by side</t>
        </is>
      </c>
      <c r="I1038" s="12" t="inlineStr">
        <is>
          <t>The two platforms align with the intended design and with each other; neither diverges into its own layout</t>
        </is>
      </c>
      <c r="J1038" s="13" t="inlineStr">
        <is>
          <t>Not Tested</t>
        </is>
      </c>
      <c r="K1038" s="13" t="inlineStr">
        <is>
          <t>Cross-Platform</t>
        </is>
      </c>
    </row>
  </sheetData>
  <autoFilter ref="A1:K1038"/>
  <conditionalFormatting sqref="J2:J1038">
    <cfRule type="cellIs" priority="1" operator="equal" dxfId="0">
      <formula>"Passed"</formula>
    </cfRule>
    <cfRule type="cellIs" priority="2" operator="equal" dxfId="1">
      <formula>"Failed"</formula>
    </cfRule>
    <cfRule type="cellIs" priority="3" operator="equal" dxfId="2">
      <formula>"Partially Passed"</formula>
    </cfRule>
    <cfRule type="cellIs" priority="4" operator="equal" dxfId="3">
      <formula>"Not Tested"</formula>
    </cfRule>
    <cfRule type="cellIs" priority="5" operator="equal" dxfId="4">
      <formula>"Not Implemented"</formula>
    </cfRule>
    <cfRule type="cellIs" priority="6" operator="equal" dxfId="5">
      <formula>"NA"</formula>
    </cfRule>
  </conditionalFormatting>
  <dataValidations count="1">
    <dataValidation sqref="J2:J1038" showDropDown="0" showInputMessage="0" showErrorMessage="0" allowBlank="1" type="list">
      <formula1>"Passed,Failed,Partially Passed,Not Tested,Not Implemented,NA"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2026-09-08T06:26:42Z</dcterms:created>
  <dcterms:modified xmlns:dcterms="http://purl.org/dc/terms/" xmlns:xsi="http://www.w3.org/2001/XMLSchema-instance" xsi:type="dcterms:W3CDTF">2026-09-08T06:26:42Z</dcterms:modified>
</cp:coreProperties>
</file>