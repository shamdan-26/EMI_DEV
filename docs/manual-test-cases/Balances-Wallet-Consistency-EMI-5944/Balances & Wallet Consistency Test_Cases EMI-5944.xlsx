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sumer Partitioning" sheetId="2" state="visible" r:id="rId2"/>
    <sheet xmlns:r="http://schemas.openxmlformats.org/officeDocument/2006/relationships" name="Consumer Idempotency" sheetId="3" state="visible" r:id="rId3"/>
    <sheet xmlns:r="http://schemas.openxmlformats.org/officeDocument/2006/relationships" name="Lifecycle Ordering Guard" sheetId="4" state="visible" r:id="rId4"/>
    <sheet xmlns:r="http://schemas.openxmlformats.org/officeDocument/2006/relationships" name="Statement History Rebuild" sheetId="5" state="visible" r:id="rId5"/>
    <sheet xmlns:r="http://schemas.openxmlformats.org/officeDocument/2006/relationships" name="Wallet Balance Recompute" sheetId="6" state="visible" r:id="rId6"/>
    <sheet xmlns:r="http://schemas.openxmlformats.org/officeDocument/2006/relationships" name="Bucket Identity Validation" sheetId="7" state="visible" r:id="rId7"/>
    <sheet xmlns:r="http://schemas.openxmlformats.org/officeDocument/2006/relationships" name="Stuck Reserve Detection" sheetId="8" state="visible" r:id="rId8"/>
    <sheet xmlns:r="http://schemas.openxmlformats.org/officeDocument/2006/relationships" name="Wallet Daily Close" sheetId="9" state="visible" r:id="rId9"/>
    <sheet xmlns:r="http://schemas.openxmlformats.org/officeDocument/2006/relationships" name="EMI_MISSING Resolution" sheetId="10" state="visible" r:id="rId10"/>
    <sheet xmlns:r="http://schemas.openxmlformats.org/officeDocument/2006/relationships" name="E2E Balances Flows" sheetId="11" state="visible" r:id="rId11"/>
  </sheets>
  <definedNames>
    <definedName name="_xlnm._FilterDatabase" localSheetId="1" hidden="1">'Consumer Partitioning'!$A$1:$I$27</definedName>
    <definedName name="_xlnm._FilterDatabase" localSheetId="2" hidden="1">'Consumer Idempotency'!$A$1:$I$26</definedName>
    <definedName name="_xlnm._FilterDatabase" localSheetId="3" hidden="1">'Lifecycle Ordering Guard'!$A$1:$I$28</definedName>
    <definedName name="_xlnm._FilterDatabase" localSheetId="4" hidden="1">'Statement History Rebuild'!$A$1:$I$53</definedName>
    <definedName name="_xlnm._FilterDatabase" localSheetId="5" hidden="1">'Wallet Balance Recompute'!$A$1:$I$31</definedName>
    <definedName name="_xlnm._FilterDatabase" localSheetId="6" hidden="1">'Bucket Identity Validation'!$A$1:$I$31</definedName>
    <definedName name="_xlnm._FilterDatabase" localSheetId="7" hidden="1">'Stuck Reserve Detection'!$A$1:$I$22</definedName>
    <definedName name="_xlnm._FilterDatabase" localSheetId="8" hidden="1">'Wallet Daily Close'!$A$1:$I$30</definedName>
    <definedName name="_xlnm._FilterDatabase" localSheetId="9" hidden="1">'EMI_MISSING Resolution'!$A$1:$I$19</definedName>
    <definedName name="_xlnm._FilterDatabase" localSheetId="10" hidden="1">'E2E Balances Flows'!$A$1:$I$21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1F4E78"/>
      <sz val="13"/>
    </font>
    <font>
      <name val="Arial"/>
      <family val="2"/>
      <b val="1"/>
      <color rgb="FF000000"/>
      <sz val="9"/>
    </font>
    <font>
      <name val="Arial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6" fillId="4" borderId="3" applyAlignment="1" pivotButton="0" quotePrefix="0" xfId="0">
      <alignment horizontal="left" vertical="top" wrapText="1"/>
    </xf>
    <xf numFmtId="3" fontId="6" fillId="4" borderId="3" applyAlignment="1" pivotButton="0" quotePrefix="0" xfId="0">
      <alignment horizontal="center" vertical="top"/>
    </xf>
    <xf numFmtId="164" fontId="6" fillId="4" borderId="3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1" fillId="5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1" fillId="5" borderId="4" applyAlignment="1" pivotButton="0" quotePrefix="0" xfId="0">
      <alignment horizontal="center" vertical="center" wrapText="1"/>
    </xf>
    <xf numFmtId="3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3" fontId="6" fillId="6" borderId="4" applyAlignment="1" pivotButton="0" quotePrefix="0" xfId="0">
      <alignment horizontal="center" vertical="center"/>
    </xf>
    <xf numFmtId="164" fontId="6" fillId="6" borderId="4" applyAlignment="1" pivotButton="0" quotePrefix="0" xfId="0">
      <alignment horizontal="center" vertical="center"/>
    </xf>
    <xf numFmtId="3" fontId="3" fillId="0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  <xf numFmtId="0" fontId="3" fillId="7" borderId="4" applyAlignment="1" pivotButton="0" quotePrefix="0" xfId="0">
      <alignment horizontal="center" vertical="top" wrapText="1"/>
    </xf>
  </cellXfs>
  <cellStyles count="1">
    <cellStyle name="Normal" xfId="0" builtinId="0" hidden="0"/>
  </cellStyles>
  <dxfs count="6">
    <dxf>
      <font>
        <name val="Arial"/>
        <color rgb="FF375623"/>
        <sz val="9"/>
      </font>
      <fill>
        <patternFill patternType="solid">
          <bgColor rgb="FFE2EFDA"/>
        </patternFill>
      </fill>
    </dxf>
    <dxf>
      <font>
        <name val="Arial"/>
        <color rgb="FFC65911"/>
        <sz val="9"/>
      </font>
      <fill>
        <patternFill patternType="solid">
          <bgColor rgb="FFFCE4D6"/>
        </patternFill>
      </fill>
    </dxf>
    <dxf>
      <font>
        <name val="Arial"/>
        <color rgb="FF833C0C"/>
        <sz val="9"/>
      </font>
      <fill>
        <patternFill patternType="solid">
          <bgColor rgb="FFFFF2CC"/>
        </patternFill>
      </fill>
    </dxf>
    <dxf>
      <font>
        <name val="Arial"/>
        <color rgb="FF595959"/>
        <sz val="9"/>
      </font>
      <fill>
        <patternFill patternType="solid">
          <bgColor rgb="FFEDEDED"/>
        </patternFill>
      </fill>
    </dxf>
    <dxf>
      <font>
        <name val="Arial"/>
        <color rgb="FF7030A0"/>
        <sz val="9"/>
      </font>
      <fill>
        <patternFill patternType="solid">
          <bgColor rgb="FFEAD1DC"/>
        </patternFill>
      </fill>
    </dxf>
    <dxf>
      <font>
        <name val="Arial"/>
        <color rgb="FF7F7F7F"/>
        <sz val="9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5" customWidth="1" min="2" max="2"/>
    <col width="16" customWidth="1" min="3" max="3"/>
    <col width="18" customWidth="1" min="4" max="4"/>
    <col width="15" customWidth="1" min="5" max="5"/>
    <col width="18" customWidth="1" min="6" max="6"/>
    <col width="15" customWidth="1" min="7" max="7"/>
    <col width="14" customWidth="1" min="8" max="8"/>
  </cols>
  <sheetData>
    <row r="1" ht="24" customHeight="1">
      <c r="A1" s="17" t="inlineStr">
        <is>
          <t>Category</t>
        </is>
      </c>
      <c r="B1" s="17" t="inlineStr">
        <is>
          <t>Details</t>
        </is>
      </c>
    </row>
    <row r="2" ht="19.95" customHeight="1">
      <c r="A2" s="18" t="inlineStr">
        <is>
          <t>Document Name</t>
        </is>
      </c>
      <c r="B2" s="19" t="inlineStr">
        <is>
          <t>Balances &amp; Wallet Consistency testcases</t>
        </is>
      </c>
    </row>
    <row r="3" ht="19.95" customHeight="1">
      <c r="A3" s="18" t="inlineStr">
        <is>
          <t>Epic / Story Ref</t>
        </is>
      </c>
      <c r="B3" s="19" t="inlineStr">
        <is>
          <t>EMI-5944 Balances &amp; Wallet Consistency Epic</t>
        </is>
      </c>
    </row>
    <row r="4" ht="19.95" customHeight="1">
      <c r="A4" s="18" t="inlineStr">
        <is>
          <t>Release Number</t>
        </is>
      </c>
      <c r="B4" s="19" t="inlineStr">
        <is>
          <t>Backlog - not yet scheduled to a release</t>
        </is>
      </c>
    </row>
    <row r="5" ht="19.95" customHeight="1">
      <c r="A5" s="18" t="inlineStr">
        <is>
          <t>Environment</t>
        </is>
      </c>
      <c r="B5" s="19" t="inlineStr">
        <is>
          <t>UAT</t>
        </is>
      </c>
    </row>
    <row r="6" ht="19.95" customHeight="1">
      <c r="A6" s="18" t="inlineStr">
        <is>
          <t>Testing Period</t>
        </is>
      </c>
      <c r="B6" s="19" t="inlineStr">
        <is>
          <t>Sprint Test Execution Cycle</t>
        </is>
      </c>
    </row>
    <row r="9" ht="18" customHeight="1">
      <c r="A9" s="4" t="inlineStr">
        <is>
          <t>EMI-5944 Balances &amp; Wallet Consistency — Test Case Results by Category</t>
        </is>
      </c>
    </row>
    <row r="11" ht="25.95" customHeight="1">
      <c r="A11" s="20" t="inlineStr">
        <is>
          <t>Category (Feature / Story)</t>
        </is>
      </c>
      <c r="B11" s="20" t="inlineStr">
        <is>
          <t>Passed</t>
        </is>
      </c>
      <c r="C11" s="20" t="inlineStr">
        <is>
          <t>Failed</t>
        </is>
      </c>
      <c r="D11" s="20" t="inlineStr">
        <is>
          <t>Partially Passed</t>
        </is>
      </c>
      <c r="E11" s="20" t="inlineStr">
        <is>
          <t>Not Tested</t>
        </is>
      </c>
      <c r="F11" s="20" t="inlineStr">
        <is>
          <t>Not Implemented</t>
        </is>
      </c>
      <c r="G11" s="20" t="inlineStr">
        <is>
          <t>Total Checks</t>
        </is>
      </c>
      <c r="H11" s="20" t="inlineStr">
        <is>
          <t>Pass Rate %</t>
        </is>
      </c>
    </row>
    <row r="12" ht="19.95" customHeight="1">
      <c r="A12" s="18" t="inlineStr">
        <is>
          <t>EMI-5947 — Balance Consumer Partitioning by Wallet</t>
        </is>
      </c>
      <c r="B12" s="21">
        <f>COUNTIF('Consumer Partitioning'!H2:H400, "Passed")</f>
        <v/>
      </c>
      <c r="C12" s="21">
        <f>COUNTIF('Consumer Partitioning'!H2:H400, "Failed")</f>
        <v/>
      </c>
      <c r="D12" s="21">
        <f>COUNTIF('Consumer Partitioning'!H2:H400, "Partially Passed")</f>
        <v/>
      </c>
      <c r="E12" s="21">
        <f>COUNTIF('Consumer Partitioning'!H2:H400, "Not Tested")</f>
        <v/>
      </c>
      <c r="F12" s="21">
        <f>COUNTIF('Consumer Partitioning'!H2:H400, "Not Implemented")</f>
        <v/>
      </c>
      <c r="G12" s="21">
        <f>SUM(B12:F12)</f>
        <v/>
      </c>
      <c r="H12" s="22">
        <f>IF(G12&gt;0, B12/G12, 0)</f>
        <v/>
      </c>
    </row>
    <row r="13" ht="19.95" customHeight="1">
      <c r="A13" s="18" t="inlineStr">
        <is>
          <t>EMI-5948 — Balance Consumer Idempotency</t>
        </is>
      </c>
      <c r="B13" s="21">
        <f>COUNTIF('Consumer Idempotency'!H2:H400, "Passed")</f>
        <v/>
      </c>
      <c r="C13" s="21">
        <f>COUNTIF('Consumer Idempotency'!H2:H400, "Failed")</f>
        <v/>
      </c>
      <c r="D13" s="21">
        <f>COUNTIF('Consumer Idempotency'!H2:H400, "Partially Passed")</f>
        <v/>
      </c>
      <c r="E13" s="21">
        <f>COUNTIF('Consumer Idempotency'!H2:H400, "Not Tested")</f>
        <v/>
      </c>
      <c r="F13" s="21">
        <f>COUNTIF('Consumer Idempotency'!H2:H400, "Not Implemented")</f>
        <v/>
      </c>
      <c r="G13" s="21">
        <f>SUM(B13:F13)</f>
        <v/>
      </c>
      <c r="H13" s="22">
        <f>IF(G13&gt;0, B13/G13, 0)</f>
        <v/>
      </c>
    </row>
    <row r="14" ht="19.95" customHeight="1">
      <c r="A14" s="18" t="inlineStr">
        <is>
          <t>EMI-5949 — Transaction Lifecycle Ordering Guard</t>
        </is>
      </c>
      <c r="B14" s="21">
        <f>COUNTIF('Lifecycle Ordering Guard'!H2:H400, "Passed")</f>
        <v/>
      </c>
      <c r="C14" s="21">
        <f>COUNTIF('Lifecycle Ordering Guard'!H2:H400, "Failed")</f>
        <v/>
      </c>
      <c r="D14" s="21">
        <f>COUNTIF('Lifecycle Ordering Guard'!H2:H400, "Partially Passed")</f>
        <v/>
      </c>
      <c r="E14" s="21">
        <f>COUNTIF('Lifecycle Ordering Guard'!H2:H400, "Not Tested")</f>
        <v/>
      </c>
      <c r="F14" s="21">
        <f>COUNTIF('Lifecycle Ordering Guard'!H2:H400, "Not Implemented")</f>
        <v/>
      </c>
      <c r="G14" s="21">
        <f>SUM(B14:F14)</f>
        <v/>
      </c>
      <c r="H14" s="22">
        <f>IF(G14&gt;0, B14/G14, 0)</f>
        <v/>
      </c>
    </row>
    <row r="15" ht="19.95" customHeight="1">
      <c r="A15" s="18" t="inlineStr">
        <is>
          <t>EMI-5945 — Statement History Rebuild</t>
        </is>
      </c>
      <c r="B15" s="21">
        <f>COUNTIF('Statement History Rebuild'!H2:H400, "Passed")</f>
        <v/>
      </c>
      <c r="C15" s="21">
        <f>COUNTIF('Statement History Rebuild'!H2:H400, "Failed")</f>
        <v/>
      </c>
      <c r="D15" s="21">
        <f>COUNTIF('Statement History Rebuild'!H2:H400, "Partially Passed")</f>
        <v/>
      </c>
      <c r="E15" s="21">
        <f>COUNTIF('Statement History Rebuild'!H2:H400, "Not Tested")</f>
        <v/>
      </c>
      <c r="F15" s="21">
        <f>COUNTIF('Statement History Rebuild'!H2:H400, "Not Implemented")</f>
        <v/>
      </c>
      <c r="G15" s="21">
        <f>SUM(B15:F15)</f>
        <v/>
      </c>
      <c r="H15" s="22">
        <f>IF(G15&gt;0, B15/G15, 0)</f>
        <v/>
      </c>
    </row>
    <row r="16" ht="19.95" customHeight="1">
      <c r="A16" s="18" t="inlineStr">
        <is>
          <t>EMI-5946 — Wallet Balance Recompute</t>
        </is>
      </c>
      <c r="B16" s="21">
        <f>COUNTIF('Wallet Balance Recompute'!H2:H400, "Passed")</f>
        <v/>
      </c>
      <c r="C16" s="21">
        <f>COUNTIF('Wallet Balance Recompute'!H2:H400, "Failed")</f>
        <v/>
      </c>
      <c r="D16" s="21">
        <f>COUNTIF('Wallet Balance Recompute'!H2:H400, "Partially Passed")</f>
        <v/>
      </c>
      <c r="E16" s="21">
        <f>COUNTIF('Wallet Balance Recompute'!H2:H400, "Not Tested")</f>
        <v/>
      </c>
      <c r="F16" s="21">
        <f>COUNTIF('Wallet Balance Recompute'!H2:H400, "Not Implemented")</f>
        <v/>
      </c>
      <c r="G16" s="21">
        <f>SUM(B16:F16)</f>
        <v/>
      </c>
      <c r="H16" s="22">
        <f>IF(G16&gt;0, B16/G16, 0)</f>
        <v/>
      </c>
    </row>
    <row r="17" ht="19.95" customHeight="1">
      <c r="A17" s="18" t="inlineStr">
        <is>
          <t>EMI-5950 — Bucket Identity Validation &amp; Variance Detection</t>
        </is>
      </c>
      <c r="B17" s="21">
        <f>COUNTIF('Bucket Identity Validation'!H2:H400, "Passed")</f>
        <v/>
      </c>
      <c r="C17" s="21">
        <f>COUNTIF('Bucket Identity Validation'!H2:H400, "Failed")</f>
        <v/>
      </c>
      <c r="D17" s="21">
        <f>COUNTIF('Bucket Identity Validation'!H2:H400, "Partially Passed")</f>
        <v/>
      </c>
      <c r="E17" s="21">
        <f>COUNTIF('Bucket Identity Validation'!H2:H400, "Not Tested")</f>
        <v/>
      </c>
      <c r="F17" s="21">
        <f>COUNTIF('Bucket Identity Validation'!H2:H400, "Not Implemented")</f>
        <v/>
      </c>
      <c r="G17" s="21">
        <f>SUM(B17:F17)</f>
        <v/>
      </c>
      <c r="H17" s="22">
        <f>IF(G17&gt;0, B17/G17, 0)</f>
        <v/>
      </c>
    </row>
    <row r="18" ht="19.95" customHeight="1">
      <c r="A18" s="18" t="inlineStr">
        <is>
          <t>EMI-5951 — Stuck Reserve Detection</t>
        </is>
      </c>
      <c r="B18" s="21">
        <f>COUNTIF('Stuck Reserve Detection'!H2:H400, "Passed")</f>
        <v/>
      </c>
      <c r="C18" s="21">
        <f>COUNTIF('Stuck Reserve Detection'!H2:H400, "Failed")</f>
        <v/>
      </c>
      <c r="D18" s="21">
        <f>COUNTIF('Stuck Reserve Detection'!H2:H400, "Partially Passed")</f>
        <v/>
      </c>
      <c r="E18" s="21">
        <f>COUNTIF('Stuck Reserve Detection'!H2:H400, "Not Tested")</f>
        <v/>
      </c>
      <c r="F18" s="21">
        <f>COUNTIF('Stuck Reserve Detection'!H2:H400, "Not Implemented")</f>
        <v/>
      </c>
      <c r="G18" s="21">
        <f>SUM(B18:F18)</f>
        <v/>
      </c>
      <c r="H18" s="22">
        <f>IF(G18&gt;0, B18/G18, 0)</f>
        <v/>
      </c>
    </row>
    <row r="19" ht="19.95" customHeight="1">
      <c r="A19" s="18" t="inlineStr">
        <is>
          <t>EMI-5954 — Wallet Daily Close (EOD Snapshot &amp; Anchor)</t>
        </is>
      </c>
      <c r="B19" s="21">
        <f>COUNTIF('Wallet Daily Close'!H2:H400, "Passed")</f>
        <v/>
      </c>
      <c r="C19" s="21">
        <f>COUNTIF('Wallet Daily Close'!H2:H400, "Failed")</f>
        <v/>
      </c>
      <c r="D19" s="21">
        <f>COUNTIF('Wallet Daily Close'!H2:H400, "Partially Passed")</f>
        <v/>
      </c>
      <c r="E19" s="21">
        <f>COUNTIF('Wallet Daily Close'!H2:H400, "Not Tested")</f>
        <v/>
      </c>
      <c r="F19" s="21">
        <f>COUNTIF('Wallet Daily Close'!H2:H400, "Not Implemented")</f>
        <v/>
      </c>
      <c r="G19" s="21">
        <f>SUM(B19:F19)</f>
        <v/>
      </c>
      <c r="H19" s="22">
        <f>IF(G19&gt;0, B19/G19, 0)</f>
        <v/>
      </c>
    </row>
    <row r="20" ht="19.95" customHeight="1">
      <c r="A20" s="18" t="inlineStr">
        <is>
          <t>EMI-5955 — EMI_MISSING Hybrid Resolution</t>
        </is>
      </c>
      <c r="B20" s="21">
        <f>COUNTIF('EMI_MISSING Resolution'!H2:H400, "Passed")</f>
        <v/>
      </c>
      <c r="C20" s="21">
        <f>COUNTIF('EMI_MISSING Resolution'!H2:H400, "Failed")</f>
        <v/>
      </c>
      <c r="D20" s="21">
        <f>COUNTIF('EMI_MISSING Resolution'!H2:H400, "Partially Passed")</f>
        <v/>
      </c>
      <c r="E20" s="21">
        <f>COUNTIF('EMI_MISSING Resolution'!H2:H400, "Not Tested")</f>
        <v/>
      </c>
      <c r="F20" s="21">
        <f>COUNTIF('EMI_MISSING Resolution'!H2:H400, "Not Implemented")</f>
        <v/>
      </c>
      <c r="G20" s="21">
        <f>SUM(B20:F20)</f>
        <v/>
      </c>
      <c r="H20" s="22">
        <f>IF(G20&gt;0, B20/G20, 0)</f>
        <v/>
      </c>
    </row>
    <row r="21" ht="19.95" customHeight="1">
      <c r="A21" s="18" t="inlineStr">
        <is>
          <t>EMI-5944 — End-to-End Balance Consistency Flows</t>
        </is>
      </c>
      <c r="B21" s="21">
        <f>COUNTIF('E2E Balances Flows'!H2:H400, "Passed")</f>
        <v/>
      </c>
      <c r="C21" s="21">
        <f>COUNTIF('E2E Balances Flows'!H2:H400, "Failed")</f>
        <v/>
      </c>
      <c r="D21" s="21">
        <f>COUNTIF('E2E Balances Flows'!H2:H400, "Partially Passed")</f>
        <v/>
      </c>
      <c r="E21" s="21">
        <f>COUNTIF('E2E Balances Flows'!H2:H400, "Not Tested")</f>
        <v/>
      </c>
      <c r="F21" s="21">
        <f>COUNTIF('E2E Balances Flows'!H2:H400, "Not Implemented")</f>
        <v/>
      </c>
      <c r="G21" s="21">
        <f>SUM(B21:F21)</f>
        <v/>
      </c>
      <c r="H21" s="22">
        <f>IF(G21&gt;0, B21/G21, 0)</f>
        <v/>
      </c>
    </row>
    <row r="22" ht="22.05" customHeight="1">
      <c r="A22" s="23" t="inlineStr">
        <is>
          <t>Total</t>
        </is>
      </c>
      <c r="B22" s="24">
        <f>SUM(B12:B21)</f>
        <v/>
      </c>
      <c r="C22" s="24">
        <f>SUM(C12:C21)</f>
        <v/>
      </c>
      <c r="D22" s="24">
        <f>SUM(D12:D21)</f>
        <v/>
      </c>
      <c r="E22" s="24">
        <f>SUM(E12:E21)</f>
        <v/>
      </c>
      <c r="F22" s="24">
        <f>SUM(F12:F21)</f>
        <v/>
      </c>
      <c r="G22" s="24">
        <f>SUM(G12:G21)</f>
        <v/>
      </c>
      <c r="H22" s="25">
        <f>IF(G22&gt;0, B22/G22, 0)</f>
        <v/>
      </c>
    </row>
    <row r="24" ht="22.05" customHeight="1">
      <c r="A24" s="4" t="inlineStr">
        <is>
          <t>Test Execution Statuses &amp; Definitions</t>
        </is>
      </c>
    </row>
    <row r="25" ht="24" customHeight="1">
      <c r="A25" s="20" t="inlineStr">
        <is>
          <t>Status</t>
        </is>
      </c>
      <c r="B25" s="20" t="inlineStr">
        <is>
          <t>Definition / Criteria</t>
        </is>
      </c>
      <c r="C25" s="20" t="inlineStr">
        <is>
          <t>Allowed In Workflow</t>
        </is>
      </c>
    </row>
    <row r="26" ht="19.95" customHeight="1">
      <c r="A26" s="19" t="inlineStr">
        <is>
          <t>Passed</t>
        </is>
      </c>
      <c r="B26" s="26" t="inlineStr">
        <is>
          <t>All test steps executed with actual result matching the expected result</t>
        </is>
      </c>
      <c r="C26" s="26" t="inlineStr">
        <is>
          <t>Yes</t>
        </is>
      </c>
    </row>
    <row r="27" ht="19.95" customHeight="1">
      <c r="A27" s="19" t="inlineStr">
        <is>
          <t>Failed</t>
        </is>
      </c>
      <c r="B27" s="26" t="inlineStr">
        <is>
          <t>One or more test steps failed or produced an incorrect result</t>
        </is>
      </c>
      <c r="C27" s="26" t="inlineStr">
        <is>
          <t>Yes</t>
        </is>
      </c>
    </row>
    <row r="28" ht="19.95" customHeight="1">
      <c r="A28" s="19" t="inlineStr">
        <is>
          <t>Partially Passed</t>
        </is>
      </c>
      <c r="B28" s="26" t="inlineStr">
        <is>
          <t>Core functionality works but a secondary assertion did not</t>
        </is>
      </c>
      <c r="C28" s="26" t="inlineStr">
        <is>
          <t>Yes</t>
        </is>
      </c>
    </row>
    <row r="29" ht="19.95" customHeight="1">
      <c r="A29" s="19" t="inlineStr">
        <is>
          <t>Not Tested</t>
        </is>
      </c>
      <c r="B29" s="26" t="inlineStr">
        <is>
          <t>Test case is ready for execution in the current cycle</t>
        </is>
      </c>
      <c r="C29" s="26" t="inlineStr">
        <is>
          <t>Yes (Default)</t>
        </is>
      </c>
    </row>
    <row r="30" ht="19.95" customHeight="1">
      <c r="A30" s="19" t="inlineStr">
        <is>
          <t>Not Implemented</t>
        </is>
      </c>
      <c r="B30" s="26" t="inlineStr">
        <is>
          <t>Feature or endpoint dependency is currently unavailable</t>
        </is>
      </c>
      <c r="C30" s="26" t="inlineStr">
        <is>
          <t>Yes</t>
        </is>
      </c>
    </row>
    <row r="31" ht="19.95" customHeight="1">
      <c r="A31" s="19" t="inlineStr">
        <is>
          <t>NA</t>
        </is>
      </c>
      <c r="B31" s="26" t="inlineStr">
        <is>
          <t>Scenario is not applicable to the current scope or configuration</t>
        </is>
      </c>
      <c r="C31" s="26" t="inlineStr">
        <is>
          <t>Yes</t>
        </is>
      </c>
    </row>
    <row r="33" ht="22.05" customHeight="1">
      <c r="A33" s="4" t="inlineStr">
        <is>
          <t>Note</t>
        </is>
      </c>
    </row>
    <row r="34">
      <c r="A34" s="27" t="inlineStr">
        <is>
          <t>Full epic coverage. The epic owns three things in priority order and each has its own sheets here: PREVENTION (EMI-5947 partitioning, EMI-5948 idempotency, EMI-5949 lifecycle ordering), DETECTION (EMI-5950 identity and conservation, EMI-5951 stuck reserves) and REPAIR (EMI-5946 recompute for balances, EMI-5945 rebuild for statements). EMI-5954 seals the day and EMI-5955 resolves bank-statement gaps by appended postings. EMI-5947, 5948 and 5949 are typed as Tasks rather than Stories in Jira, so a story-level coverage query will not see them — check issuetype = Task under this epic when re-running any gap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Partitioning</t>
        </is>
      </c>
      <c r="B2" s="29" t="inlineStr">
        <is>
          <t>TC-Partition-01</t>
        </is>
      </c>
      <c r="C2" s="28" t="inlineStr">
        <is>
          <t>Every CDC Event for a Wallet Lands on the Same Partition</t>
        </is>
      </c>
      <c r="D2" s="29" t="inlineStr">
        <is>
          <t>High</t>
        </is>
      </c>
      <c r="E2" s="28" t="inlineStr">
        <is>
          <t>Balance CDC topic re-keyed on wallet_id; a wallet with postings across many ledger entries</t>
        </is>
      </c>
      <c r="F2" s="28" t="inlineStr">
        <is>
          <t>1. Generate a spread of postings for one wallet
2. Inspect the partition each resulting event was produced to</t>
        </is>
      </c>
      <c r="G2" s="28" t="inlineStr">
        <is>
          <t>Every event for that wallet is produced to a single partition; no event for the wallet appears on any other partition</t>
        </is>
      </c>
      <c r="H2" s="29" t="inlineStr">
        <is>
          <t>Not Tested</t>
        </is>
      </c>
      <c r="I2" s="29" t="inlineStr">
        <is>
          <t>Integration</t>
        </is>
      </c>
    </row>
    <row r="3" ht="36" customHeight="1">
      <c r="A3" s="28" t="inlineStr">
        <is>
          <t>Partitioning</t>
        </is>
      </c>
      <c r="B3" s="29" t="inlineStr">
        <is>
          <t>TC-Partition-02</t>
        </is>
      </c>
      <c r="C3" s="28" t="inlineStr">
        <is>
          <t>Topic Is Keyed on wallet_id, Not the Ledger Entry Primary Key</t>
        </is>
      </c>
      <c r="D3" s="29" t="inlineStr">
        <is>
          <t>High</t>
        </is>
      </c>
      <c r="E3" s="28" t="inlineStr">
        <is>
          <t>Access to the Debezium connector configuration and the produced messages</t>
        </is>
      </c>
      <c r="F3" s="28" t="inlineStr">
        <is>
          <t>1. Inspect the message key on a sample of produced events
2. Inspect the re-keying stage in the connector configuration</t>
        </is>
      </c>
      <c r="G3" s="28" t="inlineStr">
        <is>
          <t>The message key is wallet_id, applied by an SMT or equivalent re-keying stage; it is no longer the source table primary key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Partitioning</t>
        </is>
      </c>
      <c r="B4" s="29" t="inlineStr">
        <is>
          <t>TC-Partition-03</t>
        </is>
      </c>
      <c r="C4" s="28" t="inlineStr">
        <is>
          <t>Different Wallets Distribute Across Partitions</t>
        </is>
      </c>
      <c r="D4" s="29" t="inlineStr">
        <is>
          <t>Medium</t>
        </is>
      </c>
      <c r="E4" s="28" t="inlineStr">
        <is>
          <t>Many wallets producing traffic</t>
        </is>
      </c>
      <c r="F4" s="28" t="inlineStr">
        <is>
          <t>1. Generate traffic across a large set of wallets
2. Inspect the partition distribution</t>
        </is>
      </c>
      <c r="G4" s="28" t="inlineStr">
        <is>
          <t>Events spread across the available partitions by wallet, so per-wallet ordering does not collapse all traffic onto one partition</t>
        </is>
      </c>
      <c r="H4" s="29" t="inlineStr">
        <is>
          <t>Not Tested</t>
        </is>
      </c>
      <c r="I4" s="29" t="inlineStr">
        <is>
          <t>Integration</t>
        </is>
      </c>
    </row>
    <row r="5" ht="36" customHeight="1">
      <c r="A5" s="28" t="inlineStr">
        <is>
          <t>Serialisation</t>
        </is>
      </c>
      <c r="B5" s="29" t="inlineStr">
        <is>
          <t>TC-Partition-04</t>
        </is>
      </c>
      <c r="C5" s="28" t="inlineStr">
        <is>
          <t>Consumer Applies One Wallet's Events Strictly Serially</t>
        </is>
      </c>
      <c r="D5" s="29" t="inlineStr">
        <is>
          <t>High</t>
        </is>
      </c>
      <c r="E5" s="28" t="inlineStr">
        <is>
          <t>Consumer running under load with concurrent processing enabled</t>
        </is>
      </c>
      <c r="F5" s="28" t="inlineStr">
        <is>
          <t>1. Drive concurrent postings for a single wallet
2. Instrument the consumer to record concurrent application per wallet</t>
        </is>
      </c>
      <c r="G5" s="28" t="inlineStr">
        <is>
          <t>No two entries for the same wallet are ever applied concurrently; a partition is processed serially or work is hashed to threads by wallet_id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Serialisation</t>
        </is>
      </c>
      <c r="B6" s="29" t="inlineStr">
        <is>
          <t>TC-Partition-05</t>
        </is>
      </c>
      <c r="C6" s="28" t="inlineStr">
        <is>
          <t>No Configuration Permits Concurrent Application for One Wallet</t>
        </is>
      </c>
      <c r="D6" s="29" t="inlineStr">
        <is>
          <t>High</t>
        </is>
      </c>
      <c r="E6" s="28" t="inlineStr">
        <is>
          <t>Access to the consumer configuration</t>
        </is>
      </c>
      <c r="F6" s="28" t="inlineStr">
        <is>
          <t>1. Review every concurrency, threading and batching setting available
2. Attempt to configure a mode that would apply two entries for one wallet at once</t>
        </is>
      </c>
      <c r="G6" s="28" t="inlineStr">
        <is>
          <t>No reachable configuration permits it; the serial guarantee is structural rather than dependent on an operator setting it correctly</t>
        </is>
      </c>
      <c r="H6" s="29" t="inlineStr">
        <is>
          <t>Not Tested</t>
        </is>
      </c>
      <c r="I6" s="29" t="inlineStr">
        <is>
          <t>Integration</t>
        </is>
      </c>
    </row>
    <row r="7" ht="36" customHeight="1">
      <c r="A7" s="28" t="inlineStr">
        <is>
          <t>Ordering</t>
        </is>
      </c>
      <c r="B7" s="29" t="inlineStr">
        <is>
          <t>TC-Partition-06</t>
        </is>
      </c>
      <c r="C7" s="28" t="inlineStr">
        <is>
          <t>PENDING and SUCCESS for One Wallet Apply in Commit Order</t>
        </is>
      </c>
      <c r="D7" s="29" t="inlineStr">
        <is>
          <t>High</t>
        </is>
      </c>
      <c r="E7" s="28" t="inlineStr">
        <is>
          <t>A wallet with a reserve followed by a settlement</t>
        </is>
      </c>
      <c r="F7" s="28" t="inlineStr">
        <is>
          <t>1. Produce the two postings in quick succession under load
2. Inspect the order in which the consumer applied them and the resulting buckets</t>
        </is>
      </c>
      <c r="G7" s="28" t="inlineStr">
        <is>
          <t>They are applied in commit order and the buckets are correct; the settlement is never applied before its reserve on this wallet</t>
        </is>
      </c>
      <c r="H7" s="29" t="inlineStr">
        <is>
          <t>Not Tested</t>
        </is>
      </c>
      <c r="I7" s="29" t="inlineStr">
        <is>
          <t>Integration</t>
        </is>
      </c>
    </row>
    <row r="8" ht="36" customHeight="1">
      <c r="A8" s="28" t="inlineStr">
        <is>
          <t>Ordering</t>
        </is>
      </c>
      <c r="B8" s="29" t="inlineStr">
        <is>
          <t>TC-Partition-07</t>
        </is>
      </c>
      <c r="C8" s="28" t="inlineStr">
        <is>
          <t>Load Test That Previously Reproduced Out-of-Order No Longer Does</t>
        </is>
      </c>
      <c r="D8" s="29" t="inlineStr">
        <is>
          <t>High</t>
        </is>
      </c>
      <c r="E8" s="28" t="inlineStr">
        <is>
          <t>The load profile that previously produced out-of-order application</t>
        </is>
      </c>
      <c r="F8" s="28" t="inlineStr">
        <is>
          <t>1. Run the load test at the same volume and shape
2. Inspect for any out-of-order application per wallet</t>
        </is>
      </c>
      <c r="G8" s="28" t="inlineStr">
        <is>
          <t>No out-of-order application occurs for any wallet under the profile that previously reproduced it</t>
        </is>
      </c>
      <c r="H8" s="29" t="inlineStr">
        <is>
          <t>Not Tested</t>
        </is>
      </c>
      <c r="I8" s="29" t="inlineStr">
        <is>
          <t>Performance / NFR</t>
        </is>
      </c>
    </row>
    <row r="9" ht="36" customHeight="1">
      <c r="A9" s="28" t="inlineStr">
        <is>
          <t>Ordering</t>
        </is>
      </c>
      <c r="B9" s="29" t="inlineStr">
        <is>
          <t>TC-Partition-08</t>
        </is>
      </c>
      <c r="C9" s="28" t="inlineStr">
        <is>
          <t>Ordering Holds Under a Forced Consumer Rebalance</t>
        </is>
      </c>
      <c r="D9" s="29" t="inlineStr">
        <is>
          <t>High</t>
        </is>
      </c>
      <c r="E9" s="28" t="inlineStr">
        <is>
          <t>Consumer group running under sustained load</t>
        </is>
      </c>
      <c r="F9" s="28" t="inlineStr">
        <is>
          <t>1. Force a consumer group rebalance mid-stream
2. Continue the load through the rebalance
3. Verify per-wallet ordering and final balances</t>
        </is>
      </c>
      <c r="G9" s="28" t="inlineStr">
        <is>
          <t>Per-wallet ordering holds across the rebalance and final balances are correct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Ordering</t>
        </is>
      </c>
      <c r="B10" s="29" t="inlineStr">
        <is>
          <t>TC-Partition-09</t>
        </is>
      </c>
      <c r="C10" s="28" t="inlineStr">
        <is>
          <t>Ordering Holds Across a Connector Restart</t>
        </is>
      </c>
      <c r="D10" s="29" t="inlineStr">
        <is>
          <t>High</t>
        </is>
      </c>
      <c r="E10" s="28" t="inlineStr">
        <is>
          <t>Debezium connector running under load</t>
        </is>
      </c>
      <c r="F10" s="28" t="inlineStr">
        <is>
          <t>1. Restart the connector mid-stream
2. Verify per-wallet ordering and final balances after recovery</t>
        </is>
      </c>
      <c r="G10" s="28" t="inlineStr">
        <is>
          <t>Ordering holds across the restart; no wallet ends in an incorrect state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Regression</t>
        </is>
      </c>
      <c r="B11" s="29" t="inlineStr">
        <is>
          <t>TC-Partition-10</t>
        </is>
      </c>
      <c r="C11" s="28" t="inlineStr">
        <is>
          <t>EMI-2059 Sequence Replays With a Correct Cumulative Balance</t>
        </is>
      </c>
      <c r="D11" s="29" t="inlineStr">
        <is>
          <t>High</t>
        </is>
      </c>
      <c r="E11" s="28" t="inlineStr">
        <is>
          <t>The transaction sequence recorded on EMI-2059</t>
        </is>
      </c>
      <c r="F11" s="28" t="inlineStr">
        <is>
          <t>1. Replay the sequence through the re-keyed pipeline
2. Check available_balance after every entry, not only at the end</t>
        </is>
      </c>
      <c r="G11" s="28" t="inlineStr">
        <is>
          <t>The cumulative available_balance is correct at every entry; it neither jumps nor stays flat despite the debits and credits. This is the regression guard for the closed defect</t>
        </is>
      </c>
      <c r="H11" s="29" t="inlineStr">
        <is>
          <t>Not Tested</t>
        </is>
      </c>
      <c r="I11" s="29" t="inlineStr">
        <is>
          <t>Integration</t>
        </is>
      </c>
    </row>
    <row r="12" ht="36" customHeight="1">
      <c r="A12" s="28" t="inlineStr">
        <is>
          <t>Regression</t>
        </is>
      </c>
      <c r="B12" s="29" t="inlineStr">
        <is>
          <t>TC-Partition-11</t>
        </is>
      </c>
      <c r="C12" s="28" t="inlineStr">
        <is>
          <t>Balances Agree With History After Replay</t>
        </is>
      </c>
      <c r="D12" s="29" t="inlineStr">
        <is>
          <t>High</t>
        </is>
      </c>
      <c r="E12" s="28" t="inlineStr">
        <is>
          <t>A wallet replayed through the re-keyed pipeline</t>
        </is>
      </c>
      <c r="F12" s="28" t="inlineStr">
        <is>
          <t>1. Compare the projected balance against the entry history</t>
        </is>
      </c>
      <c r="G12" s="28" t="inlineStr">
        <is>
          <t>Balance and history agree; the discrepancy signature recorded in the EMI-3506 QA trail does not reproduce</t>
        </is>
      </c>
      <c r="H12" s="29" t="inlineStr">
        <is>
          <t>Not Tested</t>
        </is>
      </c>
      <c r="I12" s="29" t="inlineStr">
        <is>
          <t>Integration</t>
        </is>
      </c>
    </row>
    <row r="13" ht="36" customHeight="1">
      <c r="A13" s="28" t="inlineStr">
        <is>
          <t>Cutover</t>
        </is>
      </c>
      <c r="B13" s="29" t="inlineStr">
        <is>
          <t>TC-Partition-12</t>
        </is>
      </c>
      <c r="C13" s="28" t="inlineStr">
        <is>
          <t>Cutover Drains the Existing Topic Fully First</t>
        </is>
      </c>
      <c r="D13" s="29" t="inlineStr">
        <is>
          <t>High</t>
        </is>
      </c>
      <c r="E13" s="28" t="inlineStr">
        <is>
          <t>An existing topic with a backlog under the old keying</t>
        </is>
      </c>
      <c r="F13" s="28" t="inlineStr">
        <is>
          <t>1. Execute the documented cutover
2. Monitor consumption of old-keyed and new-keyed events throughout</t>
        </is>
      </c>
      <c r="G13" s="28" t="inlineStr">
        <is>
          <t>The existing topic drains completely before the new keying takes effect; there is no window in which old-keyed and new-keyed events are consumed together</t>
        </is>
      </c>
      <c r="H13" s="29" t="inlineStr">
        <is>
          <t>Not Tested</t>
        </is>
      </c>
      <c r="I13" s="29" t="inlineStr">
        <is>
          <t>Migration</t>
        </is>
      </c>
    </row>
    <row r="14" ht="36" customHeight="1">
      <c r="A14" s="28" t="inlineStr">
        <is>
          <t>Cutover</t>
        </is>
      </c>
      <c r="B14" s="29" t="inlineStr">
        <is>
          <t>TC-Partition-13</t>
        </is>
      </c>
      <c r="C14" s="28" t="inlineStr">
        <is>
          <t>Balances Are Unchanged Across the Cutover</t>
        </is>
      </c>
      <c r="D14" s="29" t="inlineStr">
        <is>
          <t>High</t>
        </is>
      </c>
      <c r="E14" s="28" t="inlineStr">
        <is>
          <t>A set of wallets with known balances before cutover</t>
        </is>
      </c>
      <c r="F14" s="28" t="inlineStr">
        <is>
          <t>1. Record balances before the cutover
2. Execute the cutover
3. Re-read the balances</t>
        </is>
      </c>
      <c r="G14" s="28" t="inlineStr">
        <is>
          <t>No balance changes as a result of the cutover itself; the change is to transport keying only</t>
        </is>
      </c>
      <c r="H14" s="29" t="inlineStr">
        <is>
          <t>Not Tested</t>
        </is>
      </c>
      <c r="I14" s="29" t="inlineStr">
        <is>
          <t>Migration</t>
        </is>
      </c>
    </row>
    <row r="15" ht="36" customHeight="1">
      <c r="A15" s="28" t="inlineStr">
        <is>
          <t>Cutover</t>
        </is>
      </c>
      <c r="B15" s="29" t="inlineStr">
        <is>
          <t>TC-Partition-14</t>
        </is>
      </c>
      <c r="C15" s="28" t="inlineStr">
        <is>
          <t>Rollback Plan Is Documented and Tested</t>
        </is>
      </c>
      <c r="D15" s="29" t="inlineStr">
        <is>
          <t>High</t>
        </is>
      </c>
      <c r="E15" s="28" t="inlineStr">
        <is>
          <t>A completed cutover in a test environment</t>
        </is>
      </c>
      <c r="F15" s="28" t="inlineStr">
        <is>
          <t>1. Execute the documented rollback
2. Verify consumption resumes correctly and balances stay correct</t>
        </is>
      </c>
      <c r="G15" s="28" t="inlineStr">
        <is>
          <t>The rollback completes as documented and the pipeline returns to a working state with balances intact</t>
        </is>
      </c>
      <c r="H15" s="29" t="inlineStr">
        <is>
          <t>Not Tested</t>
        </is>
      </c>
      <c r="I15" s="29" t="inlineStr">
        <is>
          <t>Migration</t>
        </is>
      </c>
    </row>
    <row r="16" ht="36" customHeight="1">
      <c r="A16" s="28" t="inlineStr">
        <is>
          <t>Throughput</t>
        </is>
      </c>
      <c r="B16" s="29" t="inlineStr">
        <is>
          <t>TC-Partition-15</t>
        </is>
      </c>
      <c r="C16" s="28" t="inlineStr">
        <is>
          <t>Consumer Throughput Meets Current Production Volume</t>
        </is>
      </c>
      <c r="D16" s="29" t="inlineStr">
        <is>
          <t>High</t>
        </is>
      </c>
      <c r="E16" s="28" t="inlineStr">
        <is>
          <t>Production-representative load</t>
        </is>
      </c>
      <c r="F16" s="28" t="inlineStr">
        <is>
          <t>1. Drive current peak production volume through the re-keyed pipeline
2. Measure consumer throughput and lag</t>
        </is>
      </c>
      <c r="G16" s="28" t="inlineStr">
        <is>
          <t>Throughput meets current production volume and lag stays bounded; per-wallet serialisation does not starve the consumer</t>
        </is>
      </c>
      <c r="H16" s="29" t="inlineStr">
        <is>
          <t>Not Tested</t>
        </is>
      </c>
      <c r="I16" s="29" t="inlineStr">
        <is>
          <t>Performance / NFR</t>
        </is>
      </c>
    </row>
    <row r="17" ht="36" customHeight="1">
      <c r="A17" s="28" t="inlineStr">
        <is>
          <t>Throughput</t>
        </is>
      </c>
      <c r="B17" s="29" t="inlineStr">
        <is>
          <t>TC-Partition-16</t>
        </is>
      </c>
      <c r="C17" s="28" t="inlineStr">
        <is>
          <t>Partition Count Sizing Reviewed Against the Ordering Constraint</t>
        </is>
      </c>
      <c r="D17" s="29" t="inlineStr">
        <is>
          <t>Medium</t>
        </is>
      </c>
      <c r="E17" s="28" t="inlineStr">
        <is>
          <t>The chosen partition count and the wallet traffic distribution</t>
        </is>
      </c>
      <c r="F17" s="28" t="inlineStr">
        <is>
          <t>1. Review the partition count against peak throughput and wallet distribution
2. Identify any hot wallet that would bound a single partition</t>
        </is>
      </c>
      <c r="G17" s="28" t="inlineStr">
        <is>
          <t>The partition count is sized for production volume given that per-wallet ordering constrains parallelism; any increase needed is included in the change</t>
        </is>
      </c>
      <c r="H17" s="29" t="inlineStr">
        <is>
          <t>Not Tested</t>
        </is>
      </c>
      <c r="I17" s="29" t="inlineStr">
        <is>
          <t>Performance / NFR</t>
        </is>
      </c>
    </row>
    <row r="18" ht="36" customHeight="1">
      <c r="A18" s="28" t="inlineStr">
        <is>
          <t>Scope</t>
        </is>
      </c>
      <c r="B18" s="29" t="inlineStr">
        <is>
          <t>TC-Partition-17</t>
        </is>
      </c>
      <c r="C18" s="28" t="inlineStr">
        <is>
          <t>No Ledger Schema Change Was Made</t>
        </is>
      </c>
      <c r="D18" s="29" t="inlineStr">
        <is>
          <t>High</t>
        </is>
      </c>
      <c r="E18" s="28" t="inlineStr">
        <is>
          <t>The ledger schema before and after the change</t>
        </is>
      </c>
      <c r="F18" s="28" t="inlineStr">
        <is>
          <t>1. Compare the transaction_log schema before and after</t>
        </is>
      </c>
      <c r="G18" s="28" t="inlineStr">
        <is>
          <t>The schema is unchanged; the guarantee is achieved entirely in the transport and consumer layers</t>
        </is>
      </c>
      <c r="H18" s="29" t="inlineStr">
        <is>
          <t>Not Tested</t>
        </is>
      </c>
      <c r="I18" s="29" t="inlineStr">
        <is>
          <t>Architecture</t>
        </is>
      </c>
    </row>
    <row r="19" ht="36" customHeight="1">
      <c r="A19" s="28" t="inlineStr">
        <is>
          <t>Scope</t>
        </is>
      </c>
      <c r="B19" s="29" t="inlineStr">
        <is>
          <t>TC-Partition-18</t>
        </is>
      </c>
      <c r="C19" s="28" t="inlineStr">
        <is>
          <t>Bucket Mapping Behaviour Is Unchanged</t>
        </is>
      </c>
      <c r="D19" s="29" t="inlineStr">
        <is>
          <t>High</t>
        </is>
      </c>
      <c r="E19" s="28" t="inlineStr">
        <is>
          <t>A representative set of transaction types</t>
        </is>
      </c>
      <c r="F19" s="28" t="inlineStr">
        <is>
          <t>1. Compare the resulting bucket movements before and after the re-keying for the same postings</t>
        </is>
      </c>
      <c r="G19" s="28" t="inlineStr">
        <is>
          <t>Bucket mapping behaviour is identical; this task changes ordering only and touches no consumer business logic</t>
        </is>
      </c>
      <c r="H19" s="29" t="inlineStr">
        <is>
          <t>Not Tested</t>
        </is>
      </c>
      <c r="I19" s="29" t="inlineStr">
        <is>
          <t>Architecture</t>
        </is>
      </c>
    </row>
    <row r="20" ht="36" customHeight="1">
      <c r="A20" s="28" t="inlineStr">
        <is>
          <t>Limits</t>
        </is>
      </c>
      <c r="B20" s="29" t="inlineStr">
        <is>
          <t>TC-Partition-19</t>
        </is>
      </c>
      <c r="C20" s="28" t="inlineStr">
        <is>
          <t>Per-Wallet Ordering Does Not Order Across Wallets</t>
        </is>
      </c>
      <c r="D20" s="29" t="inlineStr">
        <is>
          <t>High</t>
        </is>
      </c>
      <c r="E20" s="28" t="inlineStr">
        <is>
          <t>One transaction posting to source, destination, commission and VAT wallets</t>
        </is>
      </c>
      <c r="F20" s="28" t="inlineStr">
        <is>
          <t>1. Produce the transaction's postings
2. Observe the order in which the four wallets' events are consumed</t>
        </is>
      </c>
      <c r="G20" s="28" t="inlineStr">
        <is>
          <t>Events for different wallets may still be consumed in any relative order, because they sit on different partitions. This is expected and is precisely why EMI-5949's per-transaction guard is still required</t>
        </is>
      </c>
      <c r="H20" s="29" t="inlineStr">
        <is>
          <t>Not Tested</t>
        </is>
      </c>
      <c r="I20" s="29" t="inlineStr">
        <is>
          <t>Edge / Boundary</t>
        </is>
      </c>
    </row>
    <row r="21" ht="36" customHeight="1">
      <c r="A21" s="28" t="inlineStr">
        <is>
          <t>Observability</t>
        </is>
      </c>
      <c r="B21" s="29" t="inlineStr">
        <is>
          <t>TC-Partition-20</t>
        </is>
      </c>
      <c r="C21" s="28" t="inlineStr">
        <is>
          <t>Per-Partition Lag Is Observable</t>
        </is>
      </c>
      <c r="D21" s="29" t="inlineStr">
        <is>
          <t>Medium</t>
        </is>
      </c>
      <c r="E21" s="28" t="inlineStr">
        <is>
          <t>The re-keyed pipeline under load</t>
        </is>
      </c>
      <c r="F21" s="28" t="inlineStr">
        <is>
          <t>1. Inspect the exposed consumer metrics</t>
        </is>
      </c>
      <c r="G21" s="28" t="inlineStr">
        <is>
          <t>Per-partition lag is visible so a hot partition caused by the ordering constraint can be identified before it becomes an incident</t>
        </is>
      </c>
      <c r="H21" s="29" t="inlineStr">
        <is>
          <t>Not Tested</t>
        </is>
      </c>
      <c r="I21" s="29" t="inlineStr">
        <is>
          <t>Observability</t>
        </is>
      </c>
    </row>
    <row r="22" ht="36" customHeight="1">
      <c r="A22" s="28" t="inlineStr">
        <is>
          <t>Cutover</t>
        </is>
      </c>
      <c r="B22" s="29" t="inlineStr">
        <is>
          <t>TC-Partition-21</t>
        </is>
      </c>
      <c r="C22" s="28" t="inlineStr">
        <is>
          <t>Increasing the Partition Count Does Not Reorder a Wallet In Flight</t>
        </is>
      </c>
      <c r="D22" s="29" t="inlineStr">
        <is>
          <t>High</t>
        </is>
      </c>
      <c r="E22" s="28" t="inlineStr">
        <is>
          <t>Topic re-keyed on wallet_id and consuming normally; a wallet with postings in flight</t>
        </is>
      </c>
      <c r="F22" s="28" t="inlineStr">
        <is>
          <t>1. Begin a stream of PENDING/SUCCESS postings for one wallet
2. Increase the topic partition count while those postings are in flight
3. Let the stream complete
4. Read the wallet buckets and compare against a ledger-derived recompute</t>
        </is>
      </c>
      <c r="G22" s="28" t="inlineStr">
        <is>
          <t>Either the partition change is blocked while events are in flight, or the cutover drains first; in no case are two events for one wallet applied out of commit order. Final buckets match the ledger</t>
        </is>
      </c>
      <c r="H22" s="29" t="inlineStr">
        <is>
          <t>Not Tested</t>
        </is>
      </c>
      <c r="I22" s="29" t="inlineStr">
        <is>
          <t>Negative</t>
        </is>
      </c>
    </row>
    <row r="23" ht="36" customHeight="1">
      <c r="A23" s="28" t="inlineStr">
        <is>
          <t>Cutover</t>
        </is>
      </c>
      <c r="B23" s="29" t="inlineStr">
        <is>
          <t>TC-Partition-22</t>
        </is>
      </c>
      <c r="C23" s="28" t="inlineStr">
        <is>
          <t>Mixed-Keying Is Actively Detected, Not Only Avoided by Procedure</t>
        </is>
      </c>
      <c r="D23" s="29" t="inlineStr">
        <is>
          <t>High</t>
        </is>
      </c>
      <c r="E23" s="28" t="inlineStr">
        <is>
          <t>A test topic seeded with both entry-id-keyed and wallet_id-keyed events</t>
        </is>
      </c>
      <c r="F23" s="28" t="inlineStr">
        <is>
          <t>1. Present the consumer with both keyings on the same topic
2. Observe consumer behaviour and alerting</t>
        </is>
      </c>
      <c r="G23" s="28" t="inlineStr">
        <is>
          <t>The consumer detects the mixed keying and refuses to consume, or halts and alerts, rather than silently applying both. The condition is visible in monitoring, not left to the runbook</t>
        </is>
      </c>
      <c r="H23" s="29" t="inlineStr">
        <is>
          <t>Not Tested</t>
        </is>
      </c>
      <c r="I23" s="29" t="inlineStr">
        <is>
          <t>Negative</t>
        </is>
      </c>
    </row>
    <row r="24" ht="36" customHeight="1">
      <c r="A24" s="28" t="inlineStr">
        <is>
          <t>Keying</t>
        </is>
      </c>
      <c r="B24" s="29" t="inlineStr">
        <is>
          <t>TC-Partition-23</t>
        </is>
      </c>
      <c r="C24" s="28" t="inlineStr">
        <is>
          <t>An Event With a Null or Missing wallet_id Is Not Round-Robined</t>
        </is>
      </c>
      <c r="D24" s="29" t="inlineStr">
        <is>
          <t>High</t>
        </is>
      </c>
      <c r="E24" s="28" t="inlineStr">
        <is>
          <t>Re-keying SMT in place</t>
        </is>
      </c>
      <c r="F24" s="28" t="inlineStr">
        <is>
          <t>1. Publish a CDC event whose wallet_id is null or absent
2. Observe the partition it lands on and the consumer outcome</t>
        </is>
      </c>
      <c r="G24" s="28" t="inlineStr">
        <is>
          <t>The event is routed to a dead-letter path or halts consumption with an alert. It is never given a null key, because a null key round-robins and silently destroys per-wallet ordering</t>
        </is>
      </c>
      <c r="H24" s="29" t="inlineStr">
        <is>
          <t>Not Tested</t>
        </is>
      </c>
      <c r="I24" s="29" t="inlineStr">
        <is>
          <t>Negative</t>
        </is>
      </c>
    </row>
    <row r="25" ht="36" customHeight="1">
      <c r="A25" s="28" t="inlineStr">
        <is>
          <t>Keying</t>
        </is>
      </c>
      <c r="B25" s="29" t="inlineStr">
        <is>
          <t>TC-Partition-24</t>
        </is>
      </c>
      <c r="C25" s="28" t="inlineStr">
        <is>
          <t>A Delete or Tombstone Event on an Append-Only Ledger Is Treated as an Anomaly</t>
        </is>
      </c>
      <c r="D25" s="29" t="inlineStr">
        <is>
          <t>Medium</t>
        </is>
      </c>
      <c r="E25" s="28" t="inlineStr">
        <is>
          <t>Re-keying SMT in place; the ledger is append-only by contract</t>
        </is>
      </c>
      <c r="F25" s="28" t="inlineStr">
        <is>
          <t>1. Publish a CDC delete/tombstone event for a ledger entry
2. Observe the consumer</t>
        </is>
      </c>
      <c r="G25" s="28" t="inlineStr">
        <is>
          <t>The event is rejected and alerted rather than applied. A delete on an append-only ledger indicates upstream corruption and must not silently reduce a balance</t>
        </is>
      </c>
      <c r="H25" s="29" t="inlineStr">
        <is>
          <t>Not Tested</t>
        </is>
      </c>
      <c r="I25" s="29" t="inlineStr">
        <is>
          <t>Negative</t>
        </is>
      </c>
    </row>
    <row r="26" ht="36" customHeight="1">
      <c r="A26" s="28" t="inlineStr">
        <is>
          <t>Performance</t>
        </is>
      </c>
      <c r="B26" s="29" t="inlineStr">
        <is>
          <t>TC-Partition-25</t>
        </is>
      </c>
      <c r="C26" s="28" t="inlineStr">
        <is>
          <t>Commission and VAT Wallet Skew Does Not Create a Hot Partition</t>
        </is>
      </c>
      <c r="D26" s="29" t="inlineStr">
        <is>
          <t>High</t>
        </is>
      </c>
      <c r="E26" s="28" t="inlineStr">
        <is>
          <t>Production-representative load in which every transaction posts to the shared commission and VAT wallets</t>
        </is>
      </c>
      <c r="F26" s="28" t="inlineStr">
        <is>
          <t>1. Drive production-volume mixed traffic
2. Measure per-partition throughput and lag
3. Identify the partitions owning the commission and VAT wallets</t>
        </is>
      </c>
      <c r="G26" s="28" t="inlineStr">
        <is>
          <t>Per-partition lag stays inside its alert threshold. Because keying on wallet_id pins these high-traffic wallets to single partitions, the sizing review accounts for the skew rather than assuming even distribution</t>
        </is>
      </c>
      <c r="H26" s="29" t="inlineStr">
        <is>
          <t>Not Tested</t>
        </is>
      </c>
      <c r="I26" s="29" t="inlineStr">
        <is>
          <t>Performance / NFR</t>
        </is>
      </c>
    </row>
    <row r="27" ht="36" customHeight="1">
      <c r="A27" s="28" t="inlineStr">
        <is>
          <t>Ordering</t>
        </is>
      </c>
      <c r="B27" s="29" t="inlineStr">
        <is>
          <t>TC-Partition-26</t>
        </is>
      </c>
      <c r="C27" s="28" t="inlineStr">
        <is>
          <t>Thread-Hashed Processing Keeps One Wallet on One Thread</t>
        </is>
      </c>
      <c r="D27" s="29" t="inlineStr">
        <is>
          <t>High</t>
        </is>
      </c>
      <c r="E27" s="28" t="inlineStr">
        <is>
          <t>Consumer configured to hash work to threads by wallet_id rather than one thread per partition</t>
        </is>
      </c>
      <c r="F27" s="28" t="inlineStr">
        <is>
          <t>1. Send interleaved postings for several wallets sharing a partition
2. Trace which thread handles each wallet</t>
        </is>
      </c>
      <c r="G27" s="28" t="inlineStr">
        <is>
          <t>A wallet's events are always handled by the same thread and never processed concurrently. Serial application is a property of the wallet, not merely of the partition</t>
        </is>
      </c>
      <c r="H27" s="29" t="inlineStr">
        <is>
          <t>Not Tested</t>
        </is>
      </c>
      <c r="I27" s="29" t="inlineStr">
        <is>
          <t>Integration</t>
        </is>
      </c>
    </row>
  </sheetData>
  <autoFilter ref="A1:I27"/>
  <conditionalFormatting sqref="H2:H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Idempotency</t>
        </is>
      </c>
      <c r="B2" s="29" t="inlineStr">
        <is>
          <t>TC-Idem-01</t>
        </is>
      </c>
      <c r="C2" s="28" t="inlineStr">
        <is>
          <t>Applying the Same Ledger Entry Twice Has One Effect</t>
        </is>
      </c>
      <c r="D2" s="29" t="inlineStr">
        <is>
          <t>High</t>
        </is>
      </c>
      <c r="E2" s="28" t="inlineStr">
        <is>
          <t>Consumer running with the uniqueness guard in place</t>
        </is>
      </c>
      <c r="F2" s="28" t="inlineStr">
        <is>
          <t>1. Deliver the same ledger entry event twice
2. Count projection rows and inspect the balance</t>
        </is>
      </c>
      <c r="G2" s="28" t="inlineStr">
        <is>
          <t>Exactly one projection row exists and exactly one balance effect is applied</t>
        </is>
      </c>
      <c r="H2" s="29" t="inlineStr">
        <is>
          <t>Not Tested</t>
        </is>
      </c>
      <c r="I2" s="29" t="inlineStr">
        <is>
          <t>Edge / Boundary</t>
        </is>
      </c>
    </row>
    <row r="3" ht="36" customHeight="1">
      <c r="A3" s="28" t="inlineStr">
        <is>
          <t>Idempotency</t>
        </is>
      </c>
      <c r="B3" s="29" t="inlineStr">
        <is>
          <t>TC-Idem-02</t>
        </is>
      </c>
      <c r="C3" s="28" t="inlineStr">
        <is>
          <t>Uniqueness Is Enforced by Constraint on Ledger Entry Identity</t>
        </is>
      </c>
      <c r="D3" s="29" t="inlineStr">
        <is>
          <t>High</t>
        </is>
      </c>
      <c r="E3" s="28" t="inlineStr">
        <is>
          <t>Direct database access</t>
        </is>
      </c>
      <c r="F3" s="28" t="inlineStr">
        <is>
          <t>1. Attempt to insert a second projection row for the same ledger entry identity, bypassing the application</t>
        </is>
      </c>
      <c r="G3" s="28" t="inlineStr">
        <is>
          <t>The database rejects it; uniqueness is a constraint, not an application-level check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Idempotency</t>
        </is>
      </c>
      <c r="B4" s="29" t="inlineStr">
        <is>
          <t>TC-Idem-03</t>
        </is>
      </c>
      <c r="C4" s="28" t="inlineStr">
        <is>
          <t>Duplicate Is Discarded, Not Errored</t>
        </is>
      </c>
      <c r="D4" s="29" t="inlineStr">
        <is>
          <t>High</t>
        </is>
      </c>
      <c r="E4" s="28" t="inlineStr">
        <is>
          <t>A duplicate event delivered to the consumer</t>
        </is>
      </c>
      <c r="F4" s="28" t="inlineStr">
        <is>
          <t>1. Deliver the duplicate
2. Observe the consumer outcome and the error channel</t>
        </is>
      </c>
      <c r="G4" s="28" t="inlineStr">
        <is>
          <t>The duplicate is detected and discarded through a conflict-tolerant insert path; it is neither applied nor raised as a processing error that would stall the consumer</t>
        </is>
      </c>
      <c r="H4" s="29" t="inlineStr">
        <is>
          <t>Not Tested</t>
        </is>
      </c>
      <c r="I4" s="29" t="inlineStr">
        <is>
          <t>Integration</t>
        </is>
      </c>
    </row>
    <row r="5" ht="36" customHeight="1">
      <c r="A5" s="28" t="inlineStr">
        <is>
          <t>Idempotency</t>
        </is>
      </c>
      <c r="B5" s="29" t="inlineStr">
        <is>
          <t>TC-Idem-04</t>
        </is>
      </c>
      <c r="C5" s="28" t="inlineStr">
        <is>
          <t>Duplicate Detection Introduces No Read-Modify-Write Race</t>
        </is>
      </c>
      <c r="D5" s="29" t="inlineStr">
        <is>
          <t>High</t>
        </is>
      </c>
      <c r="E5" s="28" t="inlineStr">
        <is>
          <t>High concurrency on the same wallet</t>
        </is>
      </c>
      <c r="F5" s="28" t="inlineStr">
        <is>
          <t>1. Deliver duplicates concurrently under load
2. Inspect projection rows and balances</t>
        </is>
      </c>
      <c r="G5" s="28" t="inlineStr">
        <is>
          <t>Detection does not depend on a read-then-write round trip; concurrent duplicates cannot both pass the check and be applied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Position</t>
        </is>
      </c>
      <c r="B6" s="29" t="inlineStr">
        <is>
          <t>TC-Idem-05</t>
        </is>
      </c>
      <c r="C6" s="28" t="inlineStr">
        <is>
          <t>last_applied_position Is Recorded on the Wallet Snapshot</t>
        </is>
      </c>
      <c r="D6" s="29" t="inlineStr">
        <is>
          <t>High</t>
        </is>
      </c>
      <c r="E6" s="28" t="inlineStr">
        <is>
          <t>Consumer applying events for a wallet</t>
        </is>
      </c>
      <c r="F6" s="28" t="inlineStr">
        <is>
          <t>1. Apply a series of events
2. Read last_applied_position on the wallet snapshot</t>
        </is>
      </c>
      <c r="G6" s="28" t="inlineStr">
        <is>
          <t>The position is recorded and advances monotonically in commit order, taken from the CDC commit position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Position</t>
        </is>
      </c>
      <c r="B7" s="29" t="inlineStr">
        <is>
          <t>TC-Idem-06</t>
        </is>
      </c>
      <c r="C7" s="28" t="inlineStr">
        <is>
          <t>Commit Position Requires No Ledger Schema Change</t>
        </is>
      </c>
      <c r="D7" s="29" t="inlineStr">
        <is>
          <t>High</t>
        </is>
      </c>
      <c r="E7" s="28" t="inlineStr">
        <is>
          <t>The ledger schema and a sample of Debezium events</t>
        </is>
      </c>
      <c r="F7" s="28" t="inlineStr">
        <is>
          <t>1. Confirm the commit position is present on every Debezium event
2. Compare the transaction_log schema before and after</t>
        </is>
      </c>
      <c r="G7" s="28" t="inlineStr">
        <is>
          <t>The position is available on every event (Postgres source.lsn or MySQL binlog file and pos) and the ledger schema is unchanged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Position</t>
        </is>
      </c>
      <c r="B8" s="29" t="inlineStr">
        <is>
          <t>TC-Idem-07</t>
        </is>
      </c>
      <c r="C8" s="28" t="inlineStr">
        <is>
          <t>Stale Event Behind the Recorded Position Is Discarded</t>
        </is>
      </c>
      <c r="D8" s="29" t="inlineStr">
        <is>
          <t>High</t>
        </is>
      </c>
      <c r="E8" s="28" t="inlineStr">
        <is>
          <t>A wallet with an advanced last_applied_position</t>
        </is>
      </c>
      <c r="F8" s="28" t="inlineStr">
        <is>
          <t>1. Deliver an event whose commit position is behind the recorded position
2. Inspect the balance, the discard counter and the log</t>
        </is>
      </c>
      <c r="G8" s="28" t="inlineStr">
        <is>
          <t>The event is discarded, counted and logged; it is never applied and never dropped without record</t>
        </is>
      </c>
      <c r="H8" s="29" t="inlineStr">
        <is>
          <t>Not Tested</t>
        </is>
      </c>
      <c r="I8" s="29" t="inlineStr">
        <is>
          <t>Functional</t>
        </is>
      </c>
    </row>
    <row r="9" ht="36" customHeight="1">
      <c r="A9" s="28" t="inlineStr">
        <is>
          <t>Position</t>
        </is>
      </c>
      <c r="B9" s="29" t="inlineStr">
        <is>
          <t>TC-Idem-08</t>
        </is>
      </c>
      <c r="C9" s="28" t="inlineStr">
        <is>
          <t>Event Exactly At the Recorded Position Is Discarded</t>
        </is>
      </c>
      <c r="D9" s="29" t="inlineStr">
        <is>
          <t>High</t>
        </is>
      </c>
      <c r="E9" s="28" t="inlineStr">
        <is>
          <t>A wallet whose last_applied_position matches an incoming event</t>
        </is>
      </c>
      <c r="F9" s="28" t="inlineStr">
        <is>
          <t>1. Deliver an event whose commit position equals the recorded position</t>
        </is>
      </c>
      <c r="G9" s="28" t="inlineStr">
        <is>
          <t>It is discarded on the same path as a behind-position event; the comparison is at-or-behind, not strictly behind</t>
        </is>
      </c>
      <c r="H9" s="29" t="inlineStr">
        <is>
          <t>Not Tested</t>
        </is>
      </c>
      <c r="I9" s="29" t="inlineStr">
        <is>
          <t>Edge / Boundary</t>
        </is>
      </c>
    </row>
    <row r="10" ht="36" customHeight="1">
      <c r="A10" s="28" t="inlineStr">
        <is>
          <t>Position</t>
        </is>
      </c>
      <c r="B10" s="29" t="inlineStr">
        <is>
          <t>TC-Idem-09</t>
        </is>
      </c>
      <c r="C10" s="28" t="inlineStr">
        <is>
          <t>Conditional Write Is Enforced on the Write Path</t>
        </is>
      </c>
      <c r="D10" s="29" t="inlineStr">
        <is>
          <t>High</t>
        </is>
      </c>
      <c r="E10" s="28" t="inlineStr">
        <is>
          <t>Concurrent delivery of an in-order and a stale event</t>
        </is>
      </c>
      <c r="F10" s="28" t="inlineStr">
        <is>
          <t>1. Deliver both concurrently
2. Inspect which was applied</t>
        </is>
      </c>
      <c r="G10" s="28" t="inlineStr">
        <is>
          <t>The position check is enforced on the conditional balance write itself, so a stale event cannot slip through between a check and a write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Replay</t>
        </is>
      </c>
      <c r="B11" s="29" t="inlineStr">
        <is>
          <t>TC-Idem-10</t>
        </is>
      </c>
      <c r="C11" s="28" t="inlineStr">
        <is>
          <t>Replaying an Arbitrary Topic Window Leaves Balances Unchanged</t>
        </is>
      </c>
      <c r="D11" s="29" t="inlineStr">
        <is>
          <t>High</t>
        </is>
      </c>
      <c r="E11" s="28" t="inlineStr">
        <is>
          <t>A set of wallets with known balances</t>
        </is>
      </c>
      <c r="F11" s="28" t="inlineStr">
        <is>
          <t>1. Record all balances
2. Replay an arbitrary window of the topic
3. Re-read the balances</t>
        </is>
      </c>
      <c r="G11" s="28" t="inlineStr">
        <is>
          <t>Every balance is unchanged; the replay produces zero net effect</t>
        </is>
      </c>
      <c r="H11" s="29" t="inlineStr">
        <is>
          <t>Not Tested</t>
        </is>
      </c>
      <c r="I11" s="29" t="inlineStr">
        <is>
          <t>Integration</t>
        </is>
      </c>
    </row>
    <row r="12" ht="36" customHeight="1">
      <c r="A12" s="28" t="inlineStr">
        <is>
          <t>Replay</t>
        </is>
      </c>
      <c r="B12" s="29" t="inlineStr">
        <is>
          <t>TC-Idem-11</t>
        </is>
      </c>
      <c r="C12" s="28" t="inlineStr">
        <is>
          <t>Replaying a Full 24-Hour Window Produces Zero Net Balance Change</t>
        </is>
      </c>
      <c r="D12" s="29" t="inlineStr">
        <is>
          <t>High</t>
        </is>
      </c>
      <c r="E12" s="28" t="inlineStr">
        <is>
          <t>A day of consumed traffic and recorded balances</t>
        </is>
      </c>
      <c r="F12" s="28" t="inlineStr">
        <is>
          <t>1. Deliberately replay the whole 24-hour window
2. Compare balances and projection row counts before and after</t>
        </is>
      </c>
      <c r="G12" s="28" t="inlineStr">
        <is>
          <t>Balances and row counts are identical; no money is moved by the replay</t>
        </is>
      </c>
      <c r="H12" s="29" t="inlineStr">
        <is>
          <t>Not Tested</t>
        </is>
      </c>
      <c r="I12" s="29" t="inlineStr">
        <is>
          <t>Integration</t>
        </is>
      </c>
    </row>
    <row r="13" ht="36" customHeight="1">
      <c r="A13" s="28" t="inlineStr">
        <is>
          <t>Resilience</t>
        </is>
      </c>
      <c r="B13" s="29" t="inlineStr">
        <is>
          <t>TC-Idem-12</t>
        </is>
      </c>
      <c r="C13" s="28" t="inlineStr">
        <is>
          <t>Connector Restart Mid-Stream Changes Nothing</t>
        </is>
      </c>
      <c r="D13" s="29" t="inlineStr">
        <is>
          <t>High</t>
        </is>
      </c>
      <c r="E13" s="28" t="inlineStr">
        <is>
          <t>Connector consuming under load</t>
        </is>
      </c>
      <c r="F13" s="28" t="inlineStr">
        <is>
          <t>1. Record balances and projection row counts
2. Force a connector restart mid-stream
3. Re-check both after recovery</t>
        </is>
      </c>
      <c r="G13" s="28" t="inlineStr">
        <is>
          <t>Balances and projection row counts are unchanged by the restart; redelivered events are absorbed</t>
        </is>
      </c>
      <c r="H13" s="29" t="inlineStr">
        <is>
          <t>Not Tested</t>
        </is>
      </c>
      <c r="I13" s="29" t="inlineStr">
        <is>
          <t>Integration</t>
        </is>
      </c>
    </row>
    <row r="14" ht="36" customHeight="1">
      <c r="A14" s="28" t="inlineStr">
        <is>
          <t>Resilience</t>
        </is>
      </c>
      <c r="B14" s="29" t="inlineStr">
        <is>
          <t>TC-Idem-13</t>
        </is>
      </c>
      <c r="C14" s="28" t="inlineStr">
        <is>
          <t>Consumer Group Rebalance Under Load Changes Nothing</t>
        </is>
      </c>
      <c r="D14" s="29" t="inlineStr">
        <is>
          <t>High</t>
        </is>
      </c>
      <c r="E14" s="28" t="inlineStr">
        <is>
          <t>Consumer group under sustained load</t>
        </is>
      </c>
      <c r="F14" s="28" t="inlineStr">
        <is>
          <t>1. Force a rebalance under load
2. Compare balances and row counts against the expected values</t>
        </is>
      </c>
      <c r="G14" s="28" t="inlineStr">
        <is>
          <t>No double-counting occurs; redelivery caused by the rebalance is absorbed idempotently</t>
        </is>
      </c>
      <c r="H14" s="29" t="inlineStr">
        <is>
          <t>Not Tested</t>
        </is>
      </c>
      <c r="I14" s="29" t="inlineStr">
        <is>
          <t>Integration</t>
        </is>
      </c>
    </row>
    <row r="15" ht="36" customHeight="1">
      <c r="A15" s="28" t="inlineStr">
        <is>
          <t>Resilience</t>
        </is>
      </c>
      <c r="B15" s="29" t="inlineStr">
        <is>
          <t>TC-Idem-14</t>
        </is>
      </c>
      <c r="C15" s="28" t="inlineStr">
        <is>
          <t>Offset-Commit Failure Does Not Move Money</t>
        </is>
      </c>
      <c r="D15" s="29" t="inlineStr">
        <is>
          <t>High</t>
        </is>
      </c>
      <c r="E15" s="28" t="inlineStr">
        <is>
          <t>Consumer with an induced offset-commit failure</t>
        </is>
      </c>
      <c r="F15" s="28" t="inlineStr">
        <is>
          <t>1. Induce the failure so events are redelivered
2. Inspect balances</t>
        </is>
      </c>
      <c r="G15" s="28" t="inlineStr">
        <is>
          <t>Redelivered events are discarded; balances are unaffected. At-least-once delivery is routine, not an incident</t>
        </is>
      </c>
      <c r="H15" s="29" t="inlineStr">
        <is>
          <t>Not Tested</t>
        </is>
      </c>
      <c r="I15" s="29" t="inlineStr">
        <is>
          <t>Integration</t>
        </is>
      </c>
    </row>
    <row r="16" ht="36" customHeight="1">
      <c r="A16" s="28" t="inlineStr">
        <is>
          <t>Regression</t>
        </is>
      </c>
      <c r="B16" s="29" t="inlineStr">
        <is>
          <t>TC-Idem-15</t>
        </is>
      </c>
      <c r="C16" s="28" t="inlineStr">
        <is>
          <t>No Two Projection Rows Share a Ledger Entry Identity</t>
        </is>
      </c>
      <c r="D16" s="29" t="inlineStr">
        <is>
          <t>High</t>
        </is>
      </c>
      <c r="E16" s="28" t="inlineStr">
        <is>
          <t>A populated projection</t>
        </is>
      </c>
      <c r="F16" s="28" t="inlineStr">
        <is>
          <t>1. Query the projection for rows sharing a ledger entry identity</t>
        </is>
      </c>
      <c r="G16" s="28" t="inlineStr">
        <is>
          <t>None exist. This is the direct regression guard for EMI-2059, which recorded multiple running_balance_entry rows sharing one transaction_id</t>
        </is>
      </c>
      <c r="H16" s="29" t="inlineStr">
        <is>
          <t>Not Tested</t>
        </is>
      </c>
      <c r="I16" s="29" t="inlineStr">
        <is>
          <t>Regression</t>
        </is>
      </c>
    </row>
    <row r="17" ht="36" customHeight="1">
      <c r="A17" s="28" t="inlineStr">
        <is>
          <t>Regression</t>
        </is>
      </c>
      <c r="B17" s="29" t="inlineStr">
        <is>
          <t>TC-Idem-16</t>
        </is>
      </c>
      <c r="C17" s="28" t="inlineStr">
        <is>
          <t>Cumulative Balance Is Correct After a Redelivery Storm</t>
        </is>
      </c>
      <c r="D17" s="29" t="inlineStr">
        <is>
          <t>High</t>
        </is>
      </c>
      <c r="E17" s="28" t="inlineStr">
        <is>
          <t>A wallet subjected to heavy redelivery</t>
        </is>
      </c>
      <c r="F17" s="28" t="inlineStr">
        <is>
          <t>1. Drive a redelivery storm for one wallet
2. Check available_balance after every entry</t>
        </is>
      </c>
      <c r="G17" s="28" t="inlineStr">
        <is>
          <t>The cumulative balance remains correct throughout and does not drift upward with redelivery volume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Metrics</t>
        </is>
      </c>
      <c r="B18" s="29" t="inlineStr">
        <is>
          <t>TC-Idem-17</t>
        </is>
      </c>
      <c r="C18" s="28" t="inlineStr">
        <is>
          <t>Discarded-Event Count Is Exposed as a Metric</t>
        </is>
      </c>
      <c r="D18" s="29" t="inlineStr">
        <is>
          <t>Medium</t>
        </is>
      </c>
      <c r="E18" s="28" t="inlineStr">
        <is>
          <t>Discards occurring</t>
        </is>
      </c>
      <c r="F18" s="28" t="inlineStr">
        <is>
          <t>1. Cause discards
2. Inspect the exposed metrics</t>
        </is>
      </c>
      <c r="G18" s="28" t="inlineStr">
        <is>
          <t>The discarded-event counter is exposed and increments correctly, so silent suppression is visible</t>
        </is>
      </c>
      <c r="H18" s="29" t="inlineStr">
        <is>
          <t>Not Tested</t>
        </is>
      </c>
      <c r="I18" s="29" t="inlineStr">
        <is>
          <t>Observability</t>
        </is>
      </c>
    </row>
    <row r="19" ht="36" customHeight="1">
      <c r="A19" s="28" t="inlineStr">
        <is>
          <t>Metrics</t>
        </is>
      </c>
      <c r="B19" s="29" t="inlineStr">
        <is>
          <t>TC-Idem-18</t>
        </is>
      </c>
      <c r="C19" s="28" t="inlineStr">
        <is>
          <t>Per-Wallet Consumer Lag Is Derivable and Alerted</t>
        </is>
      </c>
      <c r="D19" s="29" t="inlineStr">
        <is>
          <t>High</t>
        </is>
      </c>
      <c r="E19" s="28" t="inlineStr">
        <is>
          <t>A wallet whose consumer has fallen behind</t>
        </is>
      </c>
      <c r="F19" s="28" t="inlineStr">
        <is>
          <t>1. Induce lag for the wallet
2. Derive lag from last_applied_position against the ledger's current position
3. Cross the alert threshold</t>
        </is>
      </c>
      <c r="G19" s="28" t="inlineStr">
        <is>
          <t>Lag is derivable per wallet, exposed as a metric, and crossing the configured threshold raises an alert</t>
        </is>
      </c>
      <c r="H19" s="29" t="inlineStr">
        <is>
          <t>Not Tested</t>
        </is>
      </c>
      <c r="I19" s="29" t="inlineStr">
        <is>
          <t>Observability</t>
        </is>
      </c>
    </row>
    <row r="20" ht="36" customHeight="1">
      <c r="A20" s="28" t="inlineStr">
        <is>
          <t>Integration</t>
        </is>
      </c>
      <c r="B20" s="29" t="inlineStr">
        <is>
          <t>TC-Idem-19</t>
        </is>
      </c>
      <c r="C20" s="28" t="inlineStr">
        <is>
          <t>Recompute Depends on Entries Counted Exactly Once</t>
        </is>
      </c>
      <c r="D20" s="29" t="inlineStr">
        <is>
          <t>High</t>
        </is>
      </c>
      <c r="E20" s="28" t="inlineStr">
        <is>
          <t>A wallet that has experienced redelivery</t>
        </is>
      </c>
      <c r="F20" s="28" t="inlineStr">
        <is>
          <t>1. Run an EMI-5946 recompute
2. Compare against the projected balance</t>
        </is>
      </c>
      <c r="G20" s="28" t="inlineStr">
        <is>
          <t>Both agree; recompute's ledger aggregate and the projection match because each entry was counted exactly once</t>
        </is>
      </c>
      <c r="H20" s="29" t="inlineStr">
        <is>
          <t>Not Tested</t>
        </is>
      </c>
      <c r="I20" s="29" t="inlineStr">
        <is>
          <t>Edge / Boundary</t>
        </is>
      </c>
    </row>
    <row r="21" ht="36" customHeight="1">
      <c r="A21" s="28" t="inlineStr">
        <is>
          <t>Scope</t>
        </is>
      </c>
      <c r="B21" s="29" t="inlineStr">
        <is>
          <t>TC-Idem-20</t>
        </is>
      </c>
      <c r="C21" s="28" t="inlineStr">
        <is>
          <t>Idempotency Does Not Substitute for Ordering</t>
        </is>
      </c>
      <c r="D21" s="29" t="inlineStr">
        <is>
          <t>High</t>
        </is>
      </c>
      <c r="E21" s="28" t="inlineStr">
        <is>
          <t>Out-of-order delivery for one wallet with idempotency in place</t>
        </is>
      </c>
      <c r="F21" s="28" t="inlineStr">
        <is>
          <t>1. Deliver a wallet's events out of order without duplicates
2. Inspect the outcome</t>
        </is>
      </c>
      <c r="G21" s="28" t="inlineStr">
        <is>
          <t>Idempotency suppresses no out-of-order application; duplicates and ordering are distinct failures handled by separate guarantees (EMI-5947 and EMI-5949)</t>
        </is>
      </c>
      <c r="H21" s="29" t="inlineStr">
        <is>
          <t>Not Tested</t>
        </is>
      </c>
      <c r="I21" s="29" t="inlineStr">
        <is>
          <t>Integration</t>
        </is>
      </c>
    </row>
    <row r="22" ht="36" customHeight="1">
      <c r="A22" s="28" t="inlineStr">
        <is>
          <t>Identity</t>
        </is>
      </c>
      <c r="B22" s="29" t="inlineStr">
        <is>
          <t>TC-Idem-21</t>
        </is>
      </c>
      <c r="C22" s="28" t="inlineStr">
        <is>
          <t>The Uniqueness Key Is the Ledger Entry, Not the Transaction</t>
        </is>
      </c>
      <c r="D22" s="29" t="inlineStr">
        <is>
          <t>High</t>
        </is>
      </c>
      <c r="E22" s="28" t="inlineStr">
        <is>
          <t>Uniqueness constraint in place; a transaction with PENDING and SUCCESS postings</t>
        </is>
      </c>
      <c r="F22" s="28" t="inlineStr">
        <is>
          <t>1. Deliver the PENDING posting for transaction T
2. Deliver the SUCCESS posting for the same transaction T
3. Inspect the projection rows and the buckets</t>
        </is>
      </c>
      <c r="G22" s="28" t="inlineStr">
        <is>
          <t>Both postings are applied and both projection rows exist. They share a transaction_id but are distinct ledger entries, so the constraint must not reject the second. Keying uniqueness on transaction_id would suppress every lifecycle transition</t>
        </is>
      </c>
      <c r="H22" s="29" t="inlineStr">
        <is>
          <t>Not Tested</t>
        </is>
      </c>
      <c r="I22" s="29" t="inlineStr">
        <is>
          <t>Negative</t>
        </is>
      </c>
    </row>
    <row r="23" ht="36" customHeight="1">
      <c r="A23" s="28" t="inlineStr">
        <is>
          <t>Position</t>
        </is>
      </c>
      <c r="B23" s="29" t="inlineStr">
        <is>
          <t>TC-Idem-22</t>
        </is>
      </c>
      <c r="C23" s="28" t="inlineStr">
        <is>
          <t>A MySQL Binlog Position Compares File First, Then Offset</t>
        </is>
      </c>
      <c r="D23" s="29" t="inlineStr">
        <is>
          <t>High</t>
        </is>
      </c>
      <c r="E23" s="28" t="inlineStr">
        <is>
          <t>Deployment using the MySQL connector, where last_applied_position is binlog file plus position</t>
        </is>
      </c>
      <c r="F23" s="28" t="inlineStr">
        <is>
          <t>1. Record a position in file mysql-bin.000009 at a high offset
2. Deliver an event from file mysql-bin.000010 at a lower offset
3. Observe whether it is applied</t>
        </is>
      </c>
      <c r="G23" s="28" t="inlineStr">
        <is>
          <t>The newer event is applied. Comparison orders by file first and offset second; a plain lexicographic or numeric compare on the offset alone would wrongly discard it after a binlog rollover</t>
        </is>
      </c>
      <c r="H23" s="29" t="inlineStr">
        <is>
          <t>Not Tested</t>
        </is>
      </c>
      <c r="I23" s="29" t="inlineStr">
        <is>
          <t>Edge / Boundary</t>
        </is>
      </c>
    </row>
    <row r="24" ht="36" customHeight="1">
      <c r="A24" s="28" t="inlineStr">
        <is>
          <t>Position</t>
        </is>
      </c>
      <c r="B24" s="29" t="inlineStr">
        <is>
          <t>TC-Idem-23</t>
        </is>
      </c>
      <c r="C24" s="28" t="inlineStr">
        <is>
          <t>Re-Creating the Connector Does Not Make Old Positions Look Newer</t>
        </is>
      </c>
      <c r="D24" s="29" t="inlineStr">
        <is>
          <t>High</t>
        </is>
      </c>
      <c r="E24" s="28" t="inlineStr">
        <is>
          <t>A wallet carrying a last_applied_position from the current connector</t>
        </is>
      </c>
      <c r="F24" s="28" t="inlineStr">
        <is>
          <t>1. Drop and re-create the Debezium connector, forcing a new snapshot
2. Let it re-emit events
3. Observe the comparison against stored positions</t>
        </is>
      </c>
      <c r="G24" s="28" t="inlineStr">
        <is>
          <t>Positions from the new connector are not naively compared against the old ones. Either the position carries a connector generation, or replayed events are recognised as duplicates by entry identity. Balances do not move</t>
        </is>
      </c>
      <c r="H24" s="29" t="inlineStr">
        <is>
          <t>Not Tested</t>
        </is>
      </c>
      <c r="I24" s="29" t="inlineStr">
        <is>
          <t>Negative</t>
        </is>
      </c>
    </row>
    <row r="25" ht="36" customHeight="1">
      <c r="A25" s="28" t="inlineStr">
        <is>
          <t>Concurrency</t>
        </is>
      </c>
      <c r="B25" s="29" t="inlineStr">
        <is>
          <t>TC-Idem-24</t>
        </is>
      </c>
      <c r="C25" s="28" t="inlineStr">
        <is>
          <t>The Same Entry Delivered to Two Consumers at Once Has One Effect</t>
        </is>
      </c>
      <c r="D25" s="29" t="inlineStr">
        <is>
          <t>High</t>
        </is>
      </c>
      <c r="E25" s="28" t="inlineStr">
        <is>
          <t>Two consumer instances running; ability to deliver the same entry to both simultaneously</t>
        </is>
      </c>
      <c r="F25" s="28" t="inlineStr">
        <is>
          <t>1. Deliver one ledger entry to two consumer instances at the same instant
2. Inspect the projection rows and the wallet buckets</t>
        </is>
      </c>
      <c r="G25" s="28" t="inlineStr">
        <is>
          <t>Exactly one projection row and one balance effect result. The loser is rejected by the constraint and discarded, not retried into a second application</t>
        </is>
      </c>
      <c r="H25" s="29" t="inlineStr">
        <is>
          <t>Not Tested</t>
        </is>
      </c>
      <c r="I25" s="29" t="inlineStr">
        <is>
          <t>Negative</t>
        </is>
      </c>
    </row>
    <row r="26" ht="36" customHeight="1">
      <c r="A26" s="28" t="inlineStr">
        <is>
          <t>Observability</t>
        </is>
      </c>
      <c r="B26" s="29" t="inlineStr">
        <is>
          <t>TC-Idem-25</t>
        </is>
      </c>
      <c r="C26" s="28" t="inlineStr">
        <is>
          <t>A Discarded Event Is Logged With Its Identity, Not Only Counted</t>
        </is>
      </c>
      <c r="D26" s="29" t="inlineStr">
        <is>
          <t>Medium</t>
        </is>
      </c>
      <c r="E26" s="28" t="inlineStr">
        <is>
          <t>Discarded-event metric in place</t>
        </is>
      </c>
      <c r="F26" s="28" t="inlineStr">
        <is>
          <t>1. Cause a stale and a duplicate event to be discarded
2. Inspect the log record for each</t>
        </is>
      </c>
      <c r="G26" s="28" t="inlineStr">
        <is>
          <t>Each discard is recorded with the ledger entry identity, wallet, position and the reason. A counter alone cannot answer which event was dropped, which is what "never dropped without record" requires</t>
        </is>
      </c>
      <c r="H26" s="29" t="inlineStr">
        <is>
          <t>Not Tested</t>
        </is>
      </c>
      <c r="I26" s="29" t="inlineStr">
        <is>
          <t>Observability</t>
        </is>
      </c>
    </row>
  </sheetData>
  <autoFilter ref="A1:I26"/>
  <conditionalFormatting sqref="H2:H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Guard</t>
        </is>
      </c>
      <c r="B2" s="29" t="inlineStr">
        <is>
          <t>TC-Lifecycle-01</t>
        </is>
      </c>
      <c r="C2" s="28" t="inlineStr">
        <is>
          <t>SUCCESS Is Applied Only After Its PENDING</t>
        </is>
      </c>
      <c r="D2" s="29" t="inlineStr">
        <is>
          <t>High</t>
        </is>
      </c>
      <c r="E2" s="28" t="inlineStr">
        <is>
          <t>A transaction whose SUCCESS posting can be injected ahead of its PENDING</t>
        </is>
      </c>
      <c r="F2" s="28" t="inlineStr">
        <is>
          <t>1. Inject the SUCCESS posting first
2. Inspect the wallet buckets and the parked queue
3. Deliver the PENDING
4. Re-inspect</t>
        </is>
      </c>
      <c r="G2" s="28" t="inlineStr">
        <is>
          <t>The SUCCESS is parked and the wallet is unchanged; once the PENDING arrives both apply and all four buckets are correct</t>
        </is>
      </c>
      <c r="H2" s="29" t="inlineStr">
        <is>
          <t>Not Tested</t>
        </is>
      </c>
      <c r="I2" s="29" t="inlineStr">
        <is>
          <t>Negative</t>
        </is>
      </c>
    </row>
    <row r="3" ht="36" customHeight="1">
      <c r="A3" s="28" t="inlineStr">
        <is>
          <t>Guard</t>
        </is>
      </c>
      <c r="B3" s="29" t="inlineStr">
        <is>
          <t>TC-Lifecycle-02</t>
        </is>
      </c>
      <c r="C3" s="28" t="inlineStr">
        <is>
          <t>FAILED Is Applied Only After Its PENDING</t>
        </is>
      </c>
      <c r="D3" s="29" t="inlineStr">
        <is>
          <t>High</t>
        </is>
      </c>
      <c r="E3" s="28" t="inlineStr">
        <is>
          <t>A transaction that reserved, with its FAILED posting injectable ahead of the PENDING</t>
        </is>
      </c>
      <c r="F3" s="28" t="inlineStr">
        <is>
          <t>1. Inject the FAILED posting first
2. Inspect buckets and the parked queue
3. Deliver the PENDING
4. Re-inspect</t>
        </is>
      </c>
      <c r="G3" s="28" t="inlineStr">
        <is>
          <t>The FAILED is parked and nothing moves; once the PENDING arrives both apply and the reserve is correctly released back to available</t>
        </is>
      </c>
      <c r="H3" s="29" t="inlineStr">
        <is>
          <t>Not Tested</t>
        </is>
      </c>
      <c r="I3" s="29" t="inlineStr">
        <is>
          <t>Negative</t>
        </is>
      </c>
    </row>
    <row r="4" ht="36" customHeight="1">
      <c r="A4" s="28" t="inlineStr">
        <is>
          <t>Guard</t>
        </is>
      </c>
      <c r="B4" s="29" t="inlineStr">
        <is>
          <t>TC-Lifecycle-03</t>
        </is>
      </c>
      <c r="C4" s="28" t="inlineStr">
        <is>
          <t>Guard Is Enforced on the Write Path, Not as a Pre-Read Check</t>
        </is>
      </c>
      <c r="D4" s="29" t="inlineStr">
        <is>
          <t>High</t>
        </is>
      </c>
      <c r="E4" s="28" t="inlineStr">
        <is>
          <t>Concurrent delivery of a predecessor and its dependent posting</t>
        </is>
      </c>
      <c r="F4" s="28" t="inlineStr">
        <is>
          <t>1. Deliver both concurrently under load
2. Inspect whether the dependent could be applied before the predecessor committed</t>
        </is>
      </c>
      <c r="G4" s="28" t="inlineStr">
        <is>
          <t>The condition is enforced on the write path itself; there is no window between a read-time check and the write in which a dependent posting can slip through</t>
        </is>
      </c>
      <c r="H4" s="29" t="inlineStr">
        <is>
          <t>Not Tested</t>
        </is>
      </c>
      <c r="I4" s="29" t="inlineStr">
        <is>
          <t>Integration</t>
        </is>
      </c>
    </row>
    <row r="5" ht="36" customHeight="1">
      <c r="A5" s="28" t="inlineStr">
        <is>
          <t>Guard</t>
        </is>
      </c>
      <c r="B5" s="29" t="inlineStr">
        <is>
          <t>TC-Lifecycle-04</t>
        </is>
      </c>
      <c r="C5" s="28" t="inlineStr">
        <is>
          <t>Lifecycle Stage Applied Is Recorded Per Transaction</t>
        </is>
      </c>
      <c r="D5" s="29" t="inlineStr">
        <is>
          <t>High</t>
        </is>
      </c>
      <c r="E5" s="28" t="inlineStr">
        <is>
          <t>A transaction part-way through its lifecycle</t>
        </is>
      </c>
      <c r="F5" s="28" t="inlineStr">
        <is>
          <t>1. Apply the PENDING posting
2. Inspect the recorded applied stage for that transaction</t>
        </is>
      </c>
      <c r="G5" s="28" t="inlineStr">
        <is>
          <t>The stage already applied is recorded per transaction, so the guard does not have to infer it at read time</t>
        </is>
      </c>
      <c r="H5" s="29" t="inlineStr">
        <is>
          <t>Not Tested</t>
        </is>
      </c>
      <c r="I5" s="29" t="inlineStr">
        <is>
          <t>Negative</t>
        </is>
      </c>
    </row>
    <row r="6" ht="36" customHeight="1">
      <c r="A6" s="28" t="inlineStr">
        <is>
          <t>Never Reserved</t>
        </is>
      </c>
      <c r="B6" s="29" t="inlineStr">
        <is>
          <t>TC-Lifecycle-05</t>
        </is>
      </c>
      <c r="C6" s="28" t="inlineStr">
        <is>
          <t>FAILED for a Never-Reserved Transaction Is a No-Op, Not a Park</t>
        </is>
      </c>
      <c r="D6" s="29" t="inlineStr">
        <is>
          <t>High</t>
        </is>
      </c>
      <c r="E6" s="28" t="inlineStr">
        <is>
          <t>A transaction that never reserved, with a FAILED posting</t>
        </is>
      </c>
      <c r="F6" s="28" t="inlineStr">
        <is>
          <t>1. Deliver the FAILED posting
2. Inspect the buckets, the entry log and the parked queue</t>
        </is>
      </c>
      <c r="G6" s="28" t="inlineStr">
        <is>
          <t>No balance change occurs and the entry is logged with change type only; it is not parked, because its predecessor never existed. This is the EMI-2013 regression guard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Never Reserved</t>
        </is>
      </c>
      <c r="B7" s="29" t="inlineStr">
        <is>
          <t>TC-Lifecycle-06</t>
        </is>
      </c>
      <c r="C7" s="28" t="inlineStr">
        <is>
          <t>Never Reserved Is Distinguished From Predecessor Not Yet Arrived</t>
        </is>
      </c>
      <c r="D7" s="29" t="inlineStr">
        <is>
          <t>High</t>
        </is>
      </c>
      <c r="E7" s="28" t="inlineStr">
        <is>
          <t>One transaction whose PENDING is delayed and one that never reserved</t>
        </is>
      </c>
      <c r="F7" s="28" t="inlineStr">
        <is>
          <t>1. Deliver the dependent posting for each
2. Inspect how each is classified in the data</t>
        </is>
      </c>
      <c r="G7" s="28" t="inlineStr">
        <is>
          <t>The two are distinguished in the data rather than inferred at read time. Conflating them is exactly the EMI-2013 defect and must not be possible</t>
        </is>
      </c>
      <c r="H7" s="29" t="inlineStr">
        <is>
          <t>Not Tested</t>
        </is>
      </c>
      <c r="I7" s="29" t="inlineStr">
        <is>
          <t>Edge / Boundary</t>
        </is>
      </c>
    </row>
    <row r="8" ht="36" customHeight="1">
      <c r="A8" s="28" t="inlineStr">
        <is>
          <t>Never Reserved</t>
        </is>
      </c>
      <c r="B8" s="29" t="inlineStr">
        <is>
          <t>TC-Lifecycle-07</t>
        </is>
      </c>
      <c r="C8" s="28" t="inlineStr">
        <is>
          <t>A Reservation That Never Happened Is Never Reversed</t>
        </is>
      </c>
      <c r="D8" s="29" t="inlineStr">
        <is>
          <t>High</t>
        </is>
      </c>
      <c r="E8" s="28" t="inlineStr">
        <is>
          <t>The EMI-2013 scenario reproduced</t>
        </is>
      </c>
      <c r="F8" s="28" t="inlineStr">
        <is>
          <t>1. Reproduce the scenario end to end
2. Check available before and after</t>
        </is>
      </c>
      <c r="G8" s="28" t="inlineStr">
        <is>
          <t>available is not deducted twice; no reversal is applied for a reservation that never took place</t>
        </is>
      </c>
      <c r="H8" s="29" t="inlineStr">
        <is>
          <t>Not Tested</t>
        </is>
      </c>
      <c r="I8" s="29" t="inlineStr">
        <is>
          <t>Negative</t>
        </is>
      </c>
    </row>
    <row r="9" ht="36" customHeight="1">
      <c r="A9" s="28" t="inlineStr">
        <is>
          <t>Parking</t>
        </is>
      </c>
      <c r="B9" s="29" t="inlineStr">
        <is>
          <t>TC-Lifecycle-08</t>
        </is>
      </c>
      <c r="C9" s="28" t="inlineStr">
        <is>
          <t>Parked Posting Is Never Applied and Never Silently Dropped</t>
        </is>
      </c>
      <c r="D9" s="29" t="inlineStr">
        <is>
          <t>High</t>
        </is>
      </c>
      <c r="E9" s="28" t="inlineStr">
        <is>
          <t>A posting whose predecessor has not arrived</t>
        </is>
      </c>
      <c r="F9" s="28" t="inlineStr">
        <is>
          <t>1. Deliver it
2. Inspect the balance, the parked queue and the log</t>
        </is>
      </c>
      <c r="G9" s="28" t="inlineStr">
        <is>
          <t>The posting is parked with a record and an alert; it is neither applied nor discarded without trace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Parking</t>
        </is>
      </c>
      <c r="B10" s="29" t="inlineStr">
        <is>
          <t>TC-Lifecycle-09</t>
        </is>
      </c>
      <c r="C10" s="28" t="inlineStr">
        <is>
          <t>Parked Posting Resolves Automatically on Predecessor Arrival</t>
        </is>
      </c>
      <c r="D10" s="29" t="inlineStr">
        <is>
          <t>High</t>
        </is>
      </c>
      <c r="E10" s="28" t="inlineStr">
        <is>
          <t>A parked posting awaiting its predecessor</t>
        </is>
      </c>
      <c r="F10" s="28" t="inlineStr">
        <is>
          <t>1. Deliver the missing predecessor
2. Observe the parked posting</t>
        </is>
      </c>
      <c r="G10" s="28" t="inlineStr">
        <is>
          <t>It resolves and applies automatically with no manual intervention, and the resulting buckets are correct</t>
        </is>
      </c>
      <c r="H10" s="29" t="inlineStr">
        <is>
          <t>Not Tested</t>
        </is>
      </c>
      <c r="I10" s="29" t="inlineStr">
        <is>
          <t>Negative</t>
        </is>
      </c>
    </row>
    <row r="11" ht="36" customHeight="1">
      <c r="A11" s="28" t="inlineStr">
        <is>
          <t>Parking</t>
        </is>
      </c>
      <c r="B11" s="29" t="inlineStr">
        <is>
          <t>TC-Lifecycle-10</t>
        </is>
      </c>
      <c r="C11" s="28" t="inlineStr">
        <is>
          <t>Posting Parked Beyond the Configured Age Is Escalated</t>
        </is>
      </c>
      <c r="D11" s="29" t="inlineStr">
        <is>
          <t>High</t>
        </is>
      </c>
      <c r="E11" s="28" t="inlineStr">
        <is>
          <t>A parked posting whose predecessor never arrives</t>
        </is>
      </c>
      <c r="F11" s="28" t="inlineStr">
        <is>
          <t>1. Leave it parked past the configured escalation age
2. Inspect the alert channel</t>
        </is>
      </c>
      <c r="G11" s="28" t="inlineStr">
        <is>
          <t>It is escalated with an alert; a predecessor that is never coming is a genuine incident rather than a transient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Parking</t>
        </is>
      </c>
      <c r="B12" s="29" t="inlineStr">
        <is>
          <t>TC-Lifecycle-11</t>
        </is>
      </c>
      <c r="C12" s="28" t="inlineStr">
        <is>
          <t>Parked-Posting Count and Age Are Exposed as Metrics</t>
        </is>
      </c>
      <c r="D12" s="29" t="inlineStr">
        <is>
          <t>Medium</t>
        </is>
      </c>
      <c r="E12" s="28" t="inlineStr">
        <is>
          <t>Parked postings of varying ages</t>
        </is>
      </c>
      <c r="F12" s="28" t="inlineStr">
        <is>
          <t>1. Inspect the exposed metrics and the alert threshold</t>
        </is>
      </c>
      <c r="G12" s="28" t="inlineStr">
        <is>
          <t>Count and age are exposed with a configurable alert threshold, so a systemic ordering failure is visible before it becomes an incident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Convergence</t>
        </is>
      </c>
      <c r="B13" s="29" t="inlineStr">
        <is>
          <t>TC-Lifecycle-12</t>
        </is>
      </c>
      <c r="C13" s="28" t="inlineStr">
        <is>
          <t>Reverse-Order Delivery Across All Four Wallets Converges Correctly</t>
        </is>
      </c>
      <c r="D13" s="29" t="inlineStr">
        <is>
          <t>High</t>
        </is>
      </c>
      <c r="E13" s="28" t="inlineStr">
        <is>
          <t>A transaction posting to source, destination, commission and VAT wallets</t>
        </is>
      </c>
      <c r="F13" s="28" t="inlineStr">
        <is>
          <t>1. Deliver the full lifecycle across all four wallets in reverse order
2. Once every posting has been applied, inspect all four wallets</t>
        </is>
      </c>
      <c r="G13" s="28" t="inlineStr">
        <is>
          <t>All four buckets are correct on every wallet once all postings are applied, regardless of the order in which they arrived</t>
        </is>
      </c>
      <c r="H13" s="29" t="inlineStr">
        <is>
          <t>Not Tested</t>
        </is>
      </c>
      <c r="I13" s="29" t="inlineStr">
        <is>
          <t>Integration</t>
        </is>
      </c>
    </row>
    <row r="14" ht="36" customHeight="1">
      <c r="A14" s="28" t="inlineStr">
        <is>
          <t>Convergence</t>
        </is>
      </c>
      <c r="B14" s="29" t="inlineStr">
        <is>
          <t>TC-Lifecycle-13</t>
        </is>
      </c>
      <c r="C14" s="28" t="inlineStr">
        <is>
          <t>Cross-Wallet Invariant Holds After Convergence</t>
        </is>
      </c>
      <c r="D14" s="29" t="inlineStr">
        <is>
          <t>High</t>
        </is>
      </c>
      <c r="E14" s="28" t="inlineStr">
        <is>
          <t>A transaction delivered out of order and then converged</t>
        </is>
      </c>
      <c r="F14" s="28" t="inlineStr">
        <is>
          <t>1. Let all postings apply
2. Assert sender.reserve_debit equals the sum of reserve_credit across receiver, commission and VAT</t>
        </is>
      </c>
      <c r="G14" s="28" t="inlineStr">
        <is>
          <t>The EMI-602 cross-wallet invariant holds after convergence; no leg is left unapplied or double-applied</t>
        </is>
      </c>
      <c r="H14" s="29" t="inlineStr">
        <is>
          <t>Not Tested</t>
        </is>
      </c>
      <c r="I14" s="29" t="inlineStr">
        <is>
          <t>Integration</t>
        </is>
      </c>
    </row>
    <row r="15" ht="36" customHeight="1">
      <c r="A15" s="28" t="inlineStr">
        <is>
          <t>Convergence</t>
        </is>
      </c>
      <c r="B15" s="29" t="inlineStr">
        <is>
          <t>TC-Lifecycle-14</t>
        </is>
      </c>
      <c r="C15" s="28" t="inlineStr">
        <is>
          <t>Partial Convergence Leaves the Wallet in a Consistent State</t>
        </is>
      </c>
      <c r="D15" s="29" t="inlineStr">
        <is>
          <t>High</t>
        </is>
      </c>
      <c r="E15" s="28" t="inlineStr">
        <is>
          <t>A transaction where some postings have applied and others are parked</t>
        </is>
      </c>
      <c r="F15" s="28" t="inlineStr">
        <is>
          <t>1. Inspect the participating wallets while postings remain parked</t>
        </is>
      </c>
      <c r="G15" s="28" t="inlineStr">
        <is>
          <t>Each wallet satisfies the per-wallet identity at every point; a partially-converged transaction never leaves a wallet internally inconsistent</t>
        </is>
      </c>
      <c r="H15" s="29" t="inlineStr">
        <is>
          <t>Not Tested</t>
        </is>
      </c>
      <c r="I15" s="29" t="inlineStr">
        <is>
          <t>Integration</t>
        </is>
      </c>
    </row>
    <row r="16" ht="36" customHeight="1">
      <c r="A16" s="28" t="inlineStr">
        <is>
          <t>Scope</t>
        </is>
      </c>
      <c r="B16" s="29" t="inlineStr">
        <is>
          <t>TC-Lifecycle-15</t>
        </is>
      </c>
      <c r="C16" s="28" t="inlineStr">
        <is>
          <t>No Before-Image or REPLICA IDENTITY FULL Is Required</t>
        </is>
      </c>
      <c r="D16" s="29" t="inlineStr">
        <is>
          <t>High</t>
        </is>
      </c>
      <c r="E16" s="28" t="inlineStr">
        <is>
          <t>The Debezium connector configuration</t>
        </is>
      </c>
      <c r="F16" s="28" t="inlineStr">
        <is>
          <t>1. Inspect the connector configuration and the guard implementation</t>
        </is>
      </c>
      <c r="G16" s="28" t="inlineStr">
        <is>
          <t>No before-image is used and REPLICA IDENTITY FULL is not configured. The ledger is append-only so there is no UPDATE to compare against; the guard tracks applied lifecycle stage instead</t>
        </is>
      </c>
      <c r="H16" s="29" t="inlineStr">
        <is>
          <t>Not Tested</t>
        </is>
      </c>
      <c r="I16" s="29" t="inlineStr">
        <is>
          <t>Architecture</t>
        </is>
      </c>
    </row>
    <row r="17" ht="36" customHeight="1">
      <c r="A17" s="28" t="inlineStr">
        <is>
          <t>Scope</t>
        </is>
      </c>
      <c r="B17" s="29" t="inlineStr">
        <is>
          <t>TC-Lifecycle-16</t>
        </is>
      </c>
      <c r="C17" s="28" t="inlineStr">
        <is>
          <t>Guard Is Not Made Redundant by Per-Wallet Partitioning</t>
        </is>
      </c>
      <c r="D17" s="29" t="inlineStr">
        <is>
          <t>High</t>
        </is>
      </c>
      <c r="E17" s="28" t="inlineStr">
        <is>
          <t>EMI-5947 partitioning in place; a transaction spanning four wallets</t>
        </is>
      </c>
      <c r="F17" s="28" t="inlineStr">
        <is>
          <t>1. Deliver the source wallet's SUCCESS before the destination wallet's PENDING
2. Observe the guard</t>
        </is>
      </c>
      <c r="G17" s="28" t="inlineStr">
        <is>
          <t>The guard fires and parks the SUCCESS. Per-wallet partitioning orders within a wallet, but a transaction spans four partitions and Kafka does not order across them, so this guarantee is still required</t>
        </is>
      </c>
      <c r="H17" s="29" t="inlineStr">
        <is>
          <t>Not Tested</t>
        </is>
      </c>
      <c r="I17" s="29" t="inlineStr">
        <is>
          <t>Architecture</t>
        </is>
      </c>
    </row>
    <row r="18" ht="36" customHeight="1">
      <c r="A18" s="28" t="inlineStr">
        <is>
          <t>Adjustments</t>
        </is>
      </c>
      <c r="B18" s="29" t="inlineStr">
        <is>
          <t>TC-Lifecycle-17</t>
        </is>
      </c>
      <c r="C18" s="28" t="inlineStr">
        <is>
          <t>Adjustment Postings Pass the Guard as Ordinary Lifecycle Events</t>
        </is>
      </c>
      <c r="D18" s="29" t="inlineStr">
        <is>
          <t>High</t>
        </is>
      </c>
      <c r="E18" s="28" t="inlineStr">
        <is>
          <t>A settled transaction corrected through the four-step pair-adjustment unwind</t>
        </is>
      </c>
      <c r="F18" s="28" t="inlineStr">
        <is>
          <t>1. Deliver the four appended adjustment postings
2. Observe the guard and the resulting buckets</t>
        </is>
      </c>
      <c r="G18" s="28" t="inlineStr">
        <is>
          <t>They pass the guard as ordinary lifecycle events with no special-casing, and the corrected position is reached</t>
        </is>
      </c>
      <c r="H18" s="29" t="inlineStr">
        <is>
          <t>Not Tested</t>
        </is>
      </c>
      <c r="I18" s="29" t="inlineStr">
        <is>
          <t>Functional</t>
        </is>
      </c>
    </row>
    <row r="19" ht="36" customHeight="1">
      <c r="A19" s="28" t="inlineStr">
        <is>
          <t>Adjustments</t>
        </is>
      </c>
      <c r="B19" s="29" t="inlineStr">
        <is>
          <t>TC-Lifecycle-18</t>
        </is>
      </c>
      <c r="C19" s="28" t="inlineStr">
        <is>
          <t>Out-of-Order Adjustment Postings Are Parked and Converge</t>
        </is>
      </c>
      <c r="D19" s="29" t="inlineStr">
        <is>
          <t>Medium</t>
        </is>
      </c>
      <c r="E19" s="28" t="inlineStr">
        <is>
          <t>The four adjustment postings deliverable out of order</t>
        </is>
      </c>
      <c r="F19" s="28" t="inlineStr">
        <is>
          <t>1. Deliver them out of order
2. Observe parking and eventual convergence</t>
        </is>
      </c>
      <c r="G19" s="28" t="inlineStr">
        <is>
          <t>Postings whose predecessor has not applied are parked, then resolve on arrival, and the final position is correct</t>
        </is>
      </c>
      <c r="H19" s="29" t="inlineStr">
        <is>
          <t>Not Tested</t>
        </is>
      </c>
      <c r="I19" s="29" t="inlineStr">
        <is>
          <t>Functional</t>
        </is>
      </c>
    </row>
    <row r="20" ht="36" customHeight="1">
      <c r="A20" s="28" t="inlineStr">
        <is>
          <t>Regression</t>
        </is>
      </c>
      <c r="B20" s="29" t="inlineStr">
        <is>
          <t>TC-Lifecycle-19</t>
        </is>
      </c>
      <c r="C20" s="28" t="inlineStr">
        <is>
          <t>Reserve Not Released After a Failed EOD Bank Statement</t>
        </is>
      </c>
      <c r="D20" s="29" t="inlineStr">
        <is>
          <t>High</t>
        </is>
      </c>
      <c r="E20" s="28" t="inlineStr">
        <is>
          <t>The EMI-5771 scenario reproduced</t>
        </is>
      </c>
      <c r="F20" s="28" t="inlineStr">
        <is>
          <t>1. Reproduce the failed EOD bank statement
2. Inspect reserve_debit and available</t>
        </is>
      </c>
      <c r="G20" s="28" t="inlineStr">
        <is>
          <t>reserve_debit is correctly returned to available; the four-occurrence recurring failure signature does not reproduce</t>
        </is>
      </c>
      <c r="H20" s="29" t="inlineStr">
        <is>
          <t>Not Tested</t>
        </is>
      </c>
      <c r="I20" s="29" t="inlineStr">
        <is>
          <t>Negative</t>
        </is>
      </c>
    </row>
    <row r="21" ht="36" customHeight="1">
      <c r="A21" s="28" t="inlineStr">
        <is>
          <t>Regression</t>
        </is>
      </c>
      <c r="B21" s="29" t="inlineStr">
        <is>
          <t>TC-Lifecycle-20</t>
        </is>
      </c>
      <c r="C21" s="28" t="inlineStr">
        <is>
          <t>Reserved Funds Not Released on Failure or Refund</t>
        </is>
      </c>
      <c r="D21" s="29" t="inlineStr">
        <is>
          <t>High</t>
        </is>
      </c>
      <c r="E21" s="28" t="inlineStr">
        <is>
          <t>The EMI-4591 scenario reproduced</t>
        </is>
      </c>
      <c r="F21" s="28" t="inlineStr">
        <is>
          <t>1. Reproduce the failure and the refund paths
2. Inspect the reserve buckets on every participating wallet</t>
        </is>
      </c>
      <c r="G21" s="28" t="inlineStr">
        <is>
          <t>Reserved funds are released on both paths and no reserve is left stranded</t>
        </is>
      </c>
      <c r="H21" s="29" t="inlineStr">
        <is>
          <t>Not Tested</t>
        </is>
      </c>
      <c r="I21" s="29" t="inlineStr">
        <is>
          <t>Negative</t>
        </is>
      </c>
    </row>
    <row r="22" ht="36" customHeight="1">
      <c r="A22" s="28" t="inlineStr">
        <is>
          <t>Integration</t>
        </is>
      </c>
      <c r="B22" s="29" t="inlineStr">
        <is>
          <t>TC-Lifecycle-21</t>
        </is>
      </c>
      <c r="C22" s="28" t="inlineStr">
        <is>
          <t>Guard Reduces but Does Not Replace Detection</t>
        </is>
      </c>
      <c r="D22" s="29" t="inlineStr">
        <is>
          <t>High</t>
        </is>
      </c>
      <c r="E22" s="28" t="inlineStr">
        <is>
          <t>The guard active, with a leg deliberately never produced</t>
        </is>
      </c>
      <c r="F22" s="28" t="inlineStr">
        <is>
          <t>1. Let the guard run
2. Run the EMI-5950 cross-wallet conservation check</t>
        </is>
      </c>
      <c r="G22" s="28" t="inlineStr">
        <is>
          <t>The guard cannot prevent a leg that was never produced at all; conservation still detects it as a shortfall. Prevention and detection are complementary and both are required</t>
        </is>
      </c>
      <c r="H22" s="29" t="inlineStr">
        <is>
          <t>Not Tested</t>
        </is>
      </c>
      <c r="I22" s="29" t="inlineStr">
        <is>
          <t>Integration</t>
        </is>
      </c>
    </row>
    <row r="23" ht="36" customHeight="1">
      <c r="A23" s="28" t="inlineStr">
        <is>
          <t>Integration</t>
        </is>
      </c>
      <c r="B23" s="29" t="inlineStr">
        <is>
          <t>TC-Lifecycle-22</t>
        </is>
      </c>
      <c r="C23" s="28" t="inlineStr">
        <is>
          <t>Guard Reduces the Stuck-Reserve Population</t>
        </is>
      </c>
      <c r="D23" s="29" t="inlineStr">
        <is>
          <t>Medium</t>
        </is>
      </c>
      <c r="E23" s="28" t="inlineStr">
        <is>
          <t>A period of traffic with the guard active</t>
        </is>
      </c>
      <c r="F23" s="28" t="inlineStr">
        <is>
          <t>1. Run EMI-5951 stuck reserve detection over the period
2. Compare against a comparable period without the guard</t>
        </is>
      </c>
      <c r="G23" s="28" t="inlineStr">
        <is>
          <t>The stuck-reserve population is materially reduced; detection continues to find the residue the guard cannot prevent</t>
        </is>
      </c>
      <c r="H23" s="29" t="inlineStr">
        <is>
          <t>Not Tested</t>
        </is>
      </c>
      <c r="I23" s="29" t="inlineStr">
        <is>
          <t>Integration</t>
        </is>
      </c>
    </row>
    <row r="24" ht="36" customHeight="1">
      <c r="A24" s="28" t="inlineStr">
        <is>
          <t>Non-Functional</t>
        </is>
      </c>
      <c r="B24" s="29" t="inlineStr">
        <is>
          <t>TC-Lifecycle-23</t>
        </is>
      </c>
      <c r="C24" s="28" t="inlineStr">
        <is>
          <t>Guard Does Not Materially Slow the Consumer</t>
        </is>
      </c>
      <c r="D24" s="29" t="inlineStr">
        <is>
          <t>High</t>
        </is>
      </c>
      <c r="E24" s="28" t="inlineStr">
        <is>
          <t>Production-representative load</t>
        </is>
      </c>
      <c r="F24" s="28" t="inlineStr">
        <is>
          <t>1. Measure consumer throughput and lag with the guard enabled and disabled</t>
        </is>
      </c>
      <c r="G24" s="28" t="inlineStr">
        <is>
          <t>Throughput meets production volume with the guard enabled and lag stays bounded</t>
        </is>
      </c>
      <c r="H24" s="29" t="inlineStr">
        <is>
          <t>Not Tested</t>
        </is>
      </c>
      <c r="I24" s="29" t="inlineStr">
        <is>
          <t>Performance / NFR</t>
        </is>
      </c>
    </row>
    <row r="25" ht="36" customHeight="1">
      <c r="A25" s="28" t="inlineStr">
        <is>
          <t>Non-Functional</t>
        </is>
      </c>
      <c r="B25" s="29" t="inlineStr">
        <is>
          <t>TC-Lifecycle-24</t>
        </is>
      </c>
      <c r="C25" s="28" t="inlineStr">
        <is>
          <t>Parked Postings Are Retained and Auditable</t>
        </is>
      </c>
      <c r="D25" s="29" t="inlineStr">
        <is>
          <t>Medium</t>
        </is>
      </c>
      <c r="E25" s="28" t="inlineStr">
        <is>
          <t>Parked and resolved postings present</t>
        </is>
      </c>
      <c r="F25" s="28" t="inlineStr">
        <is>
          <t>1. Attempt to update or delete a parked-posting record
2. Query resolved ones</t>
        </is>
      </c>
      <c r="G25" s="28" t="inlineStr">
        <is>
          <t>Records are immutable and retained, so the ordering behaviour of the pipeline is auditable after the fact</t>
        </is>
      </c>
      <c r="H25" s="29" t="inlineStr">
        <is>
          <t>Not Tested</t>
        </is>
      </c>
      <c r="I25" s="29" t="inlineStr">
        <is>
          <t>Performance / NFR</t>
        </is>
      </c>
    </row>
    <row r="26" ht="36" customHeight="1">
      <c r="A26" s="28" t="inlineStr">
        <is>
          <t>Interaction</t>
        </is>
      </c>
      <c r="B26" s="29" t="inlineStr">
        <is>
          <t>TC-Lifecycle-25</t>
        </is>
      </c>
      <c r="C26" s="28" t="inlineStr">
        <is>
          <t>A Redelivered PENDING Does Not Satisfy the Guard Twice</t>
        </is>
      </c>
      <c r="D26" s="29" t="inlineStr">
        <is>
          <t>High</t>
        </is>
      </c>
      <c r="E26" s="28" t="inlineStr">
        <is>
          <t>Idempotency and the ordering guard both active</t>
        </is>
      </c>
      <c r="F26" s="28" t="inlineStr">
        <is>
          <t>1. Deliver PENDING for transaction T
2. Redeliver the identical PENDING
3. Deliver two SUCCESS postings for T</t>
        </is>
      </c>
      <c r="G26" s="28" t="inlineStr">
        <is>
          <t>The duplicate PENDING is discarded and does not register a second satisfied predecessor. Only the legitimate SUCCESS applies; the second is handled as a duplicate. Buckets reflect one reservation and one settlement</t>
        </is>
      </c>
      <c r="H26" s="29" t="inlineStr">
        <is>
          <t>Not Tested</t>
        </is>
      </c>
      <c r="I26" s="29" t="inlineStr">
        <is>
          <t>Negative</t>
        </is>
      </c>
    </row>
    <row r="27" ht="36" customHeight="1">
      <c r="A27" s="28" t="inlineStr">
        <is>
          <t>Parking</t>
        </is>
      </c>
      <c r="B27" s="29" t="inlineStr">
        <is>
          <t>TC-Lifecycle-26</t>
        </is>
      </c>
      <c r="C27" s="28" t="inlineStr">
        <is>
          <t>A Park Storm Does Not Stall the Consumer</t>
        </is>
      </c>
      <c r="D27" s="29" t="inlineStr">
        <is>
          <t>High</t>
        </is>
      </c>
      <c r="E27" s="28" t="inlineStr">
        <is>
          <t>Ability to withhold a large number of predecessor postings</t>
        </is>
      </c>
      <c r="F27" s="28" t="inlineStr">
        <is>
          <t>1. Withhold the PENDING postings for a large batch of transactions
2. Deliver their SUCCESS postings, forcing mass parking
3. Observe consumer throughput and the parked store
4. Release the predecessors</t>
        </is>
      </c>
      <c r="G27" s="28" t="inlineStr">
        <is>
          <t>The parked store is bounded and does not exhaust memory or disk; unrelated wallets continue to be processed at normal throughput; on release everything converges to correct buckets</t>
        </is>
      </c>
      <c r="H27" s="29" t="inlineStr">
        <is>
          <t>Not Tested</t>
        </is>
      </c>
      <c r="I27" s="29" t="inlineStr">
        <is>
          <t>Performance / NFR</t>
        </is>
      </c>
    </row>
    <row r="28" ht="36" customHeight="1">
      <c r="A28" s="28" t="inlineStr">
        <is>
          <t>Parking</t>
        </is>
      </c>
      <c r="B28" s="29" t="inlineStr">
        <is>
          <t>TC-Lifecycle-27</t>
        </is>
      </c>
      <c r="C28" s="28" t="inlineStr">
        <is>
          <t>Guard State Survives a Consumer Restart</t>
        </is>
      </c>
      <c r="D28" s="29" t="inlineStr">
        <is>
          <t>High</t>
        </is>
      </c>
      <c r="E28" s="28" t="inlineStr">
        <is>
          <t>Transactions with postings parked awaiting a predecessor</t>
        </is>
      </c>
      <c r="F28" s="28" t="inlineStr">
        <is>
          <t>1. Park several postings
2. Restart the consumer
3. Deliver the missing predecessors</t>
        </is>
      </c>
      <c r="G28" s="28" t="inlineStr">
        <is>
          <t>Parked postings and the per-transaction applied stage survive the restart and resolve normally. Guard state is durable, not held only in memory, or the restart would silently apply postings out of order</t>
        </is>
      </c>
      <c r="H28" s="29" t="inlineStr">
        <is>
          <t>Not Tested</t>
        </is>
      </c>
      <c r="I28" s="29" t="inlineStr">
        <is>
          <t>Integration</t>
        </is>
      </c>
    </row>
  </sheetData>
  <autoFilter ref="A1:I28"/>
  <conditionalFormatting sqref="H2:H2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5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Preflight</t>
        </is>
      </c>
      <c r="B2" s="29" t="inlineStr">
        <is>
          <t>TC-Rebuild-01</t>
        </is>
      </c>
      <c r="C2" s="28" t="inlineStr">
        <is>
          <t>No-Op When Running Balance Already Matches the Ledger</t>
        </is>
      </c>
      <c r="D2" s="29" t="inlineStr">
        <is>
          <t>High</t>
        </is>
      </c>
      <c r="E2" s="28" t="inlineStr">
        <is>
          <t>A date range whose running_balance agrees with the ledger and no ledger postings created since the last successful rebuild</t>
        </is>
      </c>
      <c r="F2" s="28" t="inlineStr">
        <is>
          <t>1. Trigger a rebuild for the range
2. Inspect running_balance, the archive table and every wallet balance in scope</t>
        </is>
      </c>
      <c r="G2" s="28" t="inlineStr">
        <is>
          <t>Run completes as NO_OP; nothing archived, no entry rewritten, no wallet balance changed; the run is still recorded in reconciliation_runs with its variance result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Preflight</t>
        </is>
      </c>
      <c r="B3" s="29" t="inlineStr">
        <is>
          <t>TC-Rebuild-02</t>
        </is>
      </c>
      <c r="C3" s="28" t="inlineStr">
        <is>
          <t>Variance Computed Before Any Mutation</t>
        </is>
      </c>
      <c r="D3" s="29" t="inlineStr">
        <is>
          <t>High</t>
        </is>
      </c>
      <c r="E3" s="28" t="inlineStr">
        <is>
          <t>A range where running_balance has drifted from the ledger</t>
        </is>
      </c>
      <c r="F3" s="28" t="inlineStr">
        <is>
          <t>1. Trigger a rebuild
2. Trace the order of operations</t>
        </is>
      </c>
      <c r="G3" s="28" t="inlineStr">
        <is>
          <t>Variance between running_balance and the ledger-derived balance is computed before any archive or write occurs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Functional</t>
        </is>
      </c>
      <c r="B4" s="29" t="inlineStr">
        <is>
          <t>TC-Rebuild-03</t>
        </is>
      </c>
      <c r="C4" s="28" t="inlineStr">
        <is>
          <t>Rebuild Corrects a Drifted Range</t>
        </is>
      </c>
      <c r="D4" s="29" t="inlineStr">
        <is>
          <t>High</t>
        </is>
      </c>
      <c r="E4" s="28" t="inlineStr">
        <is>
          <t>A range where running_balance has drifted from the ledger</t>
        </is>
      </c>
      <c r="F4" s="28" t="inlineStr">
        <is>
          <t>1. Trigger a rebuild for the range
2. Compare regenerated entries against ledger-derived values</t>
        </is>
      </c>
      <c r="G4" s="28" t="inlineStr">
        <is>
          <t>Entries are regenerated; all four buckets match the ledger-derived values; variance is reported per wallet and per bucket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Idempotency</t>
        </is>
      </c>
      <c r="B5" s="29" t="inlineStr">
        <is>
          <t>TC-Rebuild-04</t>
        </is>
      </c>
      <c r="C5" s="28" t="inlineStr">
        <is>
          <t>Repeated Rebuild Over an Unchanged Ledger</t>
        </is>
      </c>
      <c r="D5" s="29" t="inlineStr">
        <is>
          <t>High</t>
        </is>
      </c>
      <c r="E5" s="28" t="inlineStr">
        <is>
          <t>A completed rebuild over a range whose ledger has not changed since</t>
        </is>
      </c>
      <c r="F5" s="28" t="inlineStr">
        <is>
          <t>1. Run the identical rebuild a second time
2. Compare the resulting running_balance state</t>
        </is>
      </c>
      <c r="G5" s="28" t="inlineStr">
        <is>
          <t>Second run completes as NO_OP; final state is identical to the state after the first run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Anchor</t>
        </is>
      </c>
      <c r="B6" s="29" t="inlineStr">
        <is>
          <t>TC-Rebuild-05</t>
        </is>
      </c>
      <c r="C6" s="28" t="inlineStr">
        <is>
          <t>Genesis Wallet Opens at Zero Across All Four Buckets</t>
        </is>
      </c>
      <c r="D6" s="29" t="inlineStr">
        <is>
          <t>Medium</t>
        </is>
      </c>
      <c r="E6" s="28" t="inlineStr">
        <is>
          <t>A wallet with no running_balance entries before from_date</t>
        </is>
      </c>
      <c r="F6" s="28" t="inlineStr">
        <is>
          <t>1. Rebuild a range for that wallet
2. Inspect the opening balance and the run record</t>
        </is>
      </c>
      <c r="G6" s="28" t="inlineStr">
        <is>
          <t>Wallet opens at zero on available, reserve_debit, reserve_credit and current; the genesis condition is recorded on the run</t>
        </is>
      </c>
      <c r="H6" s="29" t="inlineStr">
        <is>
          <t>Not Tested</t>
        </is>
      </c>
      <c r="I6" s="29" t="inlineStr">
        <is>
          <t>Edge / Boundary</t>
        </is>
      </c>
    </row>
    <row r="7" ht="36" customHeight="1">
      <c r="A7" s="28" t="inlineStr">
        <is>
          <t>Anchor</t>
        </is>
      </c>
      <c r="B7" s="29" t="inlineStr">
        <is>
          <t>TC-Rebuild-06</t>
        </is>
      </c>
      <c r="C7" s="28" t="inlineStr">
        <is>
          <t>Mid-History Window Anchors on the Last Valid Prior Entry</t>
        </is>
      </c>
      <c r="D7" s="29" t="inlineStr">
        <is>
          <t>High</t>
        </is>
      </c>
      <c r="E7" s="28" t="inlineStr">
        <is>
          <t>A wallet with entries both before and after the chosen range</t>
        </is>
      </c>
      <c r="F7" s="28" t="inlineStr">
        <is>
          <t>1. Rebuild only the mid-history window
2. Compare the opening balance with the after-values of the last entry strictly before from_date
3. Inspect entries after to_date</t>
        </is>
      </c>
      <c r="G7" s="28" t="inlineStr">
        <is>
          <t>Opening balance equals the after-values of the last valid entry before from_date across all four buckets; entries after to_date are untouched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Replay</t>
        </is>
      </c>
      <c r="B8" s="29" t="inlineStr">
        <is>
          <t>TC-Rebuild-07</t>
        </is>
      </c>
      <c r="C8" s="28" t="inlineStr">
        <is>
          <t>PENDING on the Source Moves Available to Reserve Debit</t>
        </is>
      </c>
      <c r="D8" s="29" t="inlineStr">
        <is>
          <t>High</t>
        </is>
      </c>
      <c r="E8" s="28" t="inlineStr">
        <is>
          <t>A range containing an outgoing PENDING posting</t>
        </is>
      </c>
      <c r="F8" s="28" t="inlineStr">
        <is>
          <t>1. Rebuild the range
2. Inspect the replayed entry for the source wallet</t>
        </is>
      </c>
      <c r="G8" s="28" t="inlineStr">
        <is>
          <t>available decreases, reserve_debit increases by the same amount, and current is unchanged</t>
        </is>
      </c>
      <c r="H8" s="29" t="inlineStr">
        <is>
          <t>Not Tested</t>
        </is>
      </c>
      <c r="I8" s="29" t="inlineStr">
        <is>
          <t>Integration</t>
        </is>
      </c>
    </row>
    <row r="9" ht="36" customHeight="1">
      <c r="A9" s="28" t="inlineStr">
        <is>
          <t>Replay</t>
        </is>
      </c>
      <c r="B9" s="29" t="inlineStr">
        <is>
          <t>TC-Rebuild-08</t>
        </is>
      </c>
      <c r="C9" s="28" t="inlineStr">
        <is>
          <t>PENDING on the Destination Populates Reserve Credit Only</t>
        </is>
      </c>
      <c r="D9" s="29" t="inlineStr">
        <is>
          <t>High</t>
        </is>
      </c>
      <c r="E9" s="28" t="inlineStr">
        <is>
          <t>A range containing an incoming PENDING posting</t>
        </is>
      </c>
      <c r="F9" s="28" t="inlineStr">
        <is>
          <t>1. Rebuild the range
2. Inspect the replayed entry for the destination wallet</t>
        </is>
      </c>
      <c r="G9" s="28" t="inlineStr">
        <is>
          <t>reserve_credit increases; available and current are both unchanged. This is the most commonly misread rule in the model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Replay</t>
        </is>
      </c>
      <c r="B10" s="29" t="inlineStr">
        <is>
          <t>TC-Rebuild-09</t>
        </is>
      </c>
      <c r="C10" s="28" t="inlineStr">
        <is>
          <t>SUCCESS Settles Both Sides Correctly</t>
        </is>
      </c>
      <c r="D10" s="29" t="inlineStr">
        <is>
          <t>High</t>
        </is>
      </c>
      <c r="E10" s="28" t="inlineStr">
        <is>
          <t>A range containing a PENDING followed by its SUCCESS</t>
        </is>
      </c>
      <c r="F10" s="28" t="inlineStr">
        <is>
          <t>1. Rebuild the range
2. Inspect the source and destination entries at settlement</t>
        </is>
      </c>
      <c r="G10" s="28" t="inlineStr">
        <is>
          <t>Source: reserve_debit decreases and current decreases. Destination: reserve_credit decreases, available increases and current increases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Replay</t>
        </is>
      </c>
      <c r="B11" s="29" t="inlineStr">
        <is>
          <t>TC-Rebuild-10</t>
        </is>
      </c>
      <c r="C11" s="28" t="inlineStr">
        <is>
          <t>FAILED After a Reserve Returns the Money to Available</t>
        </is>
      </c>
      <c r="D11" s="29" t="inlineStr">
        <is>
          <t>High</t>
        </is>
      </c>
      <c r="E11" s="28" t="inlineStr">
        <is>
          <t>A range containing a PENDING followed by a FAILED where the amount was reserved</t>
        </is>
      </c>
      <c r="F11" s="28" t="inlineStr">
        <is>
          <t>1. Rebuild the range
2. Inspect the source entry at failure</t>
        </is>
      </c>
      <c r="G11" s="28" t="inlineStr">
        <is>
          <t>reserve_debit decreases, available increases by the same amount, and current is unchanged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Replay</t>
        </is>
      </c>
      <c r="B12" s="29" t="inlineStr">
        <is>
          <t>TC-Rebuild-11</t>
        </is>
      </c>
      <c r="C12" s="28" t="inlineStr">
        <is>
          <t>FAILED on a Pending Credit Releases the Destination</t>
        </is>
      </c>
      <c r="D12" s="29" t="inlineStr">
        <is>
          <t>Medium</t>
        </is>
      </c>
      <c r="E12" s="28" t="inlineStr">
        <is>
          <t>A range containing a failed incoming payment that had populated reserve_credit</t>
        </is>
      </c>
      <c r="F12" s="28" t="inlineStr">
        <is>
          <t>1. Rebuild the range
2. Inspect the destination entry at failure</t>
        </is>
      </c>
      <c r="G12" s="28" t="inlineStr">
        <is>
          <t>reserve_credit decreases; available and current are both unchanged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Replay</t>
        </is>
      </c>
      <c r="B13" s="29" t="inlineStr">
        <is>
          <t>TC-Rebuild-12</t>
        </is>
      </c>
      <c r="C13" s="28" t="inlineStr">
        <is>
          <t>FAILED With No Prior Reserve Changes No Balance</t>
        </is>
      </c>
      <c r="D13" s="29" t="inlineStr">
        <is>
          <t>Medium</t>
        </is>
      </c>
      <c r="E13" s="28" t="inlineStr">
        <is>
          <t>A range containing a FAILED posting for a transaction that never reserved</t>
        </is>
      </c>
      <c r="F13" s="28" t="inlineStr">
        <is>
          <t>1. Rebuild the range
2. Inspect the replayed entry</t>
        </is>
      </c>
      <c r="G13" s="28" t="inlineStr">
        <is>
          <t>No balance change on either side; an entry is logged carrying the change type only</t>
        </is>
      </c>
      <c r="H13" s="29" t="inlineStr">
        <is>
          <t>Not Tested</t>
        </is>
      </c>
      <c r="I13" s="29" t="inlineStr">
        <is>
          <t>Integration</t>
        </is>
      </c>
    </row>
    <row r="14" ht="36" customHeight="1">
      <c r="A14" s="28" t="inlineStr">
        <is>
          <t>Invariant</t>
        </is>
      </c>
      <c r="B14" s="29" t="inlineStr">
        <is>
          <t>TC-Rebuild-13</t>
        </is>
      </c>
      <c r="C14" s="28" t="inlineStr">
        <is>
          <t>Identity Holds After Every Replayed Entry, Not Only at the Endpoint</t>
        </is>
      </c>
      <c r="D14" s="29" t="inlineStr">
        <is>
          <t>High</t>
        </is>
      </c>
      <c r="E14" s="28" t="inlineStr">
        <is>
          <t>Any non-trivial range</t>
        </is>
      </c>
      <c r="F14" s="28" t="inlineStr">
        <is>
          <t>1. Rebuild the range
2. Assert current = available + reserve_debit on every regenerated entry in sequence</t>
        </is>
      </c>
      <c r="G14" s="28" t="inlineStr">
        <is>
          <t>The identity holds after each entry individually; a range whose endpoint is correct but whose intermediate entries are not must fail this test</t>
        </is>
      </c>
      <c r="H14" s="29" t="inlineStr">
        <is>
          <t>Not Tested</t>
        </is>
      </c>
      <c r="I14" s="29" t="inlineStr">
        <is>
          <t>Integration</t>
        </is>
      </c>
    </row>
    <row r="15" ht="36" customHeight="1">
      <c r="A15" s="28" t="inlineStr">
        <is>
          <t>Invariant</t>
        </is>
      </c>
      <c r="B15" s="29" t="inlineStr">
        <is>
          <t>TC-Rebuild-14</t>
        </is>
      </c>
      <c r="C15" s="28" t="inlineStr">
        <is>
          <t>Reserve Credit Excluded From Current Throughout Replay</t>
        </is>
      </c>
      <c r="D15" s="29" t="inlineStr">
        <is>
          <t>High</t>
        </is>
      </c>
      <c r="E15" s="28" t="inlineStr">
        <is>
          <t>A destination wallet carrying an unsettled reserve across several entries</t>
        </is>
      </c>
      <c r="F15" s="28" t="inlineStr">
        <is>
          <t>1. Rebuild the range
2. Check current at every entry while reserve_credit is non-zero</t>
        </is>
      </c>
      <c r="G15" s="28" t="inlineStr">
        <is>
          <t>current never includes reserve_credit at any point in the replayed sequence</t>
        </is>
      </c>
      <c r="H15" s="29" t="inlineStr">
        <is>
          <t>Not Tested</t>
        </is>
      </c>
      <c r="I15" s="29" t="inlineStr">
        <is>
          <t>Integration</t>
        </is>
      </c>
    </row>
    <row r="16" ht="36" customHeight="1">
      <c r="A16" s="28" t="inlineStr">
        <is>
          <t>Invariant</t>
        </is>
      </c>
      <c r="B16" s="29" t="inlineStr">
        <is>
          <t>TC-Rebuild-15</t>
        </is>
      </c>
      <c r="C16" s="28" t="inlineStr">
        <is>
          <t>Commission and VAT Wallets Replay as Ordinary Destinations</t>
        </is>
      </c>
      <c r="D16" s="29" t="inlineStr">
        <is>
          <t>High</t>
        </is>
      </c>
      <c r="E16" s="28" t="inlineStr">
        <is>
          <t>A range containing a transaction with commission and VAT legs during an open reserve window</t>
        </is>
      </c>
      <c r="F16" s="28" t="inlineStr">
        <is>
          <t>1. Rebuild the range
2. Inspect the commission and VAT wallet entries</t>
        </is>
      </c>
      <c r="G16" s="28" t="inlineStr">
        <is>
          <t>Both are treated as ordinary destination wallets with no special-casing; amounts land in reserve_credit, not available</t>
        </is>
      </c>
      <c r="H16" s="29" t="inlineStr">
        <is>
          <t>Not Tested</t>
        </is>
      </c>
      <c r="I16" s="29" t="inlineStr">
        <is>
          <t>Integration</t>
        </is>
      </c>
    </row>
    <row r="17" ht="36" customHeight="1">
      <c r="A17" s="28" t="inlineStr">
        <is>
          <t>Ordering</t>
        </is>
      </c>
      <c r="B17" s="29" t="inlineStr">
        <is>
          <t>TC-Rebuild-16</t>
        </is>
      </c>
      <c r="C17" s="28" t="inlineStr">
        <is>
          <t>Entry Sequence Is Reproducible Across Repeated Runs</t>
        </is>
      </c>
      <c r="D17" s="29" t="inlineStr">
        <is>
          <t>High</t>
        </is>
      </c>
      <c r="E17" s="28" t="inlineStr">
        <is>
          <t>A range containing many postings</t>
        </is>
      </c>
      <c r="F17" s="28" t="inlineStr">
        <is>
          <t>1. Rebuild the range
2. Capture the full entry sequence
3. Rebuild again and capture the sequence</t>
        </is>
      </c>
      <c r="G17" s="28" t="inlineStr">
        <is>
          <t>The entry sequence is identical between runs, not merely the endpoint. This is the D1 regression guard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Ordering</t>
        </is>
      </c>
      <c r="B18" s="29" t="inlineStr">
        <is>
          <t>TC-Rebuild-17</t>
        </is>
      </c>
      <c r="C18" s="28" t="inlineStr">
        <is>
          <t>Postings Sharing a Timestamp Order Deterministically</t>
        </is>
      </c>
      <c r="D18" s="29" t="inlineStr">
        <is>
          <t>High</t>
        </is>
      </c>
      <c r="E18" s="28" t="inlineStr">
        <is>
          <t>Two postings for the same wallet carrying an identical ledger_posting_time</t>
        </is>
      </c>
      <c r="F18" s="28" t="inlineStr">
        <is>
          <t>1. Rebuild the range repeatedly
2. Compare the relative order of the two postings each time</t>
        </is>
      </c>
      <c r="G18" s="28" t="inlineStr">
        <is>
          <t>Order is broken deterministically by the CDC commit position tiebreak and is identical across every run. This is the D7 regression guard</t>
        </is>
      </c>
      <c r="H18" s="29" t="inlineStr">
        <is>
          <t>Not Tested</t>
        </is>
      </c>
      <c r="I18" s="29" t="inlineStr">
        <is>
          <t>Integration</t>
        </is>
      </c>
    </row>
    <row r="19" ht="36" customHeight="1">
      <c r="A19" s="28" t="inlineStr">
        <is>
          <t>Ordering</t>
        </is>
      </c>
      <c r="B19" s="29" t="inlineStr">
        <is>
          <t>TC-Rebuild-18</t>
        </is>
      </c>
      <c r="C19" s="28" t="inlineStr">
        <is>
          <t>Sort Key Uses the CDC Commit Position, Not a Non-Existent Ledger Sequence</t>
        </is>
      </c>
      <c r="D19" s="29" t="inlineStr">
        <is>
          <t>Medium</t>
        </is>
      </c>
      <c r="E19" s="28" t="inlineStr">
        <is>
          <t>Access to the replay implementation</t>
        </is>
      </c>
      <c r="F19" s="28" t="inlineStr">
        <is>
          <t>1. Inspect the sort key used for replay</t>
        </is>
      </c>
      <c r="G19" s="28" t="inlineStr">
        <is>
          <t>The key is (wallet_id, ledger_posting_time, CDC commit position, transaction_id). No ledger_sequence column is referenced, because none exists</t>
        </is>
      </c>
      <c r="H19" s="29" t="inlineStr">
        <is>
          <t>Not Tested</t>
        </is>
      </c>
      <c r="I19" s="29" t="inlineStr">
        <is>
          <t>Integration</t>
        </is>
      </c>
    </row>
    <row r="20" ht="36" customHeight="1">
      <c r="A20" s="28" t="inlineStr">
        <is>
          <t>Replay</t>
        </is>
      </c>
      <c r="B20" s="29" t="inlineStr">
        <is>
          <t>TC-Rebuild-19</t>
        </is>
      </c>
      <c r="C20" s="28" t="inlineStr">
        <is>
          <t>Adjustment Postings Replay With No Special-Casing</t>
        </is>
      </c>
      <c r="D20" s="29" t="inlineStr">
        <is>
          <t>High</t>
        </is>
      </c>
      <c r="E20" s="28" t="inlineStr">
        <is>
          <t>A range containing an adjustment of an already-settled transaction</t>
        </is>
      </c>
      <c r="F20" s="28" t="inlineStr">
        <is>
          <t>1. Rebuild the range
2. Inspect how the four pair-adjustment postings are handled</t>
        </is>
      </c>
      <c r="G20" s="28" t="inlineStr">
        <is>
          <t>The four appended postings replay in order as ordinary postings; no row is edited in place and no special-case branch is taken</t>
        </is>
      </c>
      <c r="H20" s="29" t="inlineStr">
        <is>
          <t>Not Tested</t>
        </is>
      </c>
      <c r="I20" s="29" t="inlineStr">
        <is>
          <t>Integration</t>
        </is>
      </c>
    </row>
    <row r="21" ht="36" customHeight="1">
      <c r="A21" s="28" t="inlineStr">
        <is>
          <t>Filtering</t>
        </is>
      </c>
      <c r="B21" s="29" t="inlineStr">
        <is>
          <t>TC-Rebuild-20</t>
        </is>
      </c>
      <c r="C21" s="28" t="inlineStr">
        <is>
          <t>Balance-Neutral Transaction Types Are Excluded</t>
        </is>
      </c>
      <c r="D21" s="29" t="inlineStr">
        <is>
          <t>Medium</t>
        </is>
      </c>
      <c r="E21" s="28" t="inlineStr">
        <is>
          <t>A range containing transaction types that do not affect balance</t>
        </is>
      </c>
      <c r="F21" s="28" t="inlineStr">
        <is>
          <t>1. Rebuild the range
2. Inspect the regenerated entries</t>
        </is>
      </c>
      <c r="G21" s="28" t="inlineStr">
        <is>
          <t>Balance-neutral types generate no running_balance entries</t>
        </is>
      </c>
      <c r="H21" s="29" t="inlineStr">
        <is>
          <t>Not Tested</t>
        </is>
      </c>
      <c r="I21" s="29" t="inlineStr">
        <is>
          <t>Functional</t>
        </is>
      </c>
    </row>
    <row r="22" ht="36" customHeight="1">
      <c r="A22" s="28" t="inlineStr">
        <is>
          <t>Filtering</t>
        </is>
      </c>
      <c r="B22" s="29" t="inlineStr">
        <is>
          <t>TC-Rebuild-21</t>
        </is>
      </c>
      <c r="C22" s="28" t="inlineStr">
        <is>
          <t>DRAFT-Table Validation Failures Are Never Replayed</t>
        </is>
      </c>
      <c r="D22" s="29" t="inlineStr">
        <is>
          <t>High</t>
        </is>
      </c>
      <c r="E22" s="28" t="inlineStr">
        <is>
          <t>Validation-failure transactions present in DRAFT tables for the range</t>
        </is>
      </c>
      <c r="F22" s="28" t="inlineStr">
        <is>
          <t>1. Rebuild the range
2. Search the regenerated entries for those transactions</t>
        </is>
      </c>
      <c r="G22" s="28" t="inlineStr">
        <is>
          <t>No DRAFT validation failure appears in running_balance</t>
        </is>
      </c>
      <c r="H22" s="29" t="inlineStr">
        <is>
          <t>Not Tested</t>
        </is>
      </c>
      <c r="I22" s="29" t="inlineStr">
        <is>
          <t>Integration</t>
        </is>
      </c>
    </row>
    <row r="23" ht="36" customHeight="1">
      <c r="A23" s="28" t="inlineStr">
        <is>
          <t>Filtering</t>
        </is>
      </c>
      <c r="B23" s="29" t="inlineStr">
        <is>
          <t>TC-Rebuild-22</t>
        </is>
      </c>
      <c r="C23" s="28" t="inlineStr">
        <is>
          <t>Only Postings Where the Wallet Is a Party Are Written</t>
        </is>
      </c>
      <c r="D23" s="29" t="inlineStr">
        <is>
          <t>Medium</t>
        </is>
      </c>
      <c r="E23" s="28" t="inlineStr">
        <is>
          <t>A range with transactions involving several wallets</t>
        </is>
      </c>
      <c r="F23" s="28" t="inlineStr">
        <is>
          <t>1. Rebuild the range
2. Inspect each wallet's regenerated entries</t>
        </is>
      </c>
      <c r="G23" s="28" t="inlineStr">
        <is>
          <t>A wallet's running balance contains only postings where that wallet is a party</t>
        </is>
      </c>
      <c r="H23" s="29" t="inlineStr">
        <is>
          <t>Not Tested</t>
        </is>
      </c>
      <c r="I23" s="29" t="inlineStr">
        <is>
          <t>Functional</t>
        </is>
      </c>
    </row>
    <row r="24" ht="36" customHeight="1">
      <c r="A24" s="28" t="inlineStr">
        <is>
          <t>Archive</t>
        </is>
      </c>
      <c r="B24" s="29" t="inlineStr">
        <is>
          <t>TC-Rebuild-23</t>
        </is>
      </c>
      <c r="C24" s="28" t="inlineStr">
        <is>
          <t>Every Displaced Row Is Archived Before Removal</t>
        </is>
      </c>
      <c r="D24" s="29" t="inlineStr">
        <is>
          <t>High</t>
        </is>
      </c>
      <c r="E24" s="28" t="inlineStr">
        <is>
          <t>A non-empty range</t>
        </is>
      </c>
      <c r="F24" s="28" t="inlineStr">
        <is>
          <t>1. Trigger a rebuild
2. Trace the archive and removal order
3. Inspect running_balance_history</t>
        </is>
      </c>
      <c r="G24" s="28" t="inlineStr">
        <is>
          <t>Every displaced row exists in running_balance_history with the correct recon_id before it is removed from the live table</t>
        </is>
      </c>
      <c r="H24" s="29" t="inlineStr">
        <is>
          <t>Not Tested</t>
        </is>
      </c>
      <c r="I24" s="29" t="inlineStr">
        <is>
          <t>Integration</t>
        </is>
      </c>
    </row>
    <row r="25" ht="36" customHeight="1">
      <c r="A25" s="28" t="inlineStr">
        <is>
          <t>Archive</t>
        </is>
      </c>
      <c r="B25" s="29" t="inlineStr">
        <is>
          <t>TC-Rebuild-24</t>
        </is>
      </c>
      <c r="C25" s="28" t="inlineStr">
        <is>
          <t>Archived History Is Immutable</t>
        </is>
      </c>
      <c r="D25" s="29" t="inlineStr">
        <is>
          <t>High</t>
        </is>
      </c>
      <c r="E25" s="28" t="inlineStr">
        <is>
          <t>Archived rows present</t>
        </is>
      </c>
      <c r="F25" s="28" t="inlineStr">
        <is>
          <t>1. Attempt to update an archived row
2. Attempt to delete one</t>
        </is>
      </c>
      <c r="G25" s="28" t="inlineStr">
        <is>
          <t>Both are rejected; no update or delete path exists for running_balance_history</t>
        </is>
      </c>
      <c r="H25" s="29" t="inlineStr">
        <is>
          <t>Not Tested</t>
        </is>
      </c>
      <c r="I25" s="29" t="inlineStr">
        <is>
          <t>Negative</t>
        </is>
      </c>
    </row>
    <row r="26" ht="36" customHeight="1">
      <c r="A26" s="28" t="inlineStr">
        <is>
          <t>Archive</t>
        </is>
      </c>
      <c r="B26" s="29" t="inlineStr">
        <is>
          <t>TC-Rebuild-25</t>
        </is>
      </c>
      <c r="C26" s="28" t="inlineStr">
        <is>
          <t>Repeated Rebuilds Retain Distinct Archive Generations</t>
        </is>
      </c>
      <c r="D26" s="29" t="inlineStr">
        <is>
          <t>Medium</t>
        </is>
      </c>
      <c r="E26" s="28" t="inlineStr">
        <is>
          <t>The same range rebuilt twice</t>
        </is>
      </c>
      <c r="F26" s="28" t="inlineStr">
        <is>
          <t>1. Inspect running_balance_history after both runs</t>
        </is>
      </c>
      <c r="G26" s="28" t="inlineStr">
        <is>
          <t>Two distinct generations are retained, each attributable to its own recon_id</t>
        </is>
      </c>
      <c r="H26" s="29" t="inlineStr">
        <is>
          <t>Not Tested</t>
        </is>
      </c>
      <c r="I26" s="29" t="inlineStr">
        <is>
          <t>Functional</t>
        </is>
      </c>
    </row>
    <row r="27" ht="36" customHeight="1">
      <c r="A27" s="28" t="inlineStr">
        <is>
          <t>Archive</t>
        </is>
      </c>
      <c r="B27" s="29" t="inlineStr">
        <is>
          <t>TC-Rebuild-26</t>
        </is>
      </c>
      <c r="C27" s="28" t="inlineStr">
        <is>
          <t>Auditor Can Reconstruct Pre-Rebuild State From the Archive Alone</t>
        </is>
      </c>
      <c r="D27" s="29" t="inlineStr">
        <is>
          <t>High</t>
        </is>
      </c>
      <c r="E27" s="28" t="inlineStr">
        <is>
          <t>A completed rebuild that changed values</t>
        </is>
      </c>
      <c r="F27" s="28" t="inlineStr">
        <is>
          <t>1. Using only running_balance_history, reconstruct the wallet's pre-rebuild state</t>
        </is>
      </c>
      <c r="G27" s="28" t="inlineStr">
        <is>
          <t>Fully recoverable across all four buckets without reference to any other source</t>
        </is>
      </c>
      <c r="H27" s="29" t="inlineStr">
        <is>
          <t>Not Tested</t>
        </is>
      </c>
      <c r="I27" s="29" t="inlineStr">
        <is>
          <t>Functional</t>
        </is>
      </c>
    </row>
    <row r="28" ht="36" customHeight="1">
      <c r="A28" s="28" t="inlineStr">
        <is>
          <t>Archive</t>
        </is>
      </c>
      <c r="B28" s="29" t="inlineStr">
        <is>
          <t>TC-Rebuild-27</t>
        </is>
      </c>
      <c r="C28" s="28" t="inlineStr">
        <is>
          <t>Archiving Is Checkpointed Per Wallet</t>
        </is>
      </c>
      <c r="D28" s="29" t="inlineStr">
        <is>
          <t>High</t>
        </is>
      </c>
      <c r="E28" s="28" t="inlineStr">
        <is>
          <t>A rebuild interrupted part-way through the archive phase</t>
        </is>
      </c>
      <c r="F28" s="28" t="inlineStr">
        <is>
          <t>1. Fail the service mid-archive
2. Resume the run</t>
        </is>
      </c>
      <c r="G28" s="28" t="inlineStr">
        <is>
          <t>The run is marked PARTIAL with the last completed wallet checkpoint and resumes without re-querying the whole table to discover progress</t>
        </is>
      </c>
      <c r="H28" s="29" t="inlineStr">
        <is>
          <t>Not Tested</t>
        </is>
      </c>
      <c r="I28" s="29" t="inlineStr">
        <is>
          <t>Functional</t>
        </is>
      </c>
    </row>
    <row r="29" ht="36" customHeight="1">
      <c r="A29" s="28" t="inlineStr">
        <is>
          <t>Concurrency</t>
        </is>
      </c>
      <c r="B29" s="29" t="inlineStr">
        <is>
          <t>TC-Rebuild-28</t>
        </is>
      </c>
      <c r="C29" s="28" t="inlineStr">
        <is>
          <t>Overlapping Rebuild Is Rejected, Not Queued</t>
        </is>
      </c>
      <c r="D29" s="29" t="inlineStr">
        <is>
          <t>High</t>
        </is>
      </c>
      <c r="E29" s="28" t="inlineStr">
        <is>
          <t>A rebuild in flight</t>
        </is>
      </c>
      <c r="F29" s="28" t="inlineStr">
        <is>
          <t>1. Request a second rebuild whose scope overlaps the first</t>
        </is>
      </c>
      <c r="G29" s="28" t="inlineStr">
        <is>
          <t>Rejected with a 409 conflict naming the in-flight recon_id; it is not queued</t>
        </is>
      </c>
      <c r="H29" s="29" t="inlineStr">
        <is>
          <t>Not Tested</t>
        </is>
      </c>
      <c r="I29" s="29" t="inlineStr">
        <is>
          <t>Negative</t>
        </is>
      </c>
    </row>
    <row r="30" ht="36" customHeight="1">
      <c r="A30" s="28" t="inlineStr">
        <is>
          <t>Concurrency</t>
        </is>
      </c>
      <c r="B30" s="29" t="inlineStr">
        <is>
          <t>TC-Rebuild-29</t>
        </is>
      </c>
      <c r="C30" s="28" t="inlineStr">
        <is>
          <t>Non-Overlapping Rebuilds Run in Parallel</t>
        </is>
      </c>
      <c r="D30" s="29" t="inlineStr">
        <is>
          <t>Medium</t>
        </is>
      </c>
      <c r="E30" s="28" t="inlineStr">
        <is>
          <t>Two disjoint wallet scopes</t>
        </is>
      </c>
      <c r="F30" s="28" t="inlineStr">
        <is>
          <t>1. Trigger both rebuilds concurrently</t>
        </is>
      </c>
      <c r="G30" s="28" t="inlineStr">
        <is>
          <t>Both complete correctly with no interference</t>
        </is>
      </c>
      <c r="H30" s="29" t="inlineStr">
        <is>
          <t>Not Tested</t>
        </is>
      </c>
      <c r="I30" s="29" t="inlineStr">
        <is>
          <t>Integration</t>
        </is>
      </c>
    </row>
    <row r="31" ht="36" customHeight="1">
      <c r="A31" s="28" t="inlineStr">
        <is>
          <t>Concurrency</t>
        </is>
      </c>
      <c r="B31" s="29" t="inlineStr">
        <is>
          <t>TC-Rebuild-30</t>
        </is>
      </c>
      <c r="C31" s="28" t="inlineStr">
        <is>
          <t>Rebuild and Recompute Are Mutually Exclusive Per Wallet</t>
        </is>
      </c>
      <c r="D31" s="29" t="inlineStr">
        <is>
          <t>High</t>
        </is>
      </c>
      <c r="E31" s="28" t="inlineStr">
        <is>
          <t>An EMI-5946 recompute in flight for a wallet</t>
        </is>
      </c>
      <c r="F31" s="28" t="inlineStr">
        <is>
          <t>1. Request a rebuild covering that wallet</t>
        </is>
      </c>
      <c r="G31" s="28" t="inlineStr">
        <is>
          <t>Rejected with a conflict error; the two repair modes never run concurrently on one wallet</t>
        </is>
      </c>
      <c r="H31" s="29" t="inlineStr">
        <is>
          <t>Not Tested</t>
        </is>
      </c>
      <c r="I31" s="29" t="inlineStr">
        <is>
          <t>Integration</t>
        </is>
      </c>
    </row>
    <row r="32" ht="36" customHeight="1">
      <c r="A32" s="28" t="inlineStr">
        <is>
          <t>Concurrency</t>
        </is>
      </c>
      <c r="B32" s="29" t="inlineStr">
        <is>
          <t>TC-Rebuild-31</t>
        </is>
      </c>
      <c r="C32" s="28" t="inlineStr">
        <is>
          <t>Live Traffic During a Wallet's Rebuild</t>
        </is>
      </c>
      <c r="D32" s="29" t="inlineStr">
        <is>
          <t>High</t>
        </is>
      </c>
      <c r="E32" s="28" t="inlineStr">
        <is>
          <t>A wallet being rebuilt while transactions post to it</t>
        </is>
      </c>
      <c r="F32" s="28" t="inlineStr">
        <is>
          <t>1. Post live transactions during the rebuild
2. Reconcile the final state against the ledger</t>
        </is>
      </c>
      <c r="G32" s="28" t="inlineStr">
        <is>
          <t>Either the postings serialise behind the rebuild or the rebuild fails cleanly; no posting is lost or double-counted</t>
        </is>
      </c>
      <c r="H32" s="29" t="inlineStr">
        <is>
          <t>Not Tested</t>
        </is>
      </c>
      <c r="I32" s="29" t="inlineStr">
        <is>
          <t>Negative</t>
        </is>
      </c>
    </row>
    <row r="33" ht="36" customHeight="1">
      <c r="A33" s="28" t="inlineStr">
        <is>
          <t>Concurrency</t>
        </is>
      </c>
      <c r="B33" s="29" t="inlineStr">
        <is>
          <t>TC-Rebuild-32</t>
        </is>
      </c>
      <c r="C33" s="28" t="inlineStr">
        <is>
          <t>Stale Scope Lock Is Reclaimable After TTL</t>
        </is>
      </c>
      <c r="D33" s="29" t="inlineStr">
        <is>
          <t>Medium</t>
        </is>
      </c>
      <c r="E33" s="28" t="inlineStr">
        <is>
          <t>A crashed run holding a scope lock</t>
        </is>
      </c>
      <c r="F33" s="28" t="inlineStr">
        <is>
          <t>1. Wait past the configured TTL
2. Reclaim the lock as an administrator</t>
        </is>
      </c>
      <c r="G33" s="28" t="inlineStr">
        <is>
          <t>The lock is reclaimable; a crashed run cannot block the scope indefinitely</t>
        </is>
      </c>
      <c r="H33" s="29" t="inlineStr">
        <is>
          <t>Not Tested</t>
        </is>
      </c>
      <c r="I33" s="29" t="inlineStr">
        <is>
          <t>Integration</t>
        </is>
      </c>
    </row>
    <row r="34" ht="36" customHeight="1">
      <c r="A34" s="28" t="inlineStr">
        <is>
          <t>Validation</t>
        </is>
      </c>
      <c r="B34" s="29" t="inlineStr">
        <is>
          <t>TC-Rebuild-33</t>
        </is>
      </c>
      <c r="C34" s="28" t="inlineStr">
        <is>
          <t>Open-Ended or Reversed Date Range Is Rejected</t>
        </is>
      </c>
      <c r="D34" s="29" t="inlineStr">
        <is>
          <t>Medium</t>
        </is>
      </c>
      <c r="E34" s="28" t="inlineStr">
        <is>
          <t>Rebuild endpoint available</t>
        </is>
      </c>
      <c r="F34" s="28" t="inlineStr">
        <is>
          <t>1. Submit a request omitting from_date
2. Submit one omitting to_date
3. Submit one where to_date precedes from_date</t>
        </is>
      </c>
      <c r="G34" s="28" t="inlineStr">
        <is>
          <t>Each is rejected with a 400 validation error; both bounds are mandatory</t>
        </is>
      </c>
      <c r="H34" s="29" t="inlineStr">
        <is>
          <t>Not Tested</t>
        </is>
      </c>
      <c r="I34" s="29" t="inlineStr">
        <is>
          <t>Negative</t>
        </is>
      </c>
    </row>
    <row r="35" ht="36" customHeight="1">
      <c r="A35" s="28" t="inlineStr">
        <is>
          <t>Validation</t>
        </is>
      </c>
      <c r="B35" s="29" t="inlineStr">
        <is>
          <t>TC-Rebuild-34</t>
        </is>
      </c>
      <c r="C35" s="28" t="inlineStr">
        <is>
          <t>Range Exceeding the Maximum Span Is Rejected</t>
        </is>
      </c>
      <c r="D35" s="29" t="inlineStr">
        <is>
          <t>Medium</t>
        </is>
      </c>
      <c r="E35" s="28" t="inlineStr">
        <is>
          <t>Maximum span configured (default 31 days)</t>
        </is>
      </c>
      <c r="F35" s="28" t="inlineStr">
        <is>
          <t>1. Submit a rebuild whose span exceeds the maximum</t>
        </is>
      </c>
      <c r="G35" s="28" t="inlineStr">
        <is>
          <t>Rejected with a 400 and guidance to run consecutive windows</t>
        </is>
      </c>
      <c r="H35" s="29" t="inlineStr">
        <is>
          <t>Not Tested</t>
        </is>
      </c>
      <c r="I35" s="29" t="inlineStr">
        <is>
          <t>Negative</t>
        </is>
      </c>
    </row>
    <row r="36" ht="36" customHeight="1">
      <c r="A36" s="28" t="inlineStr">
        <is>
          <t>Validation</t>
        </is>
      </c>
      <c r="B36" s="29" t="inlineStr">
        <is>
          <t>TC-Rebuild-35</t>
        </is>
      </c>
      <c r="C36" s="28" t="inlineStr">
        <is>
          <t>Unknown Wallet in Scope Starts No Partial Run</t>
        </is>
      </c>
      <c r="D36" s="29" t="inlineStr">
        <is>
          <t>Medium</t>
        </is>
      </c>
      <c r="E36" s="28" t="inlineStr">
        <is>
          <t>Rebuild endpoint available</t>
        </is>
      </c>
      <c r="F36" s="28" t="inlineStr">
        <is>
          <t>1. Submit a rebuild whose wallet_scope names an unknown wallet</t>
        </is>
      </c>
      <c r="G36" s="28" t="inlineStr">
        <is>
          <t>Rejected with a 400; no partial run is started and nothing is archived</t>
        </is>
      </c>
      <c r="H36" s="29" t="inlineStr">
        <is>
          <t>Not Tested</t>
        </is>
      </c>
      <c r="I36" s="29" t="inlineStr">
        <is>
          <t>Negative</t>
        </is>
      </c>
    </row>
    <row r="37" ht="36" customHeight="1">
      <c r="A37" s="28" t="inlineStr">
        <is>
          <t>Authorization</t>
        </is>
      </c>
      <c r="B37" s="29" t="inlineStr">
        <is>
          <t>TC-Rebuild-36</t>
        </is>
      </c>
      <c r="C37" s="28" t="inlineStr">
        <is>
          <t>Only the Finance Lead May Trigger a Manual Rebuild</t>
        </is>
      </c>
      <c r="D37" s="29" t="inlineStr">
        <is>
          <t>High</t>
        </is>
      </c>
      <c r="E37" s="28" t="inlineStr">
        <is>
          <t>Users with and without the REBUILD_RUNNING_BALANCE privilege</t>
        </is>
      </c>
      <c r="F37" s="28" t="inlineStr">
        <is>
          <t>1. Trigger a manual rebuild as a Finance Lead
2. Attempt the same as a user without the privilege</t>
        </is>
      </c>
      <c r="G37" s="28" t="inlineStr">
        <is>
          <t>Finance Lead succeeds and the run starts; the other receives 403 and no run is created</t>
        </is>
      </c>
      <c r="H37" s="29" t="inlineStr">
        <is>
          <t>Not Tested</t>
        </is>
      </c>
      <c r="I37" s="29" t="inlineStr">
        <is>
          <t>Security</t>
        </is>
      </c>
    </row>
    <row r="38" ht="36" customHeight="1">
      <c r="A38" s="28" t="inlineStr">
        <is>
          <t>Authorization</t>
        </is>
      </c>
      <c r="B38" s="29" t="inlineStr">
        <is>
          <t>TC-Rebuild-37</t>
        </is>
      </c>
      <c r="C38" s="28" t="inlineStr">
        <is>
          <t>triggered_by Is Resolved From the Principal, Never Client-Supplied</t>
        </is>
      </c>
      <c r="D38" s="29" t="inlineStr">
        <is>
          <t>High</t>
        </is>
      </c>
      <c r="E38" s="28" t="inlineStr">
        <is>
          <t>API access to the rebuild endpoint</t>
        </is>
      </c>
      <c r="F38" s="28" t="inlineStr">
        <is>
          <t>1. Submit a rebuild request carrying a triggered_by value in the payload
2. Inspect the recorded run</t>
        </is>
      </c>
      <c r="G38" s="28" t="inlineStr">
        <is>
          <t>The recorded triggered_by comes from the authenticated principal; the client-supplied value is ignored</t>
        </is>
      </c>
      <c r="H38" s="29" t="inlineStr">
        <is>
          <t>Not Tested</t>
        </is>
      </c>
      <c r="I38" s="29" t="inlineStr">
        <is>
          <t>Security</t>
        </is>
      </c>
    </row>
    <row r="39" ht="36" customHeight="1">
      <c r="A39" s="28" t="inlineStr">
        <is>
          <t>Scheduling</t>
        </is>
      </c>
      <c r="B39" s="29" t="inlineStr">
        <is>
          <t>TC-Rebuild-38</t>
        </is>
      </c>
      <c r="C39" s="28" t="inlineStr">
        <is>
          <t>Nightly Scheduled Rebuild Runs on the Configured Window</t>
        </is>
      </c>
      <c r="D39" s="29" t="inlineStr">
        <is>
          <t>Medium</t>
        </is>
      </c>
      <c r="E39" s="28" t="inlineStr">
        <is>
          <t>Nightly schedule configured</t>
        </is>
      </c>
      <c r="F39" s="28" t="inlineStr">
        <is>
          <t>1. Let the scheduled run fire
2. Inspect the run record</t>
        </is>
      </c>
      <c r="G39" s="28" t="inlineStr">
        <is>
          <t>It runs over the configured trailing window under the service principal and is recorded like any other run</t>
        </is>
      </c>
      <c r="H39" s="29" t="inlineStr">
        <is>
          <t>Not Tested</t>
        </is>
      </c>
      <c r="I39" s="29" t="inlineStr">
        <is>
          <t>Configuration</t>
        </is>
      </c>
    </row>
    <row r="40" ht="36" customHeight="1">
      <c r="A40" s="28" t="inlineStr">
        <is>
          <t>Routing</t>
        </is>
      </c>
      <c r="B40" s="29" t="inlineStr">
        <is>
          <t>TC-Rebuild-39</t>
        </is>
      </c>
      <c r="C40" s="28" t="inlineStr">
        <is>
          <t>Balance-Only Variance Routes to Recompute, Not to Rebuild</t>
        </is>
      </c>
      <c r="D40" s="29" t="inlineStr">
        <is>
          <t>High</t>
        </is>
      </c>
      <c r="E40" s="28" t="inlineStr">
        <is>
          <t>A wallet whose buckets are wrong but whose statement rows are correct</t>
        </is>
      </c>
      <c r="F40" s="28" t="inlineStr">
        <is>
          <t>1. Let reconciliation detect the variance
2. Observe which repair is invoked</t>
        </is>
      </c>
      <c r="G40" s="28" t="inlineStr">
        <is>
          <t>EMI-5946 recompute is invoked; this story is not invoked automatically for a balance-only variance</t>
        </is>
      </c>
      <c r="H40" s="29" t="inlineStr">
        <is>
          <t>Not Tested</t>
        </is>
      </c>
      <c r="I40" s="29" t="inlineStr">
        <is>
          <t>Functional</t>
        </is>
      </c>
    </row>
    <row r="41" ht="36" customHeight="1">
      <c r="A41" s="28" t="inlineStr">
        <is>
          <t>Reporting</t>
        </is>
      </c>
      <c r="B41" s="29" t="inlineStr">
        <is>
          <t>TC-Rebuild-40</t>
        </is>
      </c>
      <c r="C41" s="28" t="inlineStr">
        <is>
          <t>Non-Zero Variance Is Flagged for Finance Lead Review</t>
        </is>
      </c>
      <c r="D41" s="29" t="inlineStr">
        <is>
          <t>High</t>
        </is>
      </c>
      <c r="E41" s="28" t="inlineStr">
        <is>
          <t>A rebuild that moves a wallet's balance</t>
        </is>
      </c>
      <c r="F41" s="28" t="inlineStr">
        <is>
          <t>1. Complete the rebuild
2. Inspect the wallet flags and the summary report</t>
        </is>
      </c>
      <c r="G41" s="28" t="inlineStr">
        <is>
          <t>Any wallet with non-zero variance is flagged and requires explicit Finance Lead acknowledgement; a rebuild never silently moves money</t>
        </is>
      </c>
      <c r="H41" s="29" t="inlineStr">
        <is>
          <t>Not Tested</t>
        </is>
      </c>
      <c r="I41" s="29" t="inlineStr">
        <is>
          <t>Edge / Boundary</t>
        </is>
      </c>
    </row>
    <row r="42" ht="36" customHeight="1">
      <c r="A42" s="28" t="inlineStr">
        <is>
          <t>Reporting</t>
        </is>
      </c>
      <c r="B42" s="29" t="inlineStr">
        <is>
          <t>TC-Rebuild-41</t>
        </is>
      </c>
      <c r="C42" s="28" t="inlineStr">
        <is>
          <t>Per-Bucket Variance Is Captured, Not a Single Net Figure</t>
        </is>
      </c>
      <c r="D42" s="29" t="inlineStr">
        <is>
          <t>High</t>
        </is>
      </c>
      <c r="E42" s="28" t="inlineStr">
        <is>
          <t>A wallet with a compensating error across two buckets</t>
        </is>
      </c>
      <c r="F42" s="28" t="inlineStr">
        <is>
          <t>1. Rebuild and inspect the variance record</t>
        </is>
      </c>
      <c r="G42" s="28" t="inlineStr">
        <is>
          <t>Variance is recorded per bucket; a net-zero total does not mask the two offsetting errors</t>
        </is>
      </c>
      <c r="H42" s="29" t="inlineStr">
        <is>
          <t>Not Tested</t>
        </is>
      </c>
      <c r="I42" s="29" t="inlineStr">
        <is>
          <t>Edge / Boundary</t>
        </is>
      </c>
    </row>
    <row r="43" ht="36" customHeight="1">
      <c r="A43" s="28" t="inlineStr">
        <is>
          <t>Reporting</t>
        </is>
      </c>
      <c r="B43" s="29" t="inlineStr">
        <is>
          <t>TC-Rebuild-42</t>
        </is>
      </c>
      <c r="C43" s="28" t="inlineStr">
        <is>
          <t>Rebuild Summary Report Content and Export</t>
        </is>
      </c>
      <c r="D43" s="29" t="inlineStr">
        <is>
          <t>Medium</t>
        </is>
      </c>
      <c r="E43" s="28" t="inlineStr">
        <is>
          <t>A completed rebuild</t>
        </is>
      </c>
      <c r="F43" s="28" t="inlineStr">
        <is>
          <t>1. Open the Rebuild Summary Report
2. Export it as CSV, Excel and PDF</t>
        </is>
      </c>
      <c r="G43" s="28" t="inlineStr">
        <is>
          <t>Report carries recon_id, range, scope, trigger, triggered_by, wallets processed, postings replayed, wallets with variance, total absolute variance, duration and outcome; all three export formats succeed and match the on-screen figures</t>
        </is>
      </c>
      <c r="H43" s="29" t="inlineStr">
        <is>
          <t>Not Tested</t>
        </is>
      </c>
      <c r="I43" s="29" t="inlineStr">
        <is>
          <t>Integration</t>
        </is>
      </c>
    </row>
    <row r="44" ht="36" customHeight="1">
      <c r="A44" s="28" t="inlineStr">
        <is>
          <t>Reporting</t>
        </is>
      </c>
      <c r="B44" s="29" t="inlineStr">
        <is>
          <t>TC-Rebuild-43</t>
        </is>
      </c>
      <c r="C44" s="28" t="inlineStr">
        <is>
          <t>Failed Run Remains Visible and Its Report Regenerable</t>
        </is>
      </c>
      <c r="D44" s="29" t="inlineStr">
        <is>
          <t>Medium</t>
        </is>
      </c>
      <c r="E44" s="28" t="inlineStr">
        <is>
          <t>A rebuild that failed, and a report template that fails to compile</t>
        </is>
      </c>
      <c r="F44" s="28" t="inlineStr">
        <is>
          <t>1. Query reconciliation_runs for the failed run
2. Attempt to regenerate the report</t>
        </is>
      </c>
      <c r="G44" s="28" t="inlineStr">
        <is>
          <t>The run and its failure reason stay queryable; the outcome is persisted independently of report generation and the report can be regenerated</t>
        </is>
      </c>
      <c r="H44" s="29" t="inlineStr">
        <is>
          <t>Not Tested</t>
        </is>
      </c>
      <c r="I44" s="29" t="inlineStr">
        <is>
          <t>Negative</t>
        </is>
      </c>
    </row>
    <row r="45" ht="36" customHeight="1">
      <c r="A45" s="28" t="inlineStr">
        <is>
          <t>Failure</t>
        </is>
      </c>
      <c r="B45" s="29" t="inlineStr">
        <is>
          <t>TC-Rebuild-44</t>
        </is>
      </c>
      <c r="C45" s="28" t="inlineStr">
        <is>
          <t>Mid-Replay Failure Leaves No Half-Applied Unmarked State</t>
        </is>
      </c>
      <c r="D45" s="29" t="inlineStr">
        <is>
          <t>High</t>
        </is>
      </c>
      <c r="E45" s="28" t="inlineStr">
        <is>
          <t>A rebuild interrupted during replay</t>
        </is>
      </c>
      <c r="F45" s="28" t="inlineStr">
        <is>
          <t>1. Fail the service mid-replay
2. Inspect wallet states and the run record</t>
        </is>
      </c>
      <c r="G45" s="28" t="inlineStr">
        <is>
          <t>No wallet is externally observable in a partially-rebuilt state; the run is marked PARTIAL or fully rolled back, and affected wallets are identified on the run</t>
        </is>
      </c>
      <c r="H45" s="29" t="inlineStr">
        <is>
          <t>Not Tested</t>
        </is>
      </c>
      <c r="I45" s="29" t="inlineStr">
        <is>
          <t>Integration</t>
        </is>
      </c>
    </row>
    <row r="46" ht="36" customHeight="1">
      <c r="A46" s="28" t="inlineStr">
        <is>
          <t>Failure</t>
        </is>
      </c>
      <c r="B46" s="29" t="inlineStr">
        <is>
          <t>TC-Rebuild-45</t>
        </is>
      </c>
      <c r="C46" s="28" t="inlineStr">
        <is>
          <t>Archived Rows Are Never Auto-Restored on Failure</t>
        </is>
      </c>
      <c r="D46" s="29" t="inlineStr">
        <is>
          <t>High</t>
        </is>
      </c>
      <c r="E46" s="28" t="inlineStr">
        <is>
          <t>A failed rebuild that had already archived rows</t>
        </is>
      </c>
      <c r="F46" s="28" t="inlineStr">
        <is>
          <t>1. Inspect the archive and the live table after the failure</t>
        </is>
      </c>
      <c r="G46" s="28" t="inlineStr">
        <is>
          <t>Archived rows are not automatically restored; restoration is an explicit administrator action so no correction is silently reverted</t>
        </is>
      </c>
      <c r="H46" s="29" t="inlineStr">
        <is>
          <t>Not Tested</t>
        </is>
      </c>
      <c r="I46" s="29" t="inlineStr">
        <is>
          <t>Negative</t>
        </is>
      </c>
    </row>
    <row r="47" ht="36" customHeight="1">
      <c r="A47" s="28" t="inlineStr">
        <is>
          <t>Failure</t>
        </is>
      </c>
      <c r="B47" s="29" t="inlineStr">
        <is>
          <t>TC-Rebuild-46</t>
        </is>
      </c>
      <c r="C47" s="28" t="inlineStr">
        <is>
          <t>Identity Violation During Replay Halts the Wallet</t>
        </is>
      </c>
      <c r="D47" s="29" t="inlineStr">
        <is>
          <t>High</t>
        </is>
      </c>
      <c r="E47" s="28" t="inlineStr">
        <is>
          <t>A replay that would produce current != available + reserve_debit</t>
        </is>
      </c>
      <c r="F47" s="28" t="inlineStr">
        <is>
          <t>1. Force the condition
2. Observe the job</t>
        </is>
      </c>
      <c r="G47" s="28" t="inlineStr">
        <is>
          <t>The wallet is halted, the offending entry is recorded and the run is flagged. The identity is not optional</t>
        </is>
      </c>
      <c r="H47" s="29" t="inlineStr">
        <is>
          <t>Not Tested</t>
        </is>
      </c>
      <c r="I47" s="29" t="inlineStr">
        <is>
          <t>Integration</t>
        </is>
      </c>
    </row>
    <row r="48" ht="36" customHeight="1">
      <c r="A48" s="28" t="inlineStr">
        <is>
          <t>Failure</t>
        </is>
      </c>
      <c r="B48" s="29" t="inlineStr">
        <is>
          <t>TC-Rebuild-47</t>
        </is>
      </c>
      <c r="C48" s="28" t="inlineStr">
        <is>
          <t>Negative Available Is Written and Flagged, Never Clamped</t>
        </is>
      </c>
      <c r="D48" s="29" t="inlineStr">
        <is>
          <t>High</t>
        </is>
      </c>
      <c r="E48" s="28" t="inlineStr">
        <is>
          <t>A replay that produces a negative available balance</t>
        </is>
      </c>
      <c r="F48" s="28" t="inlineStr">
        <is>
          <t>1. Rebuild the range
2. Inspect the written value and the anomaly flag</t>
        </is>
      </c>
      <c r="G48" s="28" t="inlineStr">
        <is>
          <t>The negative value is written and the wallet flagged as an anomaly; it is not rejected and not clamped to zero, because the ledger is truth</t>
        </is>
      </c>
      <c r="H48" s="29" t="inlineStr">
        <is>
          <t>Not Tested</t>
        </is>
      </c>
      <c r="I48" s="29" t="inlineStr">
        <is>
          <t>Negative</t>
        </is>
      </c>
    </row>
    <row r="49" ht="36" customHeight="1">
      <c r="A49" s="28" t="inlineStr">
        <is>
          <t>Ownership</t>
        </is>
      </c>
      <c r="B49" s="29" t="inlineStr">
        <is>
          <t>TC-Rebuild-48</t>
        </is>
      </c>
      <c r="C49" s="28" t="inlineStr">
        <is>
          <t>Mutation Executes in the Wallet Service, One Transaction Per Wallet</t>
        </is>
      </c>
      <c r="D49" s="29" t="inlineStr">
        <is>
          <t>High</t>
        </is>
      </c>
      <c r="E49" s="28" t="inlineStr">
        <is>
          <t>Instrumentation on service boundaries</t>
        </is>
      </c>
      <c r="F49" s="28" t="inlineStr">
        <is>
          <t>1. Run a rebuild across several wallets
2. Trace which service performs the balance arithmetic and the transaction boundaries</t>
        </is>
      </c>
      <c r="G49" s="28" t="inlineStr">
        <is>
          <t>Wallet and running-balance mutation happens in the Wallet Service with one transaction per wallet; the Reports Service orchestrates and reports but performs no balance arithmetic</t>
        </is>
      </c>
      <c r="H49" s="29" t="inlineStr">
        <is>
          <t>Not Tested</t>
        </is>
      </c>
      <c r="I49" s="29" t="inlineStr">
        <is>
          <t>Integration</t>
        </is>
      </c>
    </row>
    <row r="50" ht="36" customHeight="1">
      <c r="A50" s="28" t="inlineStr">
        <is>
          <t>Non-Functional</t>
        </is>
      </c>
      <c r="B50" s="29" t="inlineStr">
        <is>
          <t>TC-Rebuild-49</t>
        </is>
      </c>
      <c r="C50" s="28" t="inlineStr">
        <is>
          <t>No Full-Table Scans and Bounded Memory</t>
        </is>
      </c>
      <c r="D50" s="29" t="inlineStr">
        <is>
          <t>High</t>
        </is>
      </c>
      <c r="E50" s="28" t="inlineStr">
        <is>
          <t>Production-scale data volume</t>
        </is>
      </c>
      <c r="F50" s="28" t="inlineStr">
        <is>
          <t>1. Run a rebuild and capture the query plans and memory profile</t>
        </is>
      </c>
      <c r="G50" s="28" t="inlineStr">
        <is>
          <t>Replay is driven by an indexed range query on (wallet_id, posting_time); no full-table scan occurs and memory does not scale with range size</t>
        </is>
      </c>
      <c r="H50" s="29" t="inlineStr">
        <is>
          <t>Not Tested</t>
        </is>
      </c>
      <c r="I50" s="29" t="inlineStr">
        <is>
          <t>Performance / NFR</t>
        </is>
      </c>
    </row>
    <row r="51" ht="36" customHeight="1">
      <c r="A51" s="28" t="inlineStr">
        <is>
          <t>Non-Functional</t>
        </is>
      </c>
      <c r="B51" s="29" t="inlineStr">
        <is>
          <t>TC-Rebuild-50</t>
        </is>
      </c>
      <c r="C51" s="28" t="inlineStr">
        <is>
          <t>Latency Budget and Availability of Out-of-Scope Wallets</t>
        </is>
      </c>
      <c r="D51" s="29" t="inlineStr">
        <is>
          <t>High</t>
        </is>
      </c>
      <c r="E51" s="28" t="inlineStr">
        <is>
          <t>Production-scale data volume</t>
        </is>
      </c>
      <c r="F51" s="28" t="inlineStr">
        <is>
          <t>1. Rebuild one wallet over one month and time it
2. Run the nightly partial rebuild and time it
3. Transact on wallets outside the scope throughout</t>
        </is>
      </c>
      <c r="G51" s="28" t="inlineStr">
        <is>
          <t>Single-wallet month completes within 30 seconds; the nightly partial completes inside the maintenance window; wallets outside scope stay fully transactable</t>
        </is>
      </c>
      <c r="H51" s="29" t="inlineStr">
        <is>
          <t>Not Tested</t>
        </is>
      </c>
      <c r="I51" s="29" t="inlineStr">
        <is>
          <t>Performance / NFR</t>
        </is>
      </c>
    </row>
    <row r="52" ht="36" customHeight="1">
      <c r="A52" s="28" t="inlineStr">
        <is>
          <t>UI</t>
        </is>
      </c>
      <c r="B52" s="29" t="inlineStr">
        <is>
          <t>TC-Rebuild-51</t>
        </is>
      </c>
      <c r="C52" s="28" t="inlineStr">
        <is>
          <t>Rebuild Dialog States the Mode Guidance and Archive Warning</t>
        </is>
      </c>
      <c r="D52" s="29" t="inlineStr">
        <is>
          <t>Medium</t>
        </is>
      </c>
      <c r="E52" s="28" t="inlineStr">
        <is>
          <t>Admin UI available to a Finance Lead</t>
        </is>
      </c>
      <c r="F52" s="28" t="inlineStr">
        <is>
          <t>1. Open the Rebuild Statement History dialog</t>
        </is>
      </c>
      <c r="G52" s="28" t="inlineStr">
        <is>
          <t>Both date bounds are mandatory and same-day selection is valid; reason is mandatory; the dialog states that current entries will be archived and that a wrong balance alone should use Wallet Balance Recompute instead</t>
        </is>
      </c>
      <c r="H52" s="29" t="inlineStr">
        <is>
          <t>Not Tested</t>
        </is>
      </c>
      <c r="I52" s="29" t="inlineStr">
        <is>
          <t>Usability</t>
        </is>
      </c>
    </row>
    <row r="53" ht="36" customHeight="1">
      <c r="A53" s="28" t="inlineStr">
        <is>
          <t>UI</t>
        </is>
      </c>
      <c r="B53" s="29" t="inlineStr">
        <is>
          <t>TC-Rebuild-52</t>
        </is>
      </c>
      <c r="C53" s="28" t="inlineStr">
        <is>
          <t>Statement View Distinguishes Reserve Credit From Current</t>
        </is>
      </c>
      <c r="D53" s="29" t="inlineStr">
        <is>
          <t>Medium</t>
        </is>
      </c>
      <c r="E53" s="28" t="inlineStr">
        <is>
          <t>A wallet holding reserve_credit</t>
        </is>
      </c>
      <c r="F53" s="28" t="inlineStr">
        <is>
          <t>1. Open the statement view</t>
        </is>
      </c>
      <c r="G53" s="28" t="inlineStr">
        <is>
          <t>All four buckets are shown before and after each entry, with reserve_credit visually distinguished from current so the exclusion is legible to the reader</t>
        </is>
      </c>
      <c r="H53" s="29" t="inlineStr">
        <is>
          <t>Not Tested</t>
        </is>
      </c>
      <c r="I53" s="29" t="inlineStr">
        <is>
          <t>Usability</t>
        </is>
      </c>
    </row>
  </sheetData>
  <autoFilter ref="A1:I53"/>
  <conditionalFormatting sqref="H2:H5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53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Derivation</t>
        </is>
      </c>
      <c r="B2" s="29" t="inlineStr">
        <is>
          <t>TC-Recompute-01</t>
        </is>
      </c>
      <c r="C2" s="28" t="inlineStr">
        <is>
          <t>Buckets Derived From the Transaction Log Only</t>
        </is>
      </c>
      <c r="D2" s="29" t="inlineStr">
        <is>
          <t>High</t>
        </is>
      </c>
      <c r="E2" s="28" t="inlineStr">
        <is>
          <t>A wallet whose buckets have drifted</t>
        </is>
      </c>
      <c r="F2" s="28" t="inlineStr">
        <is>
          <t>1. Trigger a recompute
2. Trace every table the job reads</t>
        </is>
      </c>
      <c r="G2" s="28" t="inlineStr">
        <is>
          <t>All four buckets are derived from transaction_log current state; running_balance is never read. Reading the projection to repair the projection is the defect this story removes</t>
        </is>
      </c>
      <c r="H2" s="29" t="inlineStr">
        <is>
          <t>Not Tested</t>
        </is>
      </c>
      <c r="I2" s="29" t="inlineStr">
        <is>
          <t>Integration</t>
        </is>
      </c>
    </row>
    <row r="3" ht="36" customHeight="1">
      <c r="A3" s="28" t="inlineStr">
        <is>
          <t>Derivation</t>
        </is>
      </c>
      <c r="B3" s="29" t="inlineStr">
        <is>
          <t>TC-Recompute-02</t>
        </is>
      </c>
      <c r="C3" s="28" t="inlineStr">
        <is>
          <t>Aggregate Grain Covers All Postings for a Transaction</t>
        </is>
      </c>
      <c r="D3" s="29" t="inlineStr">
        <is>
          <t>High</t>
        </is>
      </c>
      <c r="E3" s="28" t="inlineStr">
        <is>
          <t>A transaction with separate PENDING, SUCCESS and FAILED postings</t>
        </is>
      </c>
      <c r="F3" s="28" t="inlineStr">
        <is>
          <t>1. Recompute the wallet
2. Inspect the aggregation grain used</t>
        </is>
      </c>
      <c r="G3" s="28" t="inlineStr">
        <is>
          <t>The aggregate is over all postings across the transaction lifecycle, not over a single mutable transaction row, per the append-only ledger model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Derivation</t>
        </is>
      </c>
      <c r="B4" s="29" t="inlineStr">
        <is>
          <t>TC-Recompute-03</t>
        </is>
      </c>
      <c r="C4" s="28" t="inlineStr">
        <is>
          <t>Status and Direction Mapping Consumed From the Shared Definition</t>
        </is>
      </c>
      <c r="D4" s="29" t="inlineStr">
        <is>
          <t>High</t>
        </is>
      </c>
      <c r="E4" s="28" t="inlineStr">
        <is>
          <t>Access to the implementation</t>
        </is>
      </c>
      <c r="F4" s="28" t="inlineStr">
        <is>
          <t>1. Inspect where the status x direction to bucket mapping comes from</t>
        </is>
      </c>
      <c r="G4" s="28" t="inlineStr">
        <is>
          <t>The mapping is consumed from the single shared EMI-602 definition used by the live consumer and by EMI-5950 validation; it is not re-implemented here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Derivation</t>
        </is>
      </c>
      <c r="B5" s="29" t="inlineStr">
        <is>
          <t>TC-Recompute-04</t>
        </is>
      </c>
      <c r="C5" s="28" t="inlineStr">
        <is>
          <t>Order Invariance</t>
        </is>
      </c>
      <c r="D5" s="29" t="inlineStr">
        <is>
          <t>High</t>
        </is>
      </c>
      <c r="E5" s="28" t="inlineStr">
        <is>
          <t>A wallet whose ledger postings can be applied in an arbitrary order</t>
        </is>
      </c>
      <c r="F5" s="28" t="inlineStr">
        <is>
          <t>1. Apply the postings in a deliberately shuffled order
2. Recompute
3. Repeat with a different shuffle</t>
        </is>
      </c>
      <c r="G5" s="28" t="inlineStr">
        <is>
          <t>The result is identical every time; the output does not depend on row order, insertion order or event arrival order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Functional</t>
        </is>
      </c>
      <c r="B6" s="29" t="inlineStr">
        <is>
          <t>TC-Recompute-05</t>
        </is>
      </c>
      <c r="C6" s="28" t="inlineStr">
        <is>
          <t>No-Op When Buckets Already Match</t>
        </is>
      </c>
      <c r="D6" s="29" t="inlineStr">
        <is>
          <t>High</t>
        </is>
      </c>
      <c r="E6" s="28" t="inlineStr">
        <is>
          <t>A wallet whose buckets agree with the ledger</t>
        </is>
      </c>
      <c r="F6" s="28" t="inlineStr">
        <is>
          <t>1. Trigger a recompute</t>
        </is>
      </c>
      <c r="G6" s="28" t="inlineStr">
        <is>
          <t>Completes as NO_OP; no write is made; the run is still recorded so the check itself is auditable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Functional</t>
        </is>
      </c>
      <c r="B7" s="29" t="inlineStr">
        <is>
          <t>TC-Recompute-06</t>
        </is>
      </c>
      <c r="C7" s="28" t="inlineStr">
        <is>
          <t>Drifted Available Is Corrected</t>
        </is>
      </c>
      <c r="D7" s="29" t="inlineStr">
        <is>
          <t>High</t>
        </is>
      </c>
      <c r="E7" s="28" t="inlineStr">
        <is>
          <t>A wallet whose available has drifted from the ledger</t>
        </is>
      </c>
      <c r="F7" s="28" t="inlineStr">
        <is>
          <t>1. Trigger a recompute
2. Compare before and after values per bucket</t>
        </is>
      </c>
      <c r="G7" s="28" t="inlineStr">
        <is>
          <t>Buckets are corrected to the ledger-derived values and variance is reported per bucket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Idempotency</t>
        </is>
      </c>
      <c r="B8" s="29" t="inlineStr">
        <is>
          <t>TC-Recompute-07</t>
        </is>
      </c>
      <c r="C8" s="28" t="inlineStr">
        <is>
          <t>Repeated Runs Over an Unchanged Ledger</t>
        </is>
      </c>
      <c r="D8" s="29" t="inlineStr">
        <is>
          <t>High</t>
        </is>
      </c>
      <c r="E8" s="28" t="inlineStr">
        <is>
          <t>A completed recompute</t>
        </is>
      </c>
      <c r="F8" s="28" t="inlineStr">
        <is>
          <t>1. Run the same recompute again</t>
        </is>
      </c>
      <c r="G8" s="28" t="inlineStr">
        <is>
          <t>Second run is a NO_OP and the state is identical</t>
        </is>
      </c>
      <c r="H8" s="29" t="inlineStr">
        <is>
          <t>Not Tested</t>
        </is>
      </c>
      <c r="I8" s="29" t="inlineStr">
        <is>
          <t>Integration</t>
        </is>
      </c>
    </row>
    <row r="9" ht="36" customHeight="1">
      <c r="A9" s="28" t="inlineStr">
        <is>
          <t>Functional</t>
        </is>
      </c>
      <c r="B9" s="29" t="inlineStr">
        <is>
          <t>TC-Recompute-08</t>
        </is>
      </c>
      <c r="C9" s="28" t="inlineStr">
        <is>
          <t>Open Outgoing Pending Reflected in Reserve Debit</t>
        </is>
      </c>
      <c r="D9" s="29" t="inlineStr">
        <is>
          <t>High</t>
        </is>
      </c>
      <c r="E9" s="28" t="inlineStr">
        <is>
          <t>A wallet with an open outgoing pending transaction</t>
        </is>
      </c>
      <c r="F9" s="28" t="inlineStr">
        <is>
          <t>1. Recompute the wallet
2. Inspect all four buckets</t>
        </is>
      </c>
      <c r="G9" s="28" t="inlineStr">
        <is>
          <t>reserve_debit reflects the hold, available is correspondingly reduced, and current is unchanged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Functional</t>
        </is>
      </c>
      <c r="B10" s="29" t="inlineStr">
        <is>
          <t>TC-Recompute-09</t>
        </is>
      </c>
      <c r="C10" s="28" t="inlineStr">
        <is>
          <t>Unsettled Incoming Payment Sits in Reserve Credit</t>
        </is>
      </c>
      <c r="D10" s="29" t="inlineStr">
        <is>
          <t>High</t>
        </is>
      </c>
      <c r="E10" s="28" t="inlineStr">
        <is>
          <t>A wallet holding an unsettled incoming payment</t>
        </is>
      </c>
      <c r="F10" s="28" t="inlineStr">
        <is>
          <t>1. Recompute the wallet
2. Inspect current</t>
        </is>
      </c>
      <c r="G10" s="28" t="inlineStr">
        <is>
          <t>reserve_credit is populated and current excludes it. This guards the most commonly misread rule in the model</t>
        </is>
      </c>
      <c r="H10" s="29" t="inlineStr">
        <is>
          <t>Not Tested</t>
        </is>
      </c>
      <c r="I10" s="29" t="inlineStr">
        <is>
          <t>Functional</t>
        </is>
      </c>
    </row>
    <row r="11" ht="36" customHeight="1">
      <c r="A11" s="28" t="inlineStr">
        <is>
          <t>Functional</t>
        </is>
      </c>
      <c r="B11" s="29" t="inlineStr">
        <is>
          <t>TC-Recompute-10</t>
        </is>
      </c>
      <c r="C11" s="28" t="inlineStr">
        <is>
          <t>Commission and VAT Wallets Are Not Special-Cased</t>
        </is>
      </c>
      <c r="D11" s="29" t="inlineStr">
        <is>
          <t>High</t>
        </is>
      </c>
      <c r="E11" s="28" t="inlineStr">
        <is>
          <t>An open reserve window with commission and VAT legs</t>
        </is>
      </c>
      <c r="F11" s="28" t="inlineStr">
        <is>
          <t>1. Recompute the commission and VAT wallets</t>
        </is>
      </c>
      <c r="G11" s="28" t="inlineStr">
        <is>
          <t>Amounts sit in reserve_credit, not available; both are treated as ordinary destination wallets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Functional</t>
        </is>
      </c>
      <c r="B12" s="29" t="inlineStr">
        <is>
          <t>TC-Recompute-11</t>
        </is>
      </c>
      <c r="C12" s="28" t="inlineStr">
        <is>
          <t>Recompute Across Settlement Moves Reserve Credit to Available</t>
        </is>
      </c>
      <c r="D12" s="29" t="inlineStr">
        <is>
          <t>High</t>
        </is>
      </c>
      <c r="E12" s="28" t="inlineStr">
        <is>
          <t>A destination wallet mid-reserve</t>
        </is>
      </c>
      <c r="F12" s="28" t="inlineStr">
        <is>
          <t>1. Recompute before settlement
2. Settle the transaction
3. Recompute again</t>
        </is>
      </c>
      <c r="G12" s="28" t="inlineStr">
        <is>
          <t>First run: amount in reserve_credit with current unchanged. Second run: amount moved to available with current increased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Functional</t>
        </is>
      </c>
      <c r="B13" s="29" t="inlineStr">
        <is>
          <t>TC-Recompute-12</t>
        </is>
      </c>
      <c r="C13" s="28" t="inlineStr">
        <is>
          <t>Adjustment Postings Aggregated With No Special-Casing</t>
        </is>
      </c>
      <c r="D13" s="29" t="inlineStr">
        <is>
          <t>High</t>
        </is>
      </c>
      <c r="E13" s="28" t="inlineStr">
        <is>
          <t>A wallet whose transaction was corrected through the adjustment flow</t>
        </is>
      </c>
      <c r="F13" s="28" t="inlineStr">
        <is>
          <t>1. Recompute the wallet
2. Inspect how the four appended adjustment postings are handled</t>
        </is>
      </c>
      <c r="G13" s="28" t="inlineStr">
        <is>
          <t>All four are included in the aggregate with no special-casing and the result matches the corrected position</t>
        </is>
      </c>
      <c r="H13" s="29" t="inlineStr">
        <is>
          <t>Not Tested</t>
        </is>
      </c>
      <c r="I13" s="29" t="inlineStr">
        <is>
          <t>Functional</t>
        </is>
      </c>
    </row>
    <row r="14" ht="36" customHeight="1">
      <c r="A14" s="28" t="inlineStr">
        <is>
          <t>Variance</t>
        </is>
      </c>
      <c r="B14" s="29" t="inlineStr">
        <is>
          <t>TC-Recompute-13</t>
        </is>
      </c>
      <c r="C14" s="28" t="inlineStr">
        <is>
          <t>Compensating Error Across Two Buckets Is Not Masked</t>
        </is>
      </c>
      <c r="D14" s="29" t="inlineStr">
        <is>
          <t>High</t>
        </is>
      </c>
      <c r="E14" s="28" t="inlineStr">
        <is>
          <t>A wallet with one bucket high and another low by the same amount</t>
        </is>
      </c>
      <c r="F14" s="28" t="inlineStr">
        <is>
          <t>1. Recompute the wallet
2. Inspect the variance record</t>
        </is>
      </c>
      <c r="G14" s="28" t="inlineStr">
        <is>
          <t>Both buckets are flagged; the net-zero total does not mask the variance</t>
        </is>
      </c>
      <c r="H14" s="29" t="inlineStr">
        <is>
          <t>Not Tested</t>
        </is>
      </c>
      <c r="I14" s="29" t="inlineStr">
        <is>
          <t>Edge / Boundary</t>
        </is>
      </c>
    </row>
    <row r="15" ht="36" customHeight="1">
      <c r="A15" s="28" t="inlineStr">
        <is>
          <t>Variance</t>
        </is>
      </c>
      <c r="B15" s="29" t="inlineStr">
        <is>
          <t>TC-Recompute-14</t>
        </is>
      </c>
      <c r="C15" s="28" t="inlineStr">
        <is>
          <t>Pre and Post Values Captured Per Wallet and Per Bucket</t>
        </is>
      </c>
      <c r="D15" s="29" t="inlineStr">
        <is>
          <t>Medium</t>
        </is>
      </c>
      <c r="E15" s="28" t="inlineStr">
        <is>
          <t>A recompute that changes values</t>
        </is>
      </c>
      <c r="F15" s="28" t="inlineStr">
        <is>
          <t>1. Inspect the variance record</t>
        </is>
      </c>
      <c r="G15" s="28" t="inlineStr">
        <is>
          <t>Values are captured per wallet and per bucket rather than as a single net figure</t>
        </is>
      </c>
      <c r="H15" s="29" t="inlineStr">
        <is>
          <t>Not Tested</t>
        </is>
      </c>
      <c r="I15" s="29" t="inlineStr">
        <is>
          <t>Functional</t>
        </is>
      </c>
    </row>
    <row r="16" ht="36" customHeight="1">
      <c r="A16" s="28" t="inlineStr">
        <is>
          <t>Negative</t>
        </is>
      </c>
      <c r="B16" s="29" t="inlineStr">
        <is>
          <t>TC-Recompute-15</t>
        </is>
      </c>
      <c r="C16" s="28" t="inlineStr">
        <is>
          <t>Negative Available Is Written and Flagged, Never Clamped</t>
        </is>
      </c>
      <c r="D16" s="29" t="inlineStr">
        <is>
          <t>High</t>
        </is>
      </c>
      <c r="E16" s="28" t="inlineStr">
        <is>
          <t>A wallet whose ledger-derived available is negative</t>
        </is>
      </c>
      <c r="F16" s="28" t="inlineStr">
        <is>
          <t>1. Recompute the wallet
2. Inspect the written value, the anomaly flag and any constraint behaviour</t>
        </is>
      </c>
      <c r="G16" s="28" t="inlineStr">
        <is>
          <t>The negative value is written and the wallet flagged as an anomaly; it is not rejected and not clamped to zero, and no constraint rejects the write</t>
        </is>
      </c>
      <c r="H16" s="29" t="inlineStr">
        <is>
          <t>Not Tested</t>
        </is>
      </c>
      <c r="I16" s="29" t="inlineStr">
        <is>
          <t>Negative</t>
        </is>
      </c>
    </row>
    <row r="17" ht="36" customHeight="1">
      <c r="A17" s="28" t="inlineStr">
        <is>
          <t>Isolation</t>
        </is>
      </c>
      <c r="B17" s="29" t="inlineStr">
        <is>
          <t>TC-Recompute-16</t>
        </is>
      </c>
      <c r="C17" s="28" t="inlineStr">
        <is>
          <t>Running Balance Sequence Is Provably Untouched</t>
        </is>
      </c>
      <c r="D17" s="29" t="inlineStr">
        <is>
          <t>High</t>
        </is>
      </c>
      <c r="E17" s="28" t="inlineStr">
        <is>
          <t>A wallet with an existing statement sequence</t>
        </is>
      </c>
      <c r="F17" s="28" t="inlineStr">
        <is>
          <t>1. Capture the running_balance entry sequence
2. Recompute the wallet
3. Compare the sequence</t>
        </is>
      </c>
      <c r="G17" s="28" t="inlineStr">
        <is>
          <t>The entry sequence is byte-identical; this job repairs the snapshot and never the statement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Isolation</t>
        </is>
      </c>
      <c r="B18" s="29" t="inlineStr">
        <is>
          <t>TC-Recompute-17</t>
        </is>
      </c>
      <c r="C18" s="28" t="inlineStr">
        <is>
          <t>Wrong Statement With Correct Buckets Reports No-Op and Flags a Rebuild</t>
        </is>
      </c>
      <c r="D18" s="29" t="inlineStr">
        <is>
          <t>High</t>
        </is>
      </c>
      <c r="E18" s="28" t="inlineStr">
        <is>
          <t>A wallet whose statement rows are wrong but whose buckets are right</t>
        </is>
      </c>
      <c r="F18" s="28" t="inlineStr">
        <is>
          <t>1. Recompute the wallet
2. Read the report</t>
        </is>
      </c>
      <c r="G18" s="28" t="inlineStr">
        <is>
          <t>Recompute reports NO_OP and states clearly that a statement rebuild may be required, so the operator knows a follow-up is needed</t>
        </is>
      </c>
      <c r="H18" s="29" t="inlineStr">
        <is>
          <t>Not Tested</t>
        </is>
      </c>
      <c r="I18" s="29" t="inlineStr">
        <is>
          <t>Integration</t>
        </is>
      </c>
    </row>
    <row r="19" ht="36" customHeight="1">
      <c r="A19" s="28" t="inlineStr">
        <is>
          <t>Concurrency</t>
        </is>
      </c>
      <c r="B19" s="29" t="inlineStr">
        <is>
          <t>TC-Recompute-18</t>
        </is>
      </c>
      <c r="C19" s="28" t="inlineStr">
        <is>
          <t>Overlapping Recompute Is Rejected</t>
        </is>
      </c>
      <c r="D19" s="29" t="inlineStr">
        <is>
          <t>High</t>
        </is>
      </c>
      <c r="E19" s="28" t="inlineStr">
        <is>
          <t>A recompute in flight</t>
        </is>
      </c>
      <c r="F19" s="28" t="inlineStr">
        <is>
          <t>1. Request a second recompute with an overlapping scope</t>
        </is>
      </c>
      <c r="G19" s="28" t="inlineStr">
        <is>
          <t>Rejected with a 409 conflict naming the in-flight run; it is not queued</t>
        </is>
      </c>
      <c r="H19" s="29" t="inlineStr">
        <is>
          <t>Not Tested</t>
        </is>
      </c>
      <c r="I19" s="29" t="inlineStr">
        <is>
          <t>Negative</t>
        </is>
      </c>
    </row>
    <row r="20" ht="36" customHeight="1">
      <c r="A20" s="28" t="inlineStr">
        <is>
          <t>Concurrency</t>
        </is>
      </c>
      <c r="B20" s="29" t="inlineStr">
        <is>
          <t>TC-Recompute-19</t>
        </is>
      </c>
      <c r="C20" s="28" t="inlineStr">
        <is>
          <t>Recompute Overlapping an In-Flight Rebuild Is Rejected</t>
        </is>
      </c>
      <c r="D20" s="29" t="inlineStr">
        <is>
          <t>High</t>
        </is>
      </c>
      <c r="E20" s="28" t="inlineStr">
        <is>
          <t>An EMI-5945 rebuild in flight</t>
        </is>
      </c>
      <c r="F20" s="28" t="inlineStr">
        <is>
          <t>1. Request a recompute covering the same scope</t>
        </is>
      </c>
      <c r="G20" s="28" t="inlineStr">
        <is>
          <t>Rejected with a conflict error; the two repair modes are mutually exclusive per wallet</t>
        </is>
      </c>
      <c r="H20" s="29" t="inlineStr">
        <is>
          <t>Not Tested</t>
        </is>
      </c>
      <c r="I20" s="29" t="inlineStr">
        <is>
          <t>Negative</t>
        </is>
      </c>
    </row>
    <row r="21" ht="36" customHeight="1">
      <c r="A21" s="28" t="inlineStr">
        <is>
          <t>Concurrency</t>
        </is>
      </c>
      <c r="B21" s="29" t="inlineStr">
        <is>
          <t>TC-Recompute-20</t>
        </is>
      </c>
      <c r="C21" s="28" t="inlineStr">
        <is>
          <t>Recompute Serialises Against Live Traffic</t>
        </is>
      </c>
      <c r="D21" s="29" t="inlineStr">
        <is>
          <t>High</t>
        </is>
      </c>
      <c r="E21" s="28" t="inlineStr">
        <is>
          <t>A wallet with live traffic</t>
        </is>
      </c>
      <c r="F21" s="28" t="inlineStr">
        <is>
          <t>1. Recompute while transactions post to the wallet
2. Reconcile the result against the ledger</t>
        </is>
      </c>
      <c r="G21" s="28" t="inlineStr">
        <is>
          <t>Work is serialised per wallet; no posting is lost or double-counted</t>
        </is>
      </c>
      <c r="H21" s="29" t="inlineStr">
        <is>
          <t>Not Tested</t>
        </is>
      </c>
      <c r="I21" s="29" t="inlineStr">
        <is>
          <t>Integration</t>
        </is>
      </c>
    </row>
    <row r="22" ht="36" customHeight="1">
      <c r="A22" s="28" t="inlineStr">
        <is>
          <t>Scope</t>
        </is>
      </c>
      <c r="B22" s="29" t="inlineStr">
        <is>
          <t>TC-Recompute-21</t>
        </is>
      </c>
      <c r="C22" s="28" t="inlineStr">
        <is>
          <t>Wallet Scope Is First-Class</t>
        </is>
      </c>
      <c r="D22" s="29" t="inlineStr">
        <is>
          <t>Medium</t>
        </is>
      </c>
      <c r="E22" s="28" t="inlineStr">
        <is>
          <t>Recompute endpoint available</t>
        </is>
      </c>
      <c r="F22" s="28" t="inlineStr">
        <is>
          <t>1. Run with scope ALL
2. Run with a list of wallet_codes
3. Run with a single wallet_id</t>
        </is>
      </c>
      <c r="G22" s="28" t="inlineStr">
        <is>
          <t>All three scope forms are accepted and honoured</t>
        </is>
      </c>
      <c r="H22" s="29" t="inlineStr">
        <is>
          <t>Not Tested</t>
        </is>
      </c>
      <c r="I22" s="29" t="inlineStr">
        <is>
          <t>Architecture</t>
        </is>
      </c>
    </row>
    <row r="23" ht="36" customHeight="1">
      <c r="A23" s="28" t="inlineStr">
        <is>
          <t>Scope</t>
        </is>
      </c>
      <c r="B23" s="29" t="inlineStr">
        <is>
          <t>TC-Recompute-22</t>
        </is>
      </c>
      <c r="C23" s="28" t="inlineStr">
        <is>
          <t>One Transaction Per Wallet, No Partially-Recomputed State</t>
        </is>
      </c>
      <c r="D23" s="29" t="inlineStr">
        <is>
          <t>High</t>
        </is>
      </c>
      <c r="E23" s="28" t="inlineStr">
        <is>
          <t>A multi-wallet recompute</t>
        </is>
      </c>
      <c r="F23" s="28" t="inlineStr">
        <is>
          <t>1. Observe wallets externally during the run</t>
        </is>
      </c>
      <c r="G23" s="28" t="inlineStr">
        <is>
          <t>Execution is in the Wallet Service with one transaction per wallet; no wallet is externally observable in a partially-recomputed state</t>
        </is>
      </c>
      <c r="H23" s="29" t="inlineStr">
        <is>
          <t>Not Tested</t>
        </is>
      </c>
      <c r="I23" s="29" t="inlineStr">
        <is>
          <t>Architecture</t>
        </is>
      </c>
    </row>
    <row r="24" ht="36" customHeight="1">
      <c r="A24" s="28" t="inlineStr">
        <is>
          <t>Scope</t>
        </is>
      </c>
      <c r="B24" s="29" t="inlineStr">
        <is>
          <t>TC-Recompute-23</t>
        </is>
      </c>
      <c r="C24" s="28" t="inlineStr">
        <is>
          <t>Wallets Outside Scope Stay Transactable</t>
        </is>
      </c>
      <c r="D24" s="29" t="inlineStr">
        <is>
          <t>Medium</t>
        </is>
      </c>
      <c r="E24" s="28" t="inlineStr">
        <is>
          <t>A scoped recompute in progress</t>
        </is>
      </c>
      <c r="F24" s="28" t="inlineStr">
        <is>
          <t>1. Transact on wallets outside the scope throughout the run</t>
        </is>
      </c>
      <c r="G24" s="28" t="inlineStr">
        <is>
          <t>They remain fully transactable with no degradation</t>
        </is>
      </c>
      <c r="H24" s="29" t="inlineStr">
        <is>
          <t>Not Tested</t>
        </is>
      </c>
      <c r="I24" s="29" t="inlineStr">
        <is>
          <t>Architecture</t>
        </is>
      </c>
    </row>
    <row r="25" ht="36" customHeight="1">
      <c r="A25" s="28" t="inlineStr">
        <is>
          <t>Scope</t>
        </is>
      </c>
      <c r="B25" s="29" t="inlineStr">
        <is>
          <t>TC-Recompute-24</t>
        </is>
      </c>
      <c r="C25" s="28" t="inlineStr">
        <is>
          <t>Unknown Wallet in Scope Starts No Partial Run</t>
        </is>
      </c>
      <c r="D25" s="29" t="inlineStr">
        <is>
          <t>Medium</t>
        </is>
      </c>
      <c r="E25" s="28" t="inlineStr">
        <is>
          <t>Recompute endpoint available</t>
        </is>
      </c>
      <c r="F25" s="28" t="inlineStr">
        <is>
          <t>1. Submit a scope naming an unknown wallet</t>
        </is>
      </c>
      <c r="G25" s="28" t="inlineStr">
        <is>
          <t>Rejected with a 400; no partial run is started</t>
        </is>
      </c>
      <c r="H25" s="29" t="inlineStr">
        <is>
          <t>Not Tested</t>
        </is>
      </c>
      <c r="I25" s="29" t="inlineStr">
        <is>
          <t>Negative</t>
        </is>
      </c>
    </row>
    <row r="26" ht="36" customHeight="1">
      <c r="A26" s="28" t="inlineStr">
        <is>
          <t>Authorization</t>
        </is>
      </c>
      <c r="B26" s="29" t="inlineStr">
        <is>
          <t>TC-Recompute-25</t>
        </is>
      </c>
      <c r="C26" s="28" t="inlineStr">
        <is>
          <t>Manual Trigger Restricted to the Finance Lead With a Mandatory Reason</t>
        </is>
      </c>
      <c r="D26" s="29" t="inlineStr">
        <is>
          <t>High</t>
        </is>
      </c>
      <c r="E26" s="28" t="inlineStr">
        <is>
          <t>Users with and without the Finance Lead role</t>
        </is>
      </c>
      <c r="F26" s="28" t="inlineStr">
        <is>
          <t>1. Trigger manually as a Finance Lead without a reason
2. Trigger with a reason
3. Trigger as a non-Finance-Lead</t>
        </is>
      </c>
      <c r="G26" s="28" t="inlineStr">
        <is>
          <t>The reason is mandatory; the Finance Lead succeeds; the other receives 403 and no run is created</t>
        </is>
      </c>
      <c r="H26" s="29" t="inlineStr">
        <is>
          <t>Not Tested</t>
        </is>
      </c>
      <c r="I26" s="29" t="inlineStr">
        <is>
          <t>Security</t>
        </is>
      </c>
    </row>
    <row r="27" ht="36" customHeight="1">
      <c r="A27" s="28" t="inlineStr">
        <is>
          <t>Triggers</t>
        </is>
      </c>
      <c r="B27" s="29" t="inlineStr">
        <is>
          <t>TC-Recompute-26</t>
        </is>
      </c>
      <c r="C27" s="28" t="inlineStr">
        <is>
          <t>Scheduled and API Triggers Run Under a Service Principal</t>
        </is>
      </c>
      <c r="D27" s="29" t="inlineStr">
        <is>
          <t>Medium</t>
        </is>
      </c>
      <c r="E27" s="28" t="inlineStr">
        <is>
          <t>Schedule configured and the reconciliation engine able to call the API</t>
        </is>
      </c>
      <c r="F27" s="28" t="inlineStr">
        <is>
          <t>1. Let the scheduled run fire
2. Have the reconciliation engine invoke a recompute
3. Inspect both run records</t>
        </is>
      </c>
      <c r="G27" s="28" t="inlineStr">
        <is>
          <t>Both run under a service principal recorded as triggered_by</t>
        </is>
      </c>
      <c r="H27" s="29" t="inlineStr">
        <is>
          <t>Not Tested</t>
        </is>
      </c>
      <c r="I27" s="29" t="inlineStr">
        <is>
          <t>Functional</t>
        </is>
      </c>
    </row>
    <row r="28" ht="36" customHeight="1">
      <c r="A28" s="28" t="inlineStr">
        <is>
          <t>Reporting</t>
        </is>
      </c>
      <c r="B28" s="29" t="inlineStr">
        <is>
          <t>TC-Recompute-27</t>
        </is>
      </c>
      <c r="C28" s="28" t="inlineStr">
        <is>
          <t>Recompute Summary Report Generated and Exportable</t>
        </is>
      </c>
      <c r="D28" s="29" t="inlineStr">
        <is>
          <t>Medium</t>
        </is>
      </c>
      <c r="E28" s="28" t="inlineStr">
        <is>
          <t>A completed recompute</t>
        </is>
      </c>
      <c r="F28" s="28" t="inlineStr">
        <is>
          <t>1. Open the summary report and export it as CSV, Excel and PDF</t>
        </is>
      </c>
      <c r="G28" s="28" t="inlineStr">
        <is>
          <t>The report generates and all three export formats succeed, matching the on-screen figures</t>
        </is>
      </c>
      <c r="H28" s="29" t="inlineStr">
        <is>
          <t>Not Tested</t>
        </is>
      </c>
      <c r="I28" s="29" t="inlineStr">
        <is>
          <t>Reporting</t>
        </is>
      </c>
    </row>
    <row r="29" ht="36" customHeight="1">
      <c r="A29" s="28" t="inlineStr">
        <is>
          <t>Error</t>
        </is>
      </c>
      <c r="B29" s="29" t="inlineStr">
        <is>
          <t>TC-Recompute-28</t>
        </is>
      </c>
      <c r="C29" s="28" t="inlineStr">
        <is>
          <t>Ledger Unreachable Performs No Write</t>
        </is>
      </c>
      <c r="D29" s="29" t="inlineStr">
        <is>
          <t>High</t>
        </is>
      </c>
      <c r="E29" s="28" t="inlineStr">
        <is>
          <t>Ledger made unreachable</t>
        </is>
      </c>
      <c r="F29" s="28" t="inlineStr">
        <is>
          <t>1. Trigger a recompute</t>
        </is>
      </c>
      <c r="G29" s="28" t="inlineStr">
        <is>
          <t>Returns 503 and performs no write; no wallet is left partially updated</t>
        </is>
      </c>
      <c r="H29" s="29" t="inlineStr">
        <is>
          <t>Not Tested</t>
        </is>
      </c>
      <c r="I29" s="29" t="inlineStr">
        <is>
          <t>Negative</t>
        </is>
      </c>
    </row>
    <row r="30" ht="36" customHeight="1">
      <c r="A30" s="28" t="inlineStr">
        <is>
          <t>Non-Functional</t>
        </is>
      </c>
      <c r="B30" s="29" t="inlineStr">
        <is>
          <t>TC-Recompute-29</t>
        </is>
      </c>
      <c r="C30" s="28" t="inlineStr">
        <is>
          <t>Latency and Indexed Access</t>
        </is>
      </c>
      <c r="D30" s="29" t="inlineStr">
        <is>
          <t>High</t>
        </is>
      </c>
      <c r="E30" s="28" t="inlineStr">
        <is>
          <t>Production-scale data volume</t>
        </is>
      </c>
      <c r="F30" s="28" t="inlineStr">
        <is>
          <t>1. Recompute a single wallet and time it
2. Recompute the full estate and time it
3. Capture the query plans</t>
        </is>
      </c>
      <c r="G30" s="28" t="inlineStr">
        <is>
          <t>Single wallet completes in under 1 second; the full estate completes inside the maintenance window; indexed range queries only with no full-table scan</t>
        </is>
      </c>
      <c r="H30" s="29" t="inlineStr">
        <is>
          <t>Not Tested</t>
        </is>
      </c>
      <c r="I30" s="29" t="inlineStr">
        <is>
          <t>Performance / NFR</t>
        </is>
      </c>
    </row>
    <row r="31" ht="36" customHeight="1">
      <c r="A31" s="28" t="inlineStr">
        <is>
          <t>Non-Functional</t>
        </is>
      </c>
      <c r="B31" s="29" t="inlineStr">
        <is>
          <t>TC-Recompute-30</t>
        </is>
      </c>
      <c r="C31" s="28" t="inlineStr">
        <is>
          <t>Monetary Precision and Observability</t>
        </is>
      </c>
      <c r="D31" s="29" t="inlineStr">
        <is>
          <t>Medium</t>
        </is>
      </c>
      <c r="E31" s="28" t="inlineStr">
        <is>
          <t>A recompute across several transaction types</t>
        </is>
      </c>
      <c r="F31" s="28" t="inlineStr">
        <is>
          <t>1. Inspect the arithmetic types used and the emitted logs</t>
        </is>
      </c>
      <c r="G31" s="28" t="inlineStr">
        <is>
          <t>The platform monetary type is used throughout with no float, currency SAR; every run emits structured logs carrying the run id</t>
        </is>
      </c>
      <c r="H31" s="29" t="inlineStr">
        <is>
          <t>Not Tested</t>
        </is>
      </c>
      <c r="I31" s="29" t="inlineStr">
        <is>
          <t>Performance / NFR</t>
        </is>
      </c>
    </row>
  </sheetData>
  <autoFilter ref="A1:I31"/>
  <conditionalFormatting sqref="H2:H3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3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Constraint</t>
        </is>
      </c>
      <c r="B2" s="29" t="inlineStr">
        <is>
          <t>TC-Identity-01</t>
        </is>
      </c>
      <c r="C2" s="28" t="inlineStr">
        <is>
          <t>Per-Wallet Identity Enforced as a Database Constraint</t>
        </is>
      </c>
      <c r="D2" s="29" t="inlineStr">
        <is>
          <t>High</t>
        </is>
      </c>
      <c r="E2" s="28" t="inlineStr">
        <is>
          <t>Direct database access available</t>
        </is>
      </c>
      <c r="F2" s="28" t="inlineStr">
        <is>
          <t>1. Attempt to write a wallet row where current does not equal available + reserve_debit, bypassing the application</t>
        </is>
      </c>
      <c r="G2" s="28" t="inlineStr">
        <is>
          <t>The database rejects the write; the identity is enforced by constraint, not by an application check alone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Constraint</t>
        </is>
      </c>
      <c r="B3" s="29" t="inlineStr">
        <is>
          <t>TC-Identity-02</t>
        </is>
      </c>
      <c r="C3" s="28" t="inlineStr">
        <is>
          <t>Constraint Derived From the Shared EMI-602 Definition</t>
        </is>
      </c>
      <c r="D3" s="29" t="inlineStr">
        <is>
          <t>Medium</t>
        </is>
      </c>
      <c r="E3" s="28" t="inlineStr">
        <is>
          <t>Access to the implementation</t>
        </is>
      </c>
      <c r="F3" s="28" t="inlineStr">
        <is>
          <t>1. Inspect where the constraint's definition originates</t>
        </is>
      </c>
      <c r="G3" s="28" t="inlineStr">
        <is>
          <t>It is derived from the single EMI-602 definition and is not restated or re-derived in this story's code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Constraint</t>
        </is>
      </c>
      <c r="B4" s="29" t="inlineStr">
        <is>
          <t>TC-Identity-03</t>
        </is>
      </c>
      <c r="C4" s="28" t="inlineStr">
        <is>
          <t>No Non-Negativity Constraint Exists</t>
        </is>
      </c>
      <c r="D4" s="29" t="inlineStr">
        <is>
          <t>High</t>
        </is>
      </c>
      <c r="E4" s="28" t="inlineStr">
        <is>
          <t>A wallet whose available would go negative with a satisfied identity</t>
        </is>
      </c>
      <c r="F4" s="28" t="inlineStr">
        <is>
          <t>1. Search the schema for a CHECK forbidding a negative available
2. Write a negative available whose identity holds</t>
        </is>
      </c>
      <c r="G4" s="28" t="inlineStr">
        <is>
          <t>No non-negativity constraint exists and the write succeeds. A constraint rejecting negative available would fail against live data, because commission and VAT wallets go temporarily negative during the reserve window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Assertion</t>
        </is>
      </c>
      <c r="B5" s="29" t="inlineStr">
        <is>
          <t>TC-Identity-04</t>
        </is>
      </c>
      <c r="C5" s="28" t="inlineStr">
        <is>
          <t>Identity Asserted After Every Balance Write</t>
        </is>
      </c>
      <c r="D5" s="29" t="inlineStr">
        <is>
          <t>High</t>
        </is>
      </c>
      <c r="E5" s="28" t="inlineStr">
        <is>
          <t>Live transaction traffic</t>
        </is>
      </c>
      <c r="F5" s="28" t="inlineStr">
        <is>
          <t>1. Perform balance writes across several transaction types
2. Trace the assertion</t>
        </is>
      </c>
      <c r="G5" s="28" t="inlineStr">
        <is>
          <t>The identity is asserted after every balance write with no gaps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Assertion</t>
        </is>
      </c>
      <c r="B6" s="29" t="inlineStr">
        <is>
          <t>TC-Identity-05</t>
        </is>
      </c>
      <c r="C6" s="28" t="inlineStr">
        <is>
          <t>Violation Writes a Variance Record and Raises an Alert</t>
        </is>
      </c>
      <c r="D6" s="29" t="inlineStr">
        <is>
          <t>High</t>
        </is>
      </c>
      <c r="E6" s="28" t="inlineStr">
        <is>
          <t>Ability to force an identity violation</t>
        </is>
      </c>
      <c r="F6" s="28" t="inlineStr">
        <is>
          <t>1. Force a violation
2. Inspect the variance store and the alert channel</t>
        </is>
      </c>
      <c r="G6" s="28" t="inlineStr">
        <is>
          <t>A variance record is written and an alert raised; the violation does not silently roll back and disappear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Assertion</t>
        </is>
      </c>
      <c r="B7" s="29" t="inlineStr">
        <is>
          <t>TC-Identity-06</t>
        </is>
      </c>
      <c r="C7" s="28" t="inlineStr">
        <is>
          <t>Attempted State Is Captured for Diagnosis</t>
        </is>
      </c>
      <c r="D7" s="29" t="inlineStr">
        <is>
          <t>Medium</t>
        </is>
      </c>
      <c r="E7" s="28" t="inlineStr">
        <is>
          <t>A forced identity violation</t>
        </is>
      </c>
      <c r="F7" s="28" t="inlineStr">
        <is>
          <t>1. Inspect the variance record</t>
        </is>
      </c>
      <c r="G7" s="28" t="inlineStr">
        <is>
          <t>The attempted state is captured in full, so the violation can be diagnosed without reproducing it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Cross-Wallet</t>
        </is>
      </c>
      <c r="B8" s="29" t="inlineStr">
        <is>
          <t>TC-Identity-07</t>
        </is>
      </c>
      <c r="C8" s="28" t="inlineStr">
        <is>
          <t>Conservation Holds Across All Destination Wallets</t>
        </is>
      </c>
      <c r="D8" s="29" t="inlineStr">
        <is>
          <t>High</t>
        </is>
      </c>
      <c r="E8" s="28" t="inlineStr">
        <is>
          <t>A transaction in an open reserve window with receiver, commission and VAT legs</t>
        </is>
      </c>
      <c r="F8" s="28" t="inlineStr">
        <is>
          <t>1. Run the cross-wallet conservation check
2. Compare the source reserve_debit against the sum of reserve_credit across all destinations</t>
        </is>
      </c>
      <c r="G8" s="28" t="inlineStr">
        <is>
          <t>The source wallet's reserve_debit equals the sum of reserve_credit across the receiver, commission and VAT wallets</t>
        </is>
      </c>
      <c r="H8" s="29" t="inlineStr">
        <is>
          <t>Not Tested</t>
        </is>
      </c>
      <c r="I8" s="29" t="inlineStr">
        <is>
          <t>Functional</t>
        </is>
      </c>
    </row>
    <row r="9" ht="36" customHeight="1">
      <c r="A9" s="28" t="inlineStr">
        <is>
          <t>Cross-Wallet</t>
        </is>
      </c>
      <c r="B9" s="29" t="inlineStr">
        <is>
          <t>TC-Identity-08</t>
        </is>
      </c>
      <c r="C9" s="28" t="inlineStr">
        <is>
          <t>Missing VAT Leg Caught by Conservation but Not by the Per-Wallet Check</t>
        </is>
      </c>
      <c r="D9" s="29" t="inlineStr">
        <is>
          <t>High</t>
        </is>
      </c>
      <c r="E9" s="28" t="inlineStr">
        <is>
          <t>A transaction where the VAT leg was never created, leaving every wallet internally consistent</t>
        </is>
      </c>
      <c r="F9" s="28" t="inlineStr">
        <is>
          <t>1. Run the per-wallet identity check
2. Run the cross-wallet conservation check</t>
        </is>
      </c>
      <c r="G9" s="28" t="inlineStr">
        <is>
          <t>The per-wallet identity passes and the cross-wallet conservation fails with a shortfall. This proves the stronger check earns its place and is the core value of this story</t>
        </is>
      </c>
      <c r="H9" s="29" t="inlineStr">
        <is>
          <t>Not Tested</t>
        </is>
      </c>
      <c r="I9" s="29" t="inlineStr">
        <is>
          <t>Negative</t>
        </is>
      </c>
    </row>
    <row r="10" ht="36" customHeight="1">
      <c r="A10" s="28" t="inlineStr">
        <is>
          <t>Cross-Wallet</t>
        </is>
      </c>
      <c r="B10" s="29" t="inlineStr">
        <is>
          <t>TC-Identity-09</t>
        </is>
      </c>
      <c r="C10" s="28" t="inlineStr">
        <is>
          <t>Shortfall and Surplus Recorded Distinctly</t>
        </is>
      </c>
      <c r="D10" s="29" t="inlineStr">
        <is>
          <t>High</t>
        </is>
      </c>
      <c r="E10" s="28" t="inlineStr">
        <is>
          <t>One transaction with a missing leg and another with a leg applied twice</t>
        </is>
      </c>
      <c r="F10" s="28" t="inlineStr">
        <is>
          <t>1. Run the conservation check over both
2. Inspect how each is classified</t>
        </is>
      </c>
      <c r="G10" s="28" t="inlineStr">
        <is>
          <t>A shortfall is recorded as a missing leg and attributed to EMI-5949; a surplus is recorded as a duplicate application and attributed to EMI-5948. They are never collapsed into a single mismatch figure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Cross-Wallet</t>
        </is>
      </c>
      <c r="B11" s="29" t="inlineStr">
        <is>
          <t>TC-Identity-10</t>
        </is>
      </c>
      <c r="C11" s="28" t="inlineStr">
        <is>
          <t>Conservation Check Runs Even When the Per-Wallet Check Passes</t>
        </is>
      </c>
      <c r="D11" s="29" t="inlineStr">
        <is>
          <t>High</t>
        </is>
      </c>
      <c r="E11" s="28" t="inlineStr">
        <is>
          <t>A set of wallets that all pass the per-wallet identity</t>
        </is>
      </c>
      <c r="F11" s="28" t="inlineStr">
        <is>
          <t>1. Run the validation cycle
2. Confirm the conservation check executed</t>
        </is>
      </c>
      <c r="G11" s="28" t="inlineStr">
        <is>
          <t>The conservation check runs independently and is never skipped because the per-wallet check passed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Cross-Wallet</t>
        </is>
      </c>
      <c r="B12" s="29" t="inlineStr">
        <is>
          <t>TC-Identity-11</t>
        </is>
      </c>
      <c r="C12" s="28" t="inlineStr">
        <is>
          <t>No False Positive When a Transaction Settles Mid-Sweep</t>
        </is>
      </c>
      <c r="D12" s="29" t="inlineStr">
        <is>
          <t>High</t>
        </is>
      </c>
      <c r="E12" s="28" t="inlineStr">
        <is>
          <t>A transaction settling while the sweep is running</t>
        </is>
      </c>
      <c r="F12" s="28" t="inlineStr">
        <is>
          <t>1. Run the sweep across the settlement moment</t>
        </is>
      </c>
      <c r="G12" s="28" t="inlineStr">
        <is>
          <t>No false positive is raised from observing the reserve window partially closed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Sweep</t>
        </is>
      </c>
      <c r="B13" s="29" t="inlineStr">
        <is>
          <t>TC-Identity-12</t>
        </is>
      </c>
      <c r="C13" s="28" t="inlineStr">
        <is>
          <t>Scheduled Sweep Detects Internally-Consistent Wallets That Disagree With the Ledger</t>
        </is>
      </c>
      <c r="D13" s="29" t="inlineStr">
        <is>
          <t>High</t>
        </is>
      </c>
      <c r="E13" s="28" t="inlineStr">
        <is>
          <t>A wallet whose buckets satisfy the identity but disagree with the ledger</t>
        </is>
      </c>
      <c r="F13" s="28" t="inlineStr">
        <is>
          <t>1. Run the per-write assertion
2. Run the scheduled sweep</t>
        </is>
      </c>
      <c r="G13" s="28" t="inlineStr">
        <is>
          <t>The per-write assertion passes and the scheduled sweep detects the divergence; the two checks catch different failures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Sweep</t>
        </is>
      </c>
      <c r="B14" s="29" t="inlineStr">
        <is>
          <t>TC-Identity-13</t>
        </is>
      </c>
      <c r="C14" s="28" t="inlineStr">
        <is>
          <t>Sweep Uses the Same Mapping as Recompute</t>
        </is>
      </c>
      <c r="D14" s="29" t="inlineStr">
        <is>
          <t>Medium</t>
        </is>
      </c>
      <c r="E14" s="28" t="inlineStr">
        <is>
          <t>Access to both implementations</t>
        </is>
      </c>
      <c r="F14" s="28" t="inlineStr">
        <is>
          <t>1. Compare the status x direction mapping used by the sweep and by EMI-5946</t>
        </is>
      </c>
      <c r="G14" s="28" t="inlineStr">
        <is>
          <t>Both consume the same shared EMI-602 mapping; there is no second implementation to drift</t>
        </is>
      </c>
      <c r="H14" s="29" t="inlineStr">
        <is>
          <t>Not Tested</t>
        </is>
      </c>
      <c r="I14" s="29" t="inlineStr">
        <is>
          <t>Functional</t>
        </is>
      </c>
    </row>
    <row r="15" ht="36" customHeight="1">
      <c r="A15" s="28" t="inlineStr">
        <is>
          <t>Sweep</t>
        </is>
      </c>
      <c r="B15" s="29" t="inlineStr">
        <is>
          <t>TC-Identity-14</t>
        </is>
      </c>
      <c r="C15" s="28" t="inlineStr">
        <is>
          <t>Variance Recorded Per Bucket, Not Only in Total</t>
        </is>
      </c>
      <c r="D15" s="29" t="inlineStr">
        <is>
          <t>High</t>
        </is>
      </c>
      <c r="E15" s="28" t="inlineStr">
        <is>
          <t>A wallet with a compensating error across two buckets</t>
        </is>
      </c>
      <c r="F15" s="28" t="inlineStr">
        <is>
          <t>1. Run the sweep
2. Inspect the variance record</t>
        </is>
      </c>
      <c r="G15" s="28" t="inlineStr">
        <is>
          <t>Variance is recorded per bucket; a net-zero total does not mask the offsetting errors</t>
        </is>
      </c>
      <c r="H15" s="29" t="inlineStr">
        <is>
          <t>Not Tested</t>
        </is>
      </c>
      <c r="I15" s="29" t="inlineStr">
        <is>
          <t>Edge / Boundary</t>
        </is>
      </c>
    </row>
    <row r="16" ht="36" customHeight="1">
      <c r="A16" s="28" t="inlineStr">
        <is>
          <t>Sweep</t>
        </is>
      </c>
      <c r="B16" s="29" t="inlineStr">
        <is>
          <t>TC-Identity-15</t>
        </is>
      </c>
      <c r="C16" s="28" t="inlineStr">
        <is>
          <t>Comparison Scope Is Configurable</t>
        </is>
      </c>
      <c r="D16" s="29" t="inlineStr">
        <is>
          <t>Medium</t>
        </is>
      </c>
      <c r="E16" s="28" t="inlineStr">
        <is>
          <t>Sweep configuration accessible</t>
        </is>
      </c>
      <c r="F16" s="28" t="inlineStr">
        <is>
          <t>1. Run over all wallets
2. Run over a wallet set
3. Run over a sampled subset</t>
        </is>
      </c>
      <c r="G16" s="28" t="inlineStr">
        <is>
          <t>All three scopes are supported, so a high-frequency run can sample rather than sweep everything</t>
        </is>
      </c>
      <c r="H16" s="29" t="inlineStr">
        <is>
          <t>Not Tested</t>
        </is>
      </c>
      <c r="I16" s="29" t="inlineStr">
        <is>
          <t>Functional</t>
        </is>
      </c>
    </row>
    <row r="17" ht="36" customHeight="1">
      <c r="A17" s="28" t="inlineStr">
        <is>
          <t>Tie-Out</t>
        </is>
      </c>
      <c r="B17" s="29" t="inlineStr">
        <is>
          <t>TC-Identity-16</t>
        </is>
      </c>
      <c r="C17" s="28" t="inlineStr">
        <is>
          <t>Estate Sum of Current Compared Against Settled Ledger Postings</t>
        </is>
      </c>
      <c r="D17" s="29" t="inlineStr">
        <is>
          <t>High</t>
        </is>
      </c>
      <c r="E17" s="28" t="inlineStr">
        <is>
          <t>A full estate with settled postings</t>
        </is>
      </c>
      <c r="F17" s="28" t="inlineStr">
        <is>
          <t>1. Run the estate tie-out
2. Compare the wallet sum against the ledger sum</t>
        </is>
      </c>
      <c r="G17" s="28" t="inlineStr">
        <is>
          <t>The two agree; the result is tied to the safeguarding account position as required for e-money</t>
        </is>
      </c>
      <c r="H17" s="29" t="inlineStr">
        <is>
          <t>Not Tested</t>
        </is>
      </c>
      <c r="I17" s="29" t="inlineStr">
        <is>
          <t>Functional</t>
        </is>
      </c>
    </row>
    <row r="18" ht="36" customHeight="1">
      <c r="A18" s="28" t="inlineStr">
        <is>
          <t>Tie-Out</t>
        </is>
      </c>
      <c r="B18" s="29" t="inlineStr">
        <is>
          <t>TC-Identity-17</t>
        </is>
      </c>
      <c r="C18" s="28" t="inlineStr">
        <is>
          <t>Reserve Credit Excluded From the Estate Tie-Out</t>
        </is>
      </c>
      <c r="D18" s="29" t="inlineStr">
        <is>
          <t>High</t>
        </is>
      </c>
      <c r="E18" s="28" t="inlineStr">
        <is>
          <t>Wallets holding unsettled reserve_credit</t>
        </is>
      </c>
      <c r="F18" s="28" t="inlineStr">
        <is>
          <t>1. Run the estate tie-out
2. Check whether reserve_credit contributes</t>
        </is>
      </c>
      <c r="G18" s="28" t="inlineStr">
        <is>
          <t>reserve_credit is excluded, consistent with the identity; including it would overstate issued e-money by the value of unsettled incoming payments</t>
        </is>
      </c>
      <c r="H18" s="29" t="inlineStr">
        <is>
          <t>Not Tested</t>
        </is>
      </c>
      <c r="I18" s="29" t="inlineStr">
        <is>
          <t>Functional</t>
        </is>
      </c>
    </row>
    <row r="19" ht="36" customHeight="1">
      <c r="A19" s="28" t="inlineStr">
        <is>
          <t>Tie-Out</t>
        </is>
      </c>
      <c r="B19" s="29" t="inlineStr">
        <is>
          <t>TC-Identity-18</t>
        </is>
      </c>
      <c r="C19" s="28" t="inlineStr">
        <is>
          <t>Failed Tie-Out Is Reported to Compliance With the Delta</t>
        </is>
      </c>
      <c r="D19" s="29" t="inlineStr">
        <is>
          <t>High</t>
        </is>
      </c>
      <c r="E19" s="28" t="inlineStr">
        <is>
          <t>An estate where the wallet sum does not equal the ledger sum</t>
        </is>
      </c>
      <c r="F19" s="28" t="inlineStr">
        <is>
          <t>1. Run the tie-out</t>
        </is>
      </c>
      <c r="G19" s="28" t="inlineStr">
        <is>
          <t>The tie-out fails and is reported to Compliance with the delta; the result is retained per run</t>
        </is>
      </c>
      <c r="H19" s="29" t="inlineStr">
        <is>
          <t>Not Tested</t>
        </is>
      </c>
      <c r="I19" s="29" t="inlineStr">
        <is>
          <t>Negative</t>
        </is>
      </c>
    </row>
    <row r="20" ht="36" customHeight="1">
      <c r="A20" s="28" t="inlineStr">
        <is>
          <t>Response</t>
        </is>
      </c>
      <c r="B20" s="29" t="inlineStr">
        <is>
          <t>TC-Identity-19</t>
        </is>
      </c>
      <c r="C20" s="28" t="inlineStr">
        <is>
          <t>Affected Wallet Is Quarantined Individually</t>
        </is>
      </c>
      <c r="D20" s="29" t="inlineStr">
        <is>
          <t>High</t>
        </is>
      </c>
      <c r="E20" s="28" t="inlineStr">
        <is>
          <t>Variance detected on one wallet</t>
        </is>
      </c>
      <c r="F20" s="28" t="inlineStr">
        <is>
          <t>1. Trigger the detection
2. Attempt to transact on that wallet and on others</t>
        </is>
      </c>
      <c r="G20" s="28" t="inlineStr">
        <is>
          <t>Only the affected wallet is quarantined; every other wallet stays fully transactable. No platform-wide freeze path exists</t>
        </is>
      </c>
      <c r="H20" s="29" t="inlineStr">
        <is>
          <t>Not Tested</t>
        </is>
      </c>
      <c r="I20" s="29" t="inlineStr">
        <is>
          <t>Functional</t>
        </is>
      </c>
    </row>
    <row r="21" ht="36" customHeight="1">
      <c r="A21" s="28" t="inlineStr">
        <is>
          <t>Response</t>
        </is>
      </c>
      <c r="B21" s="29" t="inlineStr">
        <is>
          <t>TC-Identity-20</t>
        </is>
      </c>
      <c r="C21" s="28" t="inlineStr">
        <is>
          <t>Recompute Invoked for the Affected Scope Only</t>
        </is>
      </c>
      <c r="D21" s="29" t="inlineStr">
        <is>
          <t>High</t>
        </is>
      </c>
      <c r="E21" s="28" t="inlineStr">
        <is>
          <t>Variance detected on one wallet</t>
        </is>
      </c>
      <c r="F21" s="28" t="inlineStr">
        <is>
          <t>1. Observe what is invoked and over what scope</t>
        </is>
      </c>
      <c r="G21" s="28" t="inlineStr">
        <is>
          <t>EMI-5946 recompute is invoked automatically for the affected scope only, not for the estate</t>
        </is>
      </c>
      <c r="H21" s="29" t="inlineStr">
        <is>
          <t>Not Tested</t>
        </is>
      </c>
      <c r="I21" s="29" t="inlineStr">
        <is>
          <t>Functional</t>
        </is>
      </c>
    </row>
    <row r="22" ht="36" customHeight="1">
      <c r="A22" s="28" t="inlineStr">
        <is>
          <t>Response</t>
        </is>
      </c>
      <c r="B22" s="29" t="inlineStr">
        <is>
          <t>TC-Identity-21</t>
        </is>
      </c>
      <c r="C22" s="28" t="inlineStr">
        <is>
          <t>Statement Rebuild Is Flagged but Never Auto-Invoked</t>
        </is>
      </c>
      <c r="D22" s="29" t="inlineStr">
        <is>
          <t>High</t>
        </is>
      </c>
      <c r="E22" s="28" t="inlineStr">
        <is>
          <t>Variance where the statement rows are also inconsistent</t>
        </is>
      </c>
      <c r="F22" s="28" t="inlineStr">
        <is>
          <t>1. Trigger the detection
2. Observe whether EMI-5945 runs</t>
        </is>
      </c>
      <c r="G22" s="28" t="inlineStr">
        <is>
          <t>EMI-5945 is flagged as required but is never invoked automatically</t>
        </is>
      </c>
      <c r="H22" s="29" t="inlineStr">
        <is>
          <t>Not Tested</t>
        </is>
      </c>
      <c r="I22" s="29" t="inlineStr">
        <is>
          <t>Functional</t>
        </is>
      </c>
    </row>
    <row r="23" ht="36" customHeight="1">
      <c r="A23" s="28" t="inlineStr">
        <is>
          <t>Response</t>
        </is>
      </c>
      <c r="B23" s="29" t="inlineStr">
        <is>
          <t>TC-Identity-22</t>
        </is>
      </c>
      <c r="C23" s="28" t="inlineStr">
        <is>
          <t>Every Detection, Quarantine and Repair Carries a Run Id</t>
        </is>
      </c>
      <c r="D23" s="29" t="inlineStr">
        <is>
          <t>Medium</t>
        </is>
      </c>
      <c r="E23" s="28" t="inlineStr">
        <is>
          <t>A detection cycle that quarantines and repairs</t>
        </is>
      </c>
      <c r="F23" s="28" t="inlineStr">
        <is>
          <t>1. Inspect the records for each step</t>
        </is>
      </c>
      <c r="G23" s="28" t="inlineStr">
        <is>
          <t>Each is recorded with a run id so the whole response is traceable end to end</t>
        </is>
      </c>
      <c r="H23" s="29" t="inlineStr">
        <is>
          <t>Not Tested</t>
        </is>
      </c>
      <c r="I23" s="29" t="inlineStr">
        <is>
          <t>Integration</t>
        </is>
      </c>
    </row>
    <row r="24" ht="36" customHeight="1">
      <c r="A24" s="28" t="inlineStr">
        <is>
          <t>Negative</t>
        </is>
      </c>
      <c r="B24" s="29" t="inlineStr">
        <is>
          <t>TC-Identity-23</t>
        </is>
      </c>
      <c r="C24" s="28" t="inlineStr">
        <is>
          <t>Negative Available With a Satisfied Identity Passes the Constraint</t>
        </is>
      </c>
      <c r="D24" s="29" t="inlineStr">
        <is>
          <t>High</t>
        </is>
      </c>
      <c r="E24" s="28" t="inlineStr">
        <is>
          <t>A commission wallet driven negative during a reserve window while the identity still holds</t>
        </is>
      </c>
      <c r="F24" s="28" t="inlineStr">
        <is>
          <t>1. Perform the write
2. Inspect the constraint outcome, the variance record and the alert</t>
        </is>
      </c>
      <c r="G24" s="28" t="inlineStr">
        <is>
          <t>The constraint passes and the write is not rejected; a variance record is raised and alerted. This is the case the Q5 decision deliberately creates and it must be covered, not discovered in production</t>
        </is>
      </c>
      <c r="H24" s="29" t="inlineStr">
        <is>
          <t>Not Tested</t>
        </is>
      </c>
      <c r="I24" s="29" t="inlineStr">
        <is>
          <t>Negative</t>
        </is>
      </c>
    </row>
    <row r="25" ht="36" customHeight="1">
      <c r="A25" s="28" t="inlineStr">
        <is>
          <t>Negative</t>
        </is>
      </c>
      <c r="B25" s="29" t="inlineStr">
        <is>
          <t>TC-Identity-24</t>
        </is>
      </c>
      <c r="C25" s="28" t="inlineStr">
        <is>
          <t>Negative-Balance Occurrences Trended Separately</t>
        </is>
      </c>
      <c r="D25" s="29" t="inlineStr">
        <is>
          <t>Medium</t>
        </is>
      </c>
      <c r="E25" s="28" t="inlineStr">
        <is>
          <t>A reporting period containing negative-balance occurrences and other variance</t>
        </is>
      </c>
      <c r="F25" s="28" t="inlineStr">
        <is>
          <t>1. Open the variance trend view</t>
        </is>
      </c>
      <c r="G25" s="28" t="inlineStr">
        <is>
          <t>Negative-balance occurrences are trended separately from other variance, so the scale of the Q5 carve-out is measurable and the case for fixing leg ordering can be made with data</t>
        </is>
      </c>
      <c r="H25" s="29" t="inlineStr">
        <is>
          <t>Not Tested</t>
        </is>
      </c>
      <c r="I25" s="29" t="inlineStr">
        <is>
          <t>Negative</t>
        </is>
      </c>
    </row>
    <row r="26" ht="36" customHeight="1">
      <c r="A26" s="28" t="inlineStr">
        <is>
          <t>Alerting</t>
        </is>
      </c>
      <c r="B26" s="29" t="inlineStr">
        <is>
          <t>TC-Identity-25</t>
        </is>
      </c>
      <c r="C26" s="28" t="inlineStr">
        <is>
          <t>Systemic Failure Produces One Aggregated Alert</t>
        </is>
      </c>
      <c r="D26" s="29" t="inlineStr">
        <is>
          <t>High</t>
        </is>
      </c>
      <c r="E26" s="28" t="inlineStr">
        <is>
          <t>A simulated systemic failure affecting many wallets</t>
        </is>
      </c>
      <c r="F26" s="28" t="inlineStr">
        <is>
          <t>1. Trigger the failure
2. Count the alerts raised</t>
        </is>
      </c>
      <c r="G26" s="28" t="inlineStr">
        <is>
          <t>One alert fires with aggregated detail rather than one alert per wallet</t>
        </is>
      </c>
      <c r="H26" s="29" t="inlineStr">
        <is>
          <t>Not Tested</t>
        </is>
      </c>
      <c r="I26" s="29" t="inlineStr">
        <is>
          <t>Negative</t>
        </is>
      </c>
    </row>
    <row r="27" ht="36" customHeight="1">
      <c r="A27" s="28" t="inlineStr">
        <is>
          <t>Alerting</t>
        </is>
      </c>
      <c r="B27" s="29" t="inlineStr">
        <is>
          <t>TC-Identity-26</t>
        </is>
      </c>
      <c r="C27" s="28" t="inlineStr">
        <is>
          <t>Alert Thresholds Configurable by Count and by Value</t>
        </is>
      </c>
      <c r="D27" s="29" t="inlineStr">
        <is>
          <t>Medium</t>
        </is>
      </c>
      <c r="E27" s="28" t="inlineStr">
        <is>
          <t>Threshold configuration accessible</t>
        </is>
      </c>
      <c r="F27" s="28" t="inlineStr">
        <is>
          <t>1. Configure a count threshold and a SAR value threshold
2. Cross each in turn</t>
        </is>
      </c>
      <c r="G27" s="28" t="inlineStr">
        <is>
          <t>Both threshold types fire correctly and independently</t>
        </is>
      </c>
      <c r="H27" s="29" t="inlineStr">
        <is>
          <t>Not Tested</t>
        </is>
      </c>
      <c r="I27" s="29" t="inlineStr">
        <is>
          <t>Observability</t>
        </is>
      </c>
    </row>
    <row r="28" ht="36" customHeight="1">
      <c r="A28" s="28" t="inlineStr">
        <is>
          <t>Reporting</t>
        </is>
      </c>
      <c r="B28" s="29" t="inlineStr">
        <is>
          <t>TC-Identity-27</t>
        </is>
      </c>
      <c r="C28" s="28" t="inlineStr">
        <is>
          <t>Variance History Retained and Trended</t>
        </is>
      </c>
      <c r="D28" s="29" t="inlineStr">
        <is>
          <t>High</t>
        </is>
      </c>
      <c r="E28" s="28" t="inlineStr">
        <is>
          <t>A period of accumulated variance</t>
        </is>
      </c>
      <c r="F28" s="28" t="inlineStr">
        <is>
          <t>1. Open the variance history and the trend view</t>
        </is>
      </c>
      <c r="G28" s="28" t="inlineStr">
        <is>
          <t>History is retained and reportable as the audit evidence EMI-5944 requires; the trend shows variance count and total absolute value over time so a worsening pipeline is visible before it becomes an incident</t>
        </is>
      </c>
      <c r="H28" s="29" t="inlineStr">
        <is>
          <t>Not Tested</t>
        </is>
      </c>
      <c r="I28" s="29" t="inlineStr">
        <is>
          <t>Reporting</t>
        </is>
      </c>
    </row>
    <row r="29" ht="36" customHeight="1">
      <c r="A29" s="28" t="inlineStr">
        <is>
          <t>Non-Functional</t>
        </is>
      </c>
      <c r="B29" s="29" t="inlineStr">
        <is>
          <t>TC-Identity-28</t>
        </is>
      </c>
      <c r="C29" s="28" t="inlineStr">
        <is>
          <t>Per-Write Assertion Adds No Material Latency</t>
        </is>
      </c>
      <c r="D29" s="29" t="inlineStr">
        <is>
          <t>High</t>
        </is>
      </c>
      <c r="E29" s="28" t="inlineStr">
        <is>
          <t>Live transaction load</t>
        </is>
      </c>
      <c r="F29" s="28" t="inlineStr">
        <is>
          <t>1. Measure transaction latency with the assertion enabled and disabled</t>
        </is>
      </c>
      <c r="G29" s="28" t="inlineStr">
        <is>
          <t>The assertion adds no material latency; it is a constraint check, not a query</t>
        </is>
      </c>
      <c r="H29" s="29" t="inlineStr">
        <is>
          <t>Not Tested</t>
        </is>
      </c>
      <c r="I29" s="29" t="inlineStr">
        <is>
          <t>Performance / NFR</t>
        </is>
      </c>
    </row>
    <row r="30" ht="36" customHeight="1">
      <c r="A30" s="28" t="inlineStr">
        <is>
          <t>Non-Functional</t>
        </is>
      </c>
      <c r="B30" s="29" t="inlineStr">
        <is>
          <t>TC-Identity-29</t>
        </is>
      </c>
      <c r="C30" s="28" t="inlineStr">
        <is>
          <t>Sweep Uses Indexed Aggregates and Is Resumable</t>
        </is>
      </c>
      <c r="D30" s="29" t="inlineStr">
        <is>
          <t>High</t>
        </is>
      </c>
      <c r="E30" s="28" t="inlineStr">
        <is>
          <t>Production-scale data volume</t>
        </is>
      </c>
      <c r="F30" s="28" t="inlineStr">
        <is>
          <t>1. Run the sweep and capture query plans
2. Interrupt and resume it</t>
        </is>
      </c>
      <c r="G30" s="28" t="inlineStr">
        <is>
          <t>Indexed aggregates only with no full-table scan; the sweep is resumable and holds no long transactions</t>
        </is>
      </c>
      <c r="H30" s="29" t="inlineStr">
        <is>
          <t>Not Tested</t>
        </is>
      </c>
      <c r="I30" s="29" t="inlineStr">
        <is>
          <t>Performance / NFR</t>
        </is>
      </c>
    </row>
    <row r="31" ht="36" customHeight="1">
      <c r="A31" s="28" t="inlineStr">
        <is>
          <t>Non-Functional</t>
        </is>
      </c>
      <c r="B31" s="29" t="inlineStr">
        <is>
          <t>TC-Identity-30</t>
        </is>
      </c>
      <c r="C31" s="28" t="inlineStr">
        <is>
          <t>Variance Records Are Immutable</t>
        </is>
      </c>
      <c r="D31" s="29" t="inlineStr">
        <is>
          <t>Medium</t>
        </is>
      </c>
      <c r="E31" s="28" t="inlineStr">
        <is>
          <t>Variance records present</t>
        </is>
      </c>
      <c r="F31" s="28" t="inlineStr">
        <is>
          <t>1. Attempt to update or delete a variance record</t>
        </is>
      </c>
      <c r="G31" s="28" t="inlineStr">
        <is>
          <t>Both are rejected; records are immutable and retained per the platform audit retention policy</t>
        </is>
      </c>
      <c r="H31" s="29" t="inlineStr">
        <is>
          <t>Not Tested</t>
        </is>
      </c>
      <c r="I31" s="29" t="inlineStr">
        <is>
          <t>Negative</t>
        </is>
      </c>
    </row>
  </sheetData>
  <autoFilter ref="A1:I31"/>
  <conditionalFormatting sqref="H2:H3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3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Detection</t>
        </is>
      </c>
      <c r="B2" s="29" t="inlineStr">
        <is>
          <t>TC-Stuck-01</t>
        </is>
      </c>
      <c r="C2" s="28" t="inlineStr">
        <is>
          <t>Reserve Released Within Threshold Is Never Flagged</t>
        </is>
      </c>
      <c r="D2" s="29" t="inlineStr">
        <is>
          <t>High</t>
        </is>
      </c>
      <c r="E2" s="28" t="inlineStr">
        <is>
          <t>A reserve taken and released normally inside its configured threshold</t>
        </is>
      </c>
      <c r="F2" s="28" t="inlineStr">
        <is>
          <t>1. Run the detection job</t>
        </is>
      </c>
      <c r="G2" s="28" t="inlineStr">
        <is>
          <t>The reserve is not flagged; normal activity produces no noise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Detection</t>
        </is>
      </c>
      <c r="B3" s="29" t="inlineStr">
        <is>
          <t>TC-Stuck-02</t>
        </is>
      </c>
      <c r="C3" s="28" t="inlineStr">
        <is>
          <t>Reserve With No Releasing Event Past Threshold Is Flagged</t>
        </is>
      </c>
      <c r="D3" s="29" t="inlineStr">
        <is>
          <t>High</t>
        </is>
      </c>
      <c r="E3" s="28" t="inlineStr">
        <is>
          <t>A reserve_debit with no releasing ledger event, aged past its threshold</t>
        </is>
      </c>
      <c r="F3" s="28" t="inlineStr">
        <is>
          <t>1. Run the detection job
2. Inspect the flagged item</t>
        </is>
      </c>
      <c r="G3" s="28" t="inlineStr">
        <is>
          <t>The reserve is flagged with the correct age and amount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Detection</t>
        </is>
      </c>
      <c r="B4" s="29" t="inlineStr">
        <is>
          <t>TC-Stuck-03</t>
        </is>
      </c>
      <c r="C4" s="28" t="inlineStr">
        <is>
          <t>Reserve Credit With No Releasing Event Is Flagged</t>
        </is>
      </c>
      <c r="D4" s="29" t="inlineStr">
        <is>
          <t>High</t>
        </is>
      </c>
      <c r="E4" s="28" t="inlineStr">
        <is>
          <t>A reserve_credit with no releasing ledger event past threshold</t>
        </is>
      </c>
      <c r="F4" s="28" t="inlineStr">
        <is>
          <t>1. Run the detection job</t>
        </is>
      </c>
      <c r="G4" s="28" t="inlineStr">
        <is>
          <t>The flagged set covers reserve_credit as well as reserve_debit; both bucket types are detected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Detection</t>
        </is>
      </c>
      <c r="B5" s="29" t="inlineStr">
        <is>
          <t>TC-Stuck-04</t>
        </is>
      </c>
      <c r="C5" s="28" t="inlineStr">
        <is>
          <t>Type-Specific Threshold Overrides the Global Default</t>
        </is>
      </c>
      <c r="D5" s="29" t="inlineStr">
        <is>
          <t>High</t>
        </is>
      </c>
      <c r="E5" s="28" t="inlineStr">
        <is>
          <t>A reserve exceeding its transaction-type threshold but under the global default</t>
        </is>
      </c>
      <c r="F5" s="28" t="inlineStr">
        <is>
          <t>1. Run the detection job</t>
        </is>
      </c>
      <c r="G5" s="28" t="inlineStr">
        <is>
          <t>It is flagged per the type-specific rule; a card authorisation and an EOD bank settlement have legitimately different lifetimes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Detection</t>
        </is>
      </c>
      <c r="B6" s="29" t="inlineStr">
        <is>
          <t>TC-Stuck-05</t>
        </is>
      </c>
      <c r="C6" s="28" t="inlineStr">
        <is>
          <t>Documented Defaults Exist Per Transaction Type</t>
        </is>
      </c>
      <c r="D6" s="29" t="inlineStr">
        <is>
          <t>Medium</t>
        </is>
      </c>
      <c r="E6" s="28" t="inlineStr">
        <is>
          <t>Threshold configuration accessible</t>
        </is>
      </c>
      <c r="F6" s="28" t="inlineStr">
        <is>
          <t>1. Inspect the configured thresholds and their documentation</t>
        </is>
      </c>
      <c r="G6" s="28" t="inlineStr">
        <is>
          <t>A default is defined and documented for every transaction type; none is implicit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Detection</t>
        </is>
      </c>
      <c r="B7" s="29" t="inlineStr">
        <is>
          <t>TC-Stuck-06</t>
        </is>
      </c>
      <c r="C7" s="28" t="inlineStr">
        <is>
          <t>Failed EOD Bank Statement Leaves Reserve Debit Unreturned</t>
        </is>
      </c>
      <c r="D7" s="29" t="inlineStr">
        <is>
          <t>High</t>
        </is>
      </c>
      <c r="E7" s="28" t="inlineStr">
        <is>
          <t>The EMI-5771 scenario: a failed EOD bank statement where reserve_debit was never returned to available</t>
        </is>
      </c>
      <c r="F7" s="28" t="inlineStr">
        <is>
          <t>1. Reproduce the scenario
2. Run the detection job</t>
        </is>
      </c>
      <c r="G7" s="28" t="inlineStr">
        <is>
          <t>The stuck reserve is flagged. This is the regression guard for the most frequent balance failure signature in the project history</t>
        </is>
      </c>
      <c r="H7" s="29" t="inlineStr">
        <is>
          <t>Not Tested</t>
        </is>
      </c>
      <c r="I7" s="29" t="inlineStr">
        <is>
          <t>Negative</t>
        </is>
      </c>
    </row>
    <row r="8" ht="36" customHeight="1">
      <c r="A8" s="28" t="inlineStr">
        <is>
          <t>Detection</t>
        </is>
      </c>
      <c r="B8" s="29" t="inlineStr">
        <is>
          <t>TC-Stuck-07</t>
        </is>
      </c>
      <c r="C8" s="28" t="inlineStr">
        <is>
          <t>Detection Runs on a Configurable Schedule</t>
        </is>
      </c>
      <c r="D8" s="29" t="inlineStr">
        <is>
          <t>Medium</t>
        </is>
      </c>
      <c r="E8" s="28" t="inlineStr">
        <is>
          <t>Schedule configuration accessible</t>
        </is>
      </c>
      <c r="F8" s="28" t="inlineStr">
        <is>
          <t>1. Change the detection frequency
2. Observe the runs</t>
        </is>
      </c>
      <c r="G8" s="28" t="inlineStr">
        <is>
          <t>The job runs at the configured frequency and the change takes effect without a release</t>
        </is>
      </c>
      <c r="H8" s="29" t="inlineStr">
        <is>
          <t>Not Tested</t>
        </is>
      </c>
      <c r="I8" s="29" t="inlineStr">
        <is>
          <t>Functional</t>
        </is>
      </c>
    </row>
    <row r="9" ht="36" customHeight="1">
      <c r="A9" s="28" t="inlineStr">
        <is>
          <t>Presentation</t>
        </is>
      </c>
      <c r="B9" s="29" t="inlineStr">
        <is>
          <t>TC-Stuck-08</t>
        </is>
      </c>
      <c r="C9" s="28" t="inlineStr">
        <is>
          <t>Operations View Shows the Full Context Per Flagged Reserve</t>
        </is>
      </c>
      <c r="D9" s="29" t="inlineStr">
        <is>
          <t>High</t>
        </is>
      </c>
      <c r="E9" s="28" t="inlineStr">
        <is>
          <t>Flagged reserves present</t>
        </is>
      </c>
      <c r="F9" s="28" t="inlineStr">
        <is>
          <t>1. Open the operations view</t>
        </is>
      </c>
      <c r="G9" s="28" t="inlineStr">
        <is>
          <t>Each row shows wallet, customer reference, transaction id, transaction type, amount, age and the originating ledger entry</t>
        </is>
      </c>
      <c r="H9" s="29" t="inlineStr">
        <is>
          <t>Not Tested</t>
        </is>
      </c>
      <c r="I9" s="29" t="inlineStr">
        <is>
          <t>Usability</t>
        </is>
      </c>
    </row>
    <row r="10" ht="36" customHeight="1">
      <c r="A10" s="28" t="inlineStr">
        <is>
          <t>Presentation</t>
        </is>
      </c>
      <c r="B10" s="29" t="inlineStr">
        <is>
          <t>TC-Stuck-09</t>
        </is>
      </c>
      <c r="C10" s="28" t="inlineStr">
        <is>
          <t>Ageing Buckets With Counts and SAR Totals</t>
        </is>
      </c>
      <c r="D10" s="29" t="inlineStr">
        <is>
          <t>Medium</t>
        </is>
      </c>
      <c r="E10" s="28" t="inlineStr">
        <is>
          <t>Flagged reserves of varying ages</t>
        </is>
      </c>
      <c r="F10" s="28" t="inlineStr">
        <is>
          <t>1. Open the operations view</t>
        </is>
      </c>
      <c r="G10" s="28" t="inlineStr">
        <is>
          <t>Reserves are grouped into ageing buckets such as over 1 hour, over 24 hours and over 7 days, each with a count and a total value in SAR</t>
        </is>
      </c>
      <c r="H10" s="29" t="inlineStr">
        <is>
          <t>Not Tested</t>
        </is>
      </c>
      <c r="I10" s="29" t="inlineStr">
        <is>
          <t>Usability</t>
        </is>
      </c>
    </row>
    <row r="11" ht="36" customHeight="1">
      <c r="A11" s="28" t="inlineStr">
        <is>
          <t>Presentation</t>
        </is>
      </c>
      <c r="B11" s="29" t="inlineStr">
        <is>
          <t>TC-Stuck-10</t>
        </is>
      </c>
      <c r="C11" s="28" t="inlineStr">
        <is>
          <t>Sortable by Age and by Amount</t>
        </is>
      </c>
      <c r="D11" s="29" t="inlineStr">
        <is>
          <t>Medium</t>
        </is>
      </c>
      <c r="E11" s="28" t="inlineStr">
        <is>
          <t>A populated flagged list</t>
        </is>
      </c>
      <c r="F11" s="28" t="inlineStr">
        <is>
          <t>1. Sort by age
2. Sort by amount</t>
        </is>
      </c>
      <c r="G11" s="28" t="inlineStr">
        <is>
          <t>Both sorts work so the oldest and largest exposures surface first</t>
        </is>
      </c>
      <c r="H11" s="29" t="inlineStr">
        <is>
          <t>Not Tested</t>
        </is>
      </c>
      <c r="I11" s="29" t="inlineStr">
        <is>
          <t>Usability</t>
        </is>
      </c>
    </row>
    <row r="12" ht="36" customHeight="1">
      <c r="A12" s="28" t="inlineStr">
        <is>
          <t>Presentation</t>
        </is>
      </c>
      <c r="B12" s="29" t="inlineStr">
        <is>
          <t>TC-Stuck-11</t>
        </is>
      </c>
      <c r="C12" s="28" t="inlineStr">
        <is>
          <t>Row Links Through to the Ledger Entry and the Recompute Action</t>
        </is>
      </c>
      <c r="D12" s="29" t="inlineStr">
        <is>
          <t>Medium</t>
        </is>
      </c>
      <c r="E12" s="28" t="inlineStr">
        <is>
          <t>A flagged reserve</t>
        </is>
      </c>
      <c r="F12" s="28" t="inlineStr">
        <is>
          <t>1. Open the row and follow both links</t>
        </is>
      </c>
      <c r="G12" s="28" t="inlineStr">
        <is>
          <t>The row links through to the originating ledger entry and to the EMI-5946 recompute action for that wallet</t>
        </is>
      </c>
      <c r="H12" s="29" t="inlineStr">
        <is>
          <t>Not Tested</t>
        </is>
      </c>
      <c r="I12" s="29" t="inlineStr">
        <is>
          <t>Usability</t>
        </is>
      </c>
    </row>
    <row r="13" ht="36" customHeight="1">
      <c r="A13" s="28" t="inlineStr">
        <is>
          <t>Alerting</t>
        </is>
      </c>
      <c r="B13" s="29" t="inlineStr">
        <is>
          <t>TC-Stuck-12</t>
        </is>
      </c>
      <c r="C13" s="28" t="inlineStr">
        <is>
          <t>Threshold Crossing Raises an Alert</t>
        </is>
      </c>
      <c r="D13" s="29" t="inlineStr">
        <is>
          <t>Medium</t>
        </is>
      </c>
      <c r="E13" s="28" t="inlineStr">
        <is>
          <t>Configurable thresholds on flagged count and total value</t>
        </is>
      </c>
      <c r="F13" s="28" t="inlineStr">
        <is>
          <t>1. Cross the count threshold
2. Cross the value threshold</t>
        </is>
      </c>
      <c r="G13" s="28" t="inlineStr">
        <is>
          <t>An alert fires on each, carrying the total exposure in SAR and the dominant transaction type so the cause is visible without opening the console</t>
        </is>
      </c>
      <c r="H13" s="29" t="inlineStr">
        <is>
          <t>Not Tested</t>
        </is>
      </c>
      <c r="I13" s="29" t="inlineStr">
        <is>
          <t>Observability</t>
        </is>
      </c>
    </row>
    <row r="14" ht="36" customHeight="1">
      <c r="A14" s="28" t="inlineStr">
        <is>
          <t>Alerting</t>
        </is>
      </c>
      <c r="B14" s="29" t="inlineStr">
        <is>
          <t>TC-Stuck-13</t>
        </is>
      </c>
      <c r="C14" s="28" t="inlineStr">
        <is>
          <t>Systemic Release Failure Produces One Aggregated Alert</t>
        </is>
      </c>
      <c r="D14" s="29" t="inlineStr">
        <is>
          <t>High</t>
        </is>
      </c>
      <c r="E14" s="28" t="inlineStr">
        <is>
          <t>Many reserves stuck simultaneously by a single failing flow</t>
        </is>
      </c>
      <c r="F14" s="28" t="inlineStr">
        <is>
          <t>1. Trigger the systemic failure
2. Count the alerts</t>
        </is>
      </c>
      <c r="G14" s="28" t="inlineStr">
        <is>
          <t>One aggregated alert is raised, not one per wallet</t>
        </is>
      </c>
      <c r="H14" s="29" t="inlineStr">
        <is>
          <t>Not Tested</t>
        </is>
      </c>
      <c r="I14" s="29" t="inlineStr">
        <is>
          <t>Negative</t>
        </is>
      </c>
    </row>
    <row r="15" ht="36" customHeight="1">
      <c r="A15" s="28" t="inlineStr">
        <is>
          <t>Resolution</t>
        </is>
      </c>
      <c r="B15" s="29" t="inlineStr">
        <is>
          <t>TC-Stuck-14</t>
        </is>
      </c>
      <c r="C15" s="28" t="inlineStr">
        <is>
          <t>Operator Can Trace a Flagged Reserve to the Absent Releasing Event</t>
        </is>
      </c>
      <c r="D15" s="29" t="inlineStr">
        <is>
          <t>High</t>
        </is>
      </c>
      <c r="E15" s="28" t="inlineStr">
        <is>
          <t>A flagged reserve</t>
        </is>
      </c>
      <c r="F15" s="28" t="inlineStr">
        <is>
          <t>1. Open the item and follow the trace</t>
        </is>
      </c>
      <c r="G15" s="28" t="inlineStr">
        <is>
          <t>Both the ledger entry that created the reserve and the absence of its releasing event are traceable from the item</t>
        </is>
      </c>
      <c r="H15" s="29" t="inlineStr">
        <is>
          <t>Not Tested</t>
        </is>
      </c>
      <c r="I15" s="29" t="inlineStr">
        <is>
          <t>Integration</t>
        </is>
      </c>
    </row>
    <row r="16" ht="36" customHeight="1">
      <c r="A16" s="28" t="inlineStr">
        <is>
          <t>Resolution</t>
        </is>
      </c>
      <c r="B16" s="29" t="inlineStr">
        <is>
          <t>TC-Stuck-15</t>
        </is>
      </c>
      <c r="C16" s="28" t="inlineStr">
        <is>
          <t>Release Uses the Existing Correction Path Only</t>
        </is>
      </c>
      <c r="D16" s="29" t="inlineStr">
        <is>
          <t>High</t>
        </is>
      </c>
      <c r="E16" s="28" t="inlineStr">
        <is>
          <t>A flagged reserve requiring release</t>
        </is>
      </c>
      <c r="F16" s="28" t="inlineStr">
        <is>
          <t>1. Inspect every action available from this surface</t>
        </is>
      </c>
      <c r="G16" s="28" t="inlineStr">
        <is>
          <t>This story detects and reports only; no new way to move money exists here. Release is performed through the existing correction path</t>
        </is>
      </c>
      <c r="H16" s="29" t="inlineStr">
        <is>
          <t>Not Tested</t>
        </is>
      </c>
      <c r="I16" s="29" t="inlineStr">
        <is>
          <t>Functional</t>
        </is>
      </c>
    </row>
    <row r="17" ht="36" customHeight="1">
      <c r="A17" s="28" t="inlineStr">
        <is>
          <t>Resolution</t>
        </is>
      </c>
      <c r="B17" s="29" t="inlineStr">
        <is>
          <t>TC-Stuck-16</t>
        </is>
      </c>
      <c r="C17" s="28" t="inlineStr">
        <is>
          <t>Resolved Item Records Its Resolution</t>
        </is>
      </c>
      <c r="D17" s="29" t="inlineStr">
        <is>
          <t>Medium</t>
        </is>
      </c>
      <c r="E17" s="28" t="inlineStr">
        <is>
          <t>A flagged reserve that is subsequently released</t>
        </is>
      </c>
      <c r="F17" s="28" t="inlineStr">
        <is>
          <t>1. Release the reserve
2. Inspect the item</t>
        </is>
      </c>
      <c r="G17" s="28" t="inlineStr">
        <is>
          <t>The item resolves and the resolution is recorded against it, so repeat offenders by transaction type are visible</t>
        </is>
      </c>
      <c r="H17" s="29" t="inlineStr">
        <is>
          <t>Not Tested</t>
        </is>
      </c>
      <c r="I17" s="29" t="inlineStr">
        <is>
          <t>Functional</t>
        </is>
      </c>
    </row>
    <row r="18" ht="36" customHeight="1">
      <c r="A18" s="28" t="inlineStr">
        <is>
          <t>Reporting</t>
        </is>
      </c>
      <c r="B18" s="29" t="inlineStr">
        <is>
          <t>TC-Stuck-17</t>
        </is>
      </c>
      <c r="C18" s="28" t="inlineStr">
        <is>
          <t>Trend View Over Time</t>
        </is>
      </c>
      <c r="D18" s="29" t="inlineStr">
        <is>
          <t>Medium</t>
        </is>
      </c>
      <c r="E18" s="28" t="inlineStr">
        <is>
          <t>A period of accumulated stuck-reserve activity</t>
        </is>
      </c>
      <c r="F18" s="28" t="inlineStr">
        <is>
          <t>1. Open the trend view</t>
        </is>
      </c>
      <c r="G18" s="28" t="inlineStr">
        <is>
          <t>Count, total value and mean age of stuck reserves are trended over time</t>
        </is>
      </c>
      <c r="H18" s="29" t="inlineStr">
        <is>
          <t>Not Tested</t>
        </is>
      </c>
      <c r="I18" s="29" t="inlineStr">
        <is>
          <t>Reporting</t>
        </is>
      </c>
    </row>
    <row r="19" ht="36" customHeight="1">
      <c r="A19" s="28" t="inlineStr">
        <is>
          <t>Reporting</t>
        </is>
      </c>
      <c r="B19" s="29" t="inlineStr">
        <is>
          <t>TC-Stuck-18</t>
        </is>
      </c>
      <c r="C19" s="28" t="inlineStr">
        <is>
          <t>Breakdown by Transaction Type Identifies the Failing Flow</t>
        </is>
      </c>
      <c r="D19" s="29" t="inlineStr">
        <is>
          <t>High</t>
        </is>
      </c>
      <c r="E19" s="28" t="inlineStr">
        <is>
          <t>Stuck reserves across several transaction types</t>
        </is>
      </c>
      <c r="F19" s="28" t="inlineStr">
        <is>
          <t>1. Request the breakdown by transaction type</t>
        </is>
      </c>
      <c r="G19" s="28" t="inlineStr">
        <is>
          <t>The breakdown is correct and the dominant failing flow is identifiable rather than inferred</t>
        </is>
      </c>
      <c r="H19" s="29" t="inlineStr">
        <is>
          <t>Not Tested</t>
        </is>
      </c>
      <c r="I19" s="29" t="inlineStr">
        <is>
          <t>Reporting</t>
        </is>
      </c>
    </row>
    <row r="20" ht="36" customHeight="1">
      <c r="A20" s="28" t="inlineStr">
        <is>
          <t>Non-Functional</t>
        </is>
      </c>
      <c r="B20" s="29" t="inlineStr">
        <is>
          <t>TC-Stuck-19</t>
        </is>
      </c>
      <c r="C20" s="28" t="inlineStr">
        <is>
          <t>Detection Uses Indexed Access and Does Not Affect Live Latency</t>
        </is>
      </c>
      <c r="D20" s="29" t="inlineStr">
        <is>
          <t>High</t>
        </is>
      </c>
      <c r="E20" s="28" t="inlineStr">
        <is>
          <t>Production-scale data volume with live traffic</t>
        </is>
      </c>
      <c r="F20" s="28" t="inlineStr">
        <is>
          <t>1. Run detection under load
2. Capture query plans and live transaction latency</t>
        </is>
      </c>
      <c r="G20" s="28" t="inlineStr">
        <is>
          <t>Indexed access on reserve state and age with no full-table scan; live transaction latency is unaffected and nothing is locked or delayed</t>
        </is>
      </c>
      <c r="H20" s="29" t="inlineStr">
        <is>
          <t>Not Tested</t>
        </is>
      </c>
      <c r="I20" s="29" t="inlineStr">
        <is>
          <t>Performance / NFR</t>
        </is>
      </c>
    </row>
    <row r="21" ht="36" customHeight="1">
      <c r="A21" s="28" t="inlineStr">
        <is>
          <t>Non-Functional</t>
        </is>
      </c>
      <c r="B21" s="29" t="inlineStr">
        <is>
          <t>TC-Stuck-20</t>
        </is>
      </c>
      <c r="C21" s="28" t="inlineStr">
        <is>
          <t>Runs Are Resumable and Bounded in Memory</t>
        </is>
      </c>
      <c r="D21" s="29" t="inlineStr">
        <is>
          <t>Medium</t>
        </is>
      </c>
      <c r="E21" s="28" t="inlineStr">
        <is>
          <t>A large flagged population</t>
        </is>
      </c>
      <c r="F21" s="28" t="inlineStr">
        <is>
          <t>1. Interrupt a run and resume it
2. Profile memory</t>
        </is>
      </c>
      <c r="G21" s="28" t="inlineStr">
        <is>
          <t>The run resumes cleanly and memory use does not scale with the size of the population</t>
        </is>
      </c>
      <c r="H21" s="29" t="inlineStr">
        <is>
          <t>Not Tested</t>
        </is>
      </c>
      <c r="I21" s="29" t="inlineStr">
        <is>
          <t>Performance / NFR</t>
        </is>
      </c>
    </row>
    <row r="22" ht="36" customHeight="1">
      <c r="A22" s="28" t="inlineStr">
        <is>
          <t>Non-Functional</t>
        </is>
      </c>
      <c r="B22" s="29" t="inlineStr">
        <is>
          <t>TC-Stuck-21</t>
        </is>
      </c>
      <c r="C22" s="28" t="inlineStr">
        <is>
          <t>Flagged and Resolution History Is Immutable</t>
        </is>
      </c>
      <c r="D22" s="29" t="inlineStr">
        <is>
          <t>Medium</t>
        </is>
      </c>
      <c r="E22" s="28" t="inlineStr">
        <is>
          <t>Flagged and resolved items present</t>
        </is>
      </c>
      <c r="F22" s="28" t="inlineStr">
        <is>
          <t>1. Attempt to update or delete either</t>
        </is>
      </c>
      <c r="G22" s="28" t="inlineStr">
        <is>
          <t>Both are rejected; history is immutable and retained per audit policy</t>
        </is>
      </c>
      <c r="H22" s="29" t="inlineStr">
        <is>
          <t>Not Tested</t>
        </is>
      </c>
      <c r="I22" s="29" t="inlineStr">
        <is>
          <t>Negative</t>
        </is>
      </c>
    </row>
  </sheetData>
  <autoFilter ref="A1:I22"/>
  <conditionalFormatting sqref="H2:H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2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Compute</t>
        </is>
      </c>
      <c r="B2" s="29" t="inlineStr">
        <is>
          <t>TC-Close-01</t>
        </is>
      </c>
      <c r="C2" s="28" t="inlineStr">
        <is>
          <t>Normal Day With Zero Variance Seals Automatically</t>
        </is>
      </c>
      <c r="D2" s="29" t="inlineStr">
        <is>
          <t>High</t>
        </is>
      </c>
      <c r="E2" s="28" t="inlineStr">
        <is>
          <t>A trading day whose postings agree with the ledger; EOD cutoff configured</t>
        </is>
      </c>
      <c r="F2" s="28" t="inlineStr">
        <is>
          <t>1. Let the EOD job run
2. Inspect the close record</t>
        </is>
      </c>
      <c r="G2" s="28" t="inlineStr">
        <is>
          <t>Opening, per-bucket day movement and closing are computed; the verification run passes and the close is sealed automatically</t>
        </is>
      </c>
      <c r="H2" s="29" t="inlineStr">
        <is>
          <t>Not Tested</t>
        </is>
      </c>
      <c r="I2" s="29" t="inlineStr">
        <is>
          <t>Edge / Boundary</t>
        </is>
      </c>
    </row>
    <row r="3" ht="36" customHeight="1">
      <c r="A3" s="28" t="inlineStr">
        <is>
          <t>Compute</t>
        </is>
      </c>
      <c r="B3" s="29" t="inlineStr">
        <is>
          <t>TC-Close-02</t>
        </is>
      </c>
      <c r="C3" s="28" t="inlineStr">
        <is>
          <t>Opening Equals the Prior Sealed Closing</t>
        </is>
      </c>
      <c r="D3" s="29" t="inlineStr">
        <is>
          <t>High</t>
        </is>
      </c>
      <c r="E3" s="28" t="inlineStr">
        <is>
          <t>A wallet with a sealed close for the prior day</t>
        </is>
      </c>
      <c r="F3" s="28" t="inlineStr">
        <is>
          <t>1. Run the close for today
2. Compare today's opening against yesterday's sealed closing, bucket by bucket</t>
        </is>
      </c>
      <c r="G3" s="28" t="inlineStr">
        <is>
          <t>Today's opening is identical to yesterday's sealed closing on every bucket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Compute</t>
        </is>
      </c>
      <c r="B4" s="29" t="inlineStr">
        <is>
          <t>TC-Close-03</t>
        </is>
      </c>
      <c r="C4" s="28" t="inlineStr">
        <is>
          <t>Day Movement Derived From the Transaction Log via the Shared Mapping</t>
        </is>
      </c>
      <c r="D4" s="29" t="inlineStr">
        <is>
          <t>High</t>
        </is>
      </c>
      <c r="E4" s="28" t="inlineStr">
        <is>
          <t>A day with postings across several transaction types</t>
        </is>
      </c>
      <c r="F4" s="28" t="inlineStr">
        <is>
          <t>1. Run the close
2. Trace the derivation of the day's per-bucket sums</t>
        </is>
      </c>
      <c r="G4" s="28" t="inlineStr">
        <is>
          <t>Sums are derived from transaction_log using the EMI-602 status x direction mapping, consumed from the shared definition rather than re-implemented</t>
        </is>
      </c>
      <c r="H4" s="29" t="inlineStr">
        <is>
          <t>Not Tested</t>
        </is>
      </c>
      <c r="I4" s="29" t="inlineStr">
        <is>
          <t>Integration</t>
        </is>
      </c>
    </row>
    <row r="5" ht="36" customHeight="1">
      <c r="A5" s="28" t="inlineStr">
        <is>
          <t>Compute</t>
        </is>
      </c>
      <c r="B5" s="29" t="inlineStr">
        <is>
          <t>TC-Close-04</t>
        </is>
      </c>
      <c r="C5" s="28" t="inlineStr">
        <is>
          <t>Identity Asserted on Every Close</t>
        </is>
      </c>
      <c r="D5" s="29" t="inlineStr">
        <is>
          <t>High</t>
        </is>
      </c>
      <c r="E5" s="28" t="inlineStr">
        <is>
          <t>Any close</t>
        </is>
      </c>
      <c r="F5" s="28" t="inlineStr">
        <is>
          <t>1. Run the close
2. Assert current = available + reserve_debit on the closing figures</t>
        </is>
      </c>
      <c r="G5" s="28" t="inlineStr">
        <is>
          <t>The identity holds on every sealed close; a close that violates it is never sealed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Continuity</t>
        </is>
      </c>
      <c r="B6" s="29" t="inlineStr">
        <is>
          <t>TC-Close-05</t>
        </is>
      </c>
      <c r="C6" s="28" t="inlineStr">
        <is>
          <t>Continuity Violation Blocks Sealing and Raises an Exception</t>
        </is>
      </c>
      <c r="D6" s="29" t="inlineStr">
        <is>
          <t>High</t>
        </is>
      </c>
      <c r="E6" s="28" t="inlineStr">
        <is>
          <t>A wallet whose opening does not equal the prior sealed closing</t>
        </is>
      </c>
      <c r="F6" s="28" t="inlineStr">
        <is>
          <t>1. Run the close
2. Inspect the outcome and the exception channel</t>
        </is>
      </c>
      <c r="G6" s="28" t="inlineStr">
        <is>
          <t>Sealing is blocked and an exception is raised; the discrepancy is never auto-corrected</t>
        </is>
      </c>
      <c r="H6" s="29" t="inlineStr">
        <is>
          <t>Not Tested</t>
        </is>
      </c>
      <c r="I6" s="29" t="inlineStr">
        <is>
          <t>Integration</t>
        </is>
      </c>
    </row>
    <row r="7" ht="36" customHeight="1">
      <c r="A7" s="28" t="inlineStr">
        <is>
          <t>Seal</t>
        </is>
      </c>
      <c r="B7" s="29" t="inlineStr">
        <is>
          <t>TC-Close-06</t>
        </is>
      </c>
      <c r="C7" s="28" t="inlineStr">
        <is>
          <t>Sealing Requires a Passing Verification Run or a Signed-Off Variance</t>
        </is>
      </c>
      <c r="D7" s="29" t="inlineStr">
        <is>
          <t>High</t>
        </is>
      </c>
      <c r="E7" s="28" t="inlineStr">
        <is>
          <t>A day with recorded variance against the ledger</t>
        </is>
      </c>
      <c r="F7" s="28" t="inlineStr">
        <is>
          <t>1. Run the close with the variance present
2. Attempt to seal without sign-off
3. Sign off as Finance Lead</t>
        </is>
      </c>
      <c r="G7" s="28" t="inlineStr">
        <is>
          <t>Sealing is held until either verification passes with zero variance and estate tie-out, or the Finance Lead signs off the recorded variance; the variance is recorded on the close</t>
        </is>
      </c>
      <c r="H7" s="29" t="inlineStr">
        <is>
          <t>Not Tested</t>
        </is>
      </c>
      <c r="I7" s="29" t="inlineStr">
        <is>
          <t>Edge / Boundary</t>
        </is>
      </c>
    </row>
    <row r="8" ht="36" customHeight="1">
      <c r="A8" s="28" t="inlineStr">
        <is>
          <t>Seal</t>
        </is>
      </c>
      <c r="B8" s="29" t="inlineStr">
        <is>
          <t>TC-Close-07</t>
        </is>
      </c>
      <c r="C8" s="28" t="inlineStr">
        <is>
          <t>Sealed Records Are Immutable</t>
        </is>
      </c>
      <c r="D8" s="29" t="inlineStr">
        <is>
          <t>High</t>
        </is>
      </c>
      <c r="E8" s="28" t="inlineStr">
        <is>
          <t>A sealed close</t>
        </is>
      </c>
      <c r="F8" s="28" t="inlineStr">
        <is>
          <t>1. Attempt to update the sealed close
2. Attempt to delete it</t>
        </is>
      </c>
      <c r="G8" s="28" t="inlineStr">
        <is>
          <t>Both are rejected; no update or delete path exists for a sealed close</t>
        </is>
      </c>
      <c r="H8" s="29" t="inlineStr">
        <is>
          <t>Not Tested</t>
        </is>
      </c>
      <c r="I8" s="29" t="inlineStr">
        <is>
          <t>Negative</t>
        </is>
      </c>
    </row>
    <row r="9" ht="36" customHeight="1">
      <c r="A9" s="28" t="inlineStr">
        <is>
          <t>Cutoff</t>
        </is>
      </c>
      <c r="B9" s="29" t="inlineStr">
        <is>
          <t>TC-Close-08</t>
        </is>
      </c>
      <c r="C9" s="28" t="inlineStr">
        <is>
          <t>Postings After Sealing Belong to the Next Business Day</t>
        </is>
      </c>
      <c r="D9" s="29" t="inlineStr">
        <is>
          <t>High</t>
        </is>
      </c>
      <c r="E9" s="28" t="inlineStr">
        <is>
          <t>A sealed close for the day</t>
        </is>
      </c>
      <c r="F9" s="28" t="inlineStr">
        <is>
          <t>1. Post a transaction after the seal
2. Inspect the sealed record and the next day's opening</t>
        </is>
      </c>
      <c r="G9" s="28" t="inlineStr">
        <is>
          <t>The posting lands in the next business day; the sealed close is untouched and history is not mutated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Cutoff</t>
        </is>
      </c>
      <c r="B10" s="29" t="inlineStr">
        <is>
          <t>TC-Close-09</t>
        </is>
      </c>
      <c r="C10" s="28" t="inlineStr">
        <is>
          <t>EOD Cutoff Time Is Configurable</t>
        </is>
      </c>
      <c r="D10" s="29" t="inlineStr">
        <is>
          <t>Medium</t>
        </is>
      </c>
      <c r="E10" s="28" t="inlineStr">
        <is>
          <t>Cutoff configuration accessible</t>
        </is>
      </c>
      <c r="F10" s="28" t="inlineStr">
        <is>
          <t>1. Change the EOD cutoff
2. Run the close</t>
        </is>
      </c>
      <c r="G10" s="28" t="inlineStr">
        <is>
          <t>The new cutoff takes effect and determines which postings fall into the day</t>
        </is>
      </c>
      <c r="H10" s="29" t="inlineStr">
        <is>
          <t>Not Tested</t>
        </is>
      </c>
      <c r="I10" s="29" t="inlineStr">
        <is>
          <t>Functional</t>
        </is>
      </c>
    </row>
    <row r="11" ht="36" customHeight="1">
      <c r="A11" s="28" t="inlineStr">
        <is>
          <t>Anchor</t>
        </is>
      </c>
      <c r="B11" s="29" t="inlineStr">
        <is>
          <t>TC-Close-10</t>
        </is>
      </c>
      <c r="C11" s="28" t="inlineStr">
        <is>
          <t>Rebuild Consumes the Sealed Close as Its Anchor</t>
        </is>
      </c>
      <c r="D11" s="29" t="inlineStr">
        <is>
          <t>High</t>
        </is>
      </c>
      <c r="E11" s="28" t="inlineStr">
        <is>
          <t>A sealed close and a rebuild window starting after it</t>
        </is>
      </c>
      <c r="F11" s="28" t="inlineStr">
        <is>
          <t>1. Trigger an EMI-5945 rebuild
2. Inspect the anchor it uses</t>
        </is>
      </c>
      <c r="G11" s="28" t="inlineStr">
        <is>
          <t>The rebuild anchors on the sealed close rather than on a running-balance entry or on the live wallet balance, which would be circular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Anchor</t>
        </is>
      </c>
      <c r="B12" s="29" t="inlineStr">
        <is>
          <t>TC-Close-11</t>
        </is>
      </c>
      <c r="C12" s="28" t="inlineStr">
        <is>
          <t>Rebuild Across an Unsealed Boundary Is Rejected Without Override</t>
        </is>
      </c>
      <c r="D12" s="29" t="inlineStr">
        <is>
          <t>High</t>
        </is>
      </c>
      <c r="E12" s="28" t="inlineStr">
        <is>
          <t>A rebuild window crossing a day that has not been sealed</t>
        </is>
      </c>
      <c r="F12" s="28" t="inlineStr">
        <is>
          <t>1. Request the rebuild without an override
2. Request it with a Finance Lead override</t>
        </is>
      </c>
      <c r="G12" s="28" t="inlineStr">
        <is>
          <t>The first is rejected; the second proceeds and the override is recorded on the run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Genesis</t>
        </is>
      </c>
      <c r="B13" s="29" t="inlineStr">
        <is>
          <t>TC-Close-12</t>
        </is>
      </c>
      <c r="C13" s="28" t="inlineStr">
        <is>
          <t>Genesis Wallet Opens at Zero Across All Four Buckets</t>
        </is>
      </c>
      <c r="D13" s="29" t="inlineStr">
        <is>
          <t>Medium</t>
        </is>
      </c>
      <c r="E13" s="28" t="inlineStr">
        <is>
          <t>A wallet with no prior close</t>
        </is>
      </c>
      <c r="F13" s="28" t="inlineStr">
        <is>
          <t>1. Run its first close
2. Inspect the opening figures</t>
        </is>
      </c>
      <c r="G13" s="28" t="inlineStr">
        <is>
          <t>It opens at zero on all four buckets and the genesis condition is recorded</t>
        </is>
      </c>
      <c r="H13" s="29" t="inlineStr">
        <is>
          <t>Not Tested</t>
        </is>
      </c>
      <c r="I13" s="29" t="inlineStr">
        <is>
          <t>Edge / Boundary</t>
        </is>
      </c>
    </row>
    <row r="14" ht="36" customHeight="1">
      <c r="A14" s="28" t="inlineStr">
        <is>
          <t>Evidence</t>
        </is>
      </c>
      <c r="B14" s="29" t="inlineStr">
        <is>
          <t>TC-Close-13</t>
        </is>
      </c>
      <c r="C14" s="28" t="inlineStr">
        <is>
          <t>Closes Are Exportable as Daily Reconciliation Evidence</t>
        </is>
      </c>
      <c r="D14" s="29" t="inlineStr">
        <is>
          <t>High</t>
        </is>
      </c>
      <c r="E14" s="28" t="inlineStr">
        <is>
          <t>Sealed closes across a period</t>
        </is>
      </c>
      <c r="F14" s="28" t="inlineStr">
        <is>
          <t>1. Export the closes as CSV and as PDF</t>
        </is>
      </c>
      <c r="G14" s="28" t="inlineStr">
        <is>
          <t>Both exports succeed and are usable as daily reconciliation evidence for SAMA safeguarding purposes</t>
        </is>
      </c>
      <c r="H14" s="29" t="inlineStr">
        <is>
          <t>Not Tested</t>
        </is>
      </c>
      <c r="I14" s="29" t="inlineStr">
        <is>
          <t>Reporting</t>
        </is>
      </c>
    </row>
    <row r="15" ht="36" customHeight="1">
      <c r="A15" s="28" t="inlineStr">
        <is>
          <t>Evidence</t>
        </is>
      </c>
      <c r="B15" s="29" t="inlineStr">
        <is>
          <t>TC-Close-14</t>
        </is>
      </c>
      <c r="C15" s="28" t="inlineStr">
        <is>
          <t>Closes Are Retained Per Audit Policy</t>
        </is>
      </c>
      <c r="D15" s="29" t="inlineStr">
        <is>
          <t>Medium</t>
        </is>
      </c>
      <c r="E15" s="28" t="inlineStr">
        <is>
          <t>Sealed closes older than the active window</t>
        </is>
      </c>
      <c r="F15" s="28" t="inlineStr">
        <is>
          <t>1. Query historical closes</t>
        </is>
      </c>
      <c r="G15" s="28" t="inlineStr">
        <is>
          <t>They are retained and queryable per the platform audit retention policy</t>
        </is>
      </c>
      <c r="H15" s="29" t="inlineStr">
        <is>
          <t>Not Tested</t>
        </is>
      </c>
      <c r="I15" s="29" t="inlineStr">
        <is>
          <t>Reporting</t>
        </is>
      </c>
    </row>
    <row r="16" ht="36" customHeight="1">
      <c r="A16" s="28" t="inlineStr">
        <is>
          <t>Integration</t>
        </is>
      </c>
      <c r="B16" s="29" t="inlineStr">
        <is>
          <t>TC-Close-15</t>
        </is>
      </c>
      <c r="C16" s="28" t="inlineStr">
        <is>
          <t>Balance Variance at Close Invokes Recompute</t>
        </is>
      </c>
      <c r="D16" s="29" t="inlineStr">
        <is>
          <t>High</t>
        </is>
      </c>
      <c r="E16" s="28" t="inlineStr">
        <is>
          <t>A day whose close verification finds a balance variance</t>
        </is>
      </c>
      <c r="F16" s="28" t="inlineStr">
        <is>
          <t>1. Run the close
2. Observe what is invoked</t>
        </is>
      </c>
      <c r="G16" s="28" t="inlineStr">
        <is>
          <t>EMI-5946 recompute is invoked for the affected scope; the close is not sealed until the position is resolved or signed off</t>
        </is>
      </c>
      <c r="H16" s="29" t="inlineStr">
        <is>
          <t>Not Tested</t>
        </is>
      </c>
      <c r="I16" s="29" t="inlineStr">
        <is>
          <t>Integration</t>
        </is>
      </c>
    </row>
    <row r="17" ht="36" customHeight="1">
      <c r="A17" s="28" t="inlineStr">
        <is>
          <t>Integration</t>
        </is>
      </c>
      <c r="B17" s="29" t="inlineStr">
        <is>
          <t>TC-Close-16</t>
        </is>
      </c>
      <c r="C17" s="28" t="inlineStr">
        <is>
          <t>Estate Tie-Out Feeds the Sealing Gate</t>
        </is>
      </c>
      <c r="D17" s="29" t="inlineStr">
        <is>
          <t>High</t>
        </is>
      </c>
      <c r="E17" s="28" t="inlineStr">
        <is>
          <t>A day where the estate tie-out fails</t>
        </is>
      </c>
      <c r="F17" s="28" t="inlineStr">
        <is>
          <t>1. Run the close</t>
        </is>
      </c>
      <c r="G17" s="28" t="inlineStr">
        <is>
          <t>The EMI-5950 estate tie-out result gates sealing; a failed tie-out prevents an automatic seal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Integration</t>
        </is>
      </c>
      <c r="B18" s="29" t="inlineStr">
        <is>
          <t>TC-Close-17</t>
        </is>
      </c>
      <c r="C18" s="28" t="inlineStr">
        <is>
          <t>Adjustments Posted After a Seal Land in the Next Business Day</t>
        </is>
      </c>
      <c r="D18" s="29" t="inlineStr">
        <is>
          <t>High</t>
        </is>
      </c>
      <c r="E18" s="28" t="inlineStr">
        <is>
          <t>A sealed close followed by a reconciliation adjustment posting</t>
        </is>
      </c>
      <c r="F18" s="28" t="inlineStr">
        <is>
          <t>1. Post an EMI-5955 adjustment after the seal
2. Inspect both days</t>
        </is>
      </c>
      <c r="G18" s="28" t="inlineStr">
        <is>
          <t>The adjustment belongs to the next business day; the sealed close is unchanged</t>
        </is>
      </c>
      <c r="H18" s="29" t="inlineStr">
        <is>
          <t>Not Tested</t>
        </is>
      </c>
      <c r="I18" s="29" t="inlineStr">
        <is>
          <t>Integration</t>
        </is>
      </c>
    </row>
    <row r="19" ht="36" customHeight="1">
      <c r="A19" s="28" t="inlineStr">
        <is>
          <t>Non-Functional</t>
        </is>
      </c>
      <c r="B19" s="29" t="inlineStr">
        <is>
          <t>TC-Close-18</t>
        </is>
      </c>
      <c r="C19" s="28" t="inlineStr">
        <is>
          <t>Set-Based Computation With Indexed Access</t>
        </is>
      </c>
      <c r="D19" s="29" t="inlineStr">
        <is>
          <t>High</t>
        </is>
      </c>
      <c r="E19" s="28" t="inlineStr">
        <is>
          <t>Production-scale data volume</t>
        </is>
      </c>
      <c r="F19" s="28" t="inlineStr">
        <is>
          <t>1. Run the estate close and capture query plans and timing</t>
        </is>
      </c>
      <c r="G19" s="28" t="inlineStr">
        <is>
          <t>Computation is set-based and indexed on (wallet_id, posting_time), streams in bounded batches with no full-table scan, and completes inside the maintenance window</t>
        </is>
      </c>
      <c r="H19" s="29" t="inlineStr">
        <is>
          <t>Not Tested</t>
        </is>
      </c>
      <c r="I19" s="29" t="inlineStr">
        <is>
          <t>Performance / NFR</t>
        </is>
      </c>
    </row>
    <row r="20" ht="36" customHeight="1">
      <c r="A20" s="28" t="inlineStr">
        <is>
          <t>Non-Functional</t>
        </is>
      </c>
      <c r="B20" s="29" t="inlineStr">
        <is>
          <t>TC-Close-19</t>
        </is>
      </c>
      <c r="C20" s="28" t="inlineStr">
        <is>
          <t>Monetary Precision</t>
        </is>
      </c>
      <c r="D20" s="29" t="inlineStr">
        <is>
          <t>Medium</t>
        </is>
      </c>
      <c r="E20" s="28" t="inlineStr">
        <is>
          <t>Any close</t>
        </is>
      </c>
      <c r="F20" s="28" t="inlineStr">
        <is>
          <t>1. Inspect the arithmetic types used</t>
        </is>
      </c>
      <c r="G20" s="28" t="inlineStr">
        <is>
          <t>The platform monetary type is used with no float; currency SAR</t>
        </is>
      </c>
      <c r="H20" s="29" t="inlineStr">
        <is>
          <t>Not Tested</t>
        </is>
      </c>
      <c r="I20" s="29" t="inlineStr">
        <is>
          <t>Performance / NFR</t>
        </is>
      </c>
    </row>
    <row r="21" ht="36" customHeight="1">
      <c r="A21" s="28" t="inlineStr">
        <is>
          <t>Non-Functional</t>
        </is>
      </c>
      <c r="B21" s="29" t="inlineStr">
        <is>
          <t>TC-Close-20</t>
        </is>
      </c>
      <c r="C21" s="28" t="inlineStr">
        <is>
          <t>Close Does Not Block Live Traffic</t>
        </is>
      </c>
      <c r="D21" s="29" t="inlineStr">
        <is>
          <t>Medium</t>
        </is>
      </c>
      <c r="E21" s="28" t="inlineStr">
        <is>
          <t>Live traffic during the EOD window</t>
        </is>
      </c>
      <c r="F21" s="28" t="inlineStr">
        <is>
          <t>1. Transact while the close job runs</t>
        </is>
      </c>
      <c r="G21" s="28" t="inlineStr">
        <is>
          <t>Live transactions are unaffected; the job holds no long locks</t>
        </is>
      </c>
      <c r="H21" s="29" t="inlineStr">
        <is>
          <t>Not Tested</t>
        </is>
      </c>
      <c r="I21" s="29" t="inlineStr">
        <is>
          <t>Performance / NFR</t>
        </is>
      </c>
    </row>
    <row r="22" ht="36" customHeight="1">
      <c r="A22" s="28" t="inlineStr">
        <is>
          <t>Security</t>
        </is>
      </c>
      <c r="B22" s="29" t="inlineStr">
        <is>
          <t>TC-Close-21</t>
        </is>
      </c>
      <c r="C22" s="28" t="inlineStr">
        <is>
          <t>Only the Finance Lead May Sign Off a Variance Day</t>
        </is>
      </c>
      <c r="D22" s="29" t="inlineStr">
        <is>
          <t>High</t>
        </is>
      </c>
      <c r="E22" s="28" t="inlineStr">
        <is>
          <t>A close held for sign-off because verification recorded a variance</t>
        </is>
      </c>
      <c r="F22" s="28" t="inlineStr">
        <is>
          <t>1. Attempt the sign-off as an operations user, a support user and a read-only finance user
2. Attempt it as the Finance Lead</t>
        </is>
      </c>
      <c r="G22" s="28" t="inlineStr">
        <is>
          <t>Every unauthorised attempt is rejected and audit-logged. Only the Finance Lead can seal a variance day, and the identity of the signer is stored on the close</t>
        </is>
      </c>
      <c r="H22" s="29" t="inlineStr">
        <is>
          <t>Not Tested</t>
        </is>
      </c>
      <c r="I22" s="29" t="inlineStr">
        <is>
          <t>Security</t>
        </is>
      </c>
    </row>
    <row r="23" ht="36" customHeight="1">
      <c r="A23" s="28" t="inlineStr">
        <is>
          <t>Security</t>
        </is>
      </c>
      <c r="B23" s="29" t="inlineStr">
        <is>
          <t>TC-Close-22</t>
        </is>
      </c>
      <c r="C23" s="28" t="inlineStr">
        <is>
          <t>A Rebuild Override Across an Unsealed Boundary Is Authorised and Recorded</t>
        </is>
      </c>
      <c r="D23" s="29" t="inlineStr">
        <is>
          <t>High</t>
        </is>
      </c>
      <c r="E23" s="28" t="inlineStr">
        <is>
          <t>A rebuild requested over a window containing an unsealed day</t>
        </is>
      </c>
      <c r="F23" s="28" t="inlineStr">
        <is>
          <t>1. Attempt the override as an unauthorised user
2. Perform it as the Finance Lead
3. Inspect the rebuild run record</t>
        </is>
      </c>
      <c r="G23" s="28" t="inlineStr">
        <is>
          <t>The unauthorised attempt is rejected. The authorised override succeeds and the run permanently records who overrode, when, and which unsealed boundary was crossed</t>
        </is>
      </c>
      <c r="H23" s="29" t="inlineStr">
        <is>
          <t>Not Tested</t>
        </is>
      </c>
      <c r="I23" s="29" t="inlineStr">
        <is>
          <t>Security</t>
        </is>
      </c>
    </row>
    <row r="24" ht="36" customHeight="1">
      <c r="A24" s="28" t="inlineStr">
        <is>
          <t>Security</t>
        </is>
      </c>
      <c r="B24" s="29" t="inlineStr">
        <is>
          <t>TC-Close-23</t>
        </is>
      </c>
      <c r="C24" s="28" t="inlineStr">
        <is>
          <t>Sealing and Unsealing Are Not Reachable by an Unauthorised Caller</t>
        </is>
      </c>
      <c r="D24" s="29" t="inlineStr">
        <is>
          <t>High</t>
        </is>
      </c>
      <c r="E24" s="28" t="inlineStr">
        <is>
          <t>API access to the daily close endpoints</t>
        </is>
      </c>
      <c r="F24" s="28" t="inlineStr">
        <is>
          <t>1. Call the seal endpoint with a token lacking the finance privilege
2. Attempt any unseal, update or delete route against a sealed close</t>
        </is>
      </c>
      <c r="G24" s="28" t="inlineStr">
        <is>
          <t>The seal call is rejected at the API, not only hidden in the UI. No unseal, update or delete route exists or succeeds for any role, consistent with immutability</t>
        </is>
      </c>
      <c r="H24" s="29" t="inlineStr">
        <is>
          <t>Not Tested</t>
        </is>
      </c>
      <c r="I24" s="29" t="inlineStr">
        <is>
          <t>Security</t>
        </is>
      </c>
    </row>
    <row r="25" ht="36" customHeight="1">
      <c r="A25" s="28" t="inlineStr">
        <is>
          <t>Cutoff</t>
        </is>
      </c>
      <c r="B25" s="29" t="inlineStr">
        <is>
          <t>TC-Close-24</t>
        </is>
      </c>
      <c r="C25" s="28" t="inlineStr">
        <is>
          <t>The EOD Cutoff Honours the Configured Time Zone</t>
        </is>
      </c>
      <c r="D25" s="29" t="inlineStr">
        <is>
          <t>High</t>
        </is>
      </c>
      <c r="E25" s="28" t="inlineStr">
        <is>
          <t>Cutoff configured against a named business time zone; servers running in UTC</t>
        </is>
      </c>
      <c r="F25" s="28" t="inlineStr">
        <is>
          <t>1. Post transactions either side of the configured local cutoff
2. Run the close
3. Inspect which business day each posting landed in</t>
        </is>
      </c>
      <c r="G25" s="28" t="inlineStr">
        <is>
          <t>Day boundaries follow the configured business time zone, not the server clock. A posting just before local cutoff is in today; one just after is in tomorrow</t>
        </is>
      </c>
      <c r="H25" s="29" t="inlineStr">
        <is>
          <t>Not Tested</t>
        </is>
      </c>
      <c r="I25" s="29" t="inlineStr">
        <is>
          <t>Functional</t>
        </is>
      </c>
    </row>
    <row r="26" ht="36" customHeight="1">
      <c r="A26" s="28" t="inlineStr">
        <is>
          <t>Cutoff</t>
        </is>
      </c>
      <c r="B26" s="29" t="inlineStr">
        <is>
          <t>TC-Close-25</t>
        </is>
      </c>
      <c r="C26" s="28" t="inlineStr">
        <is>
          <t>A Daylight-Saving Transition Produces Exactly One Close Per Wallet</t>
        </is>
      </c>
      <c r="D26" s="29" t="inlineStr">
        <is>
          <t>Medium</t>
        </is>
      </c>
      <c r="E26" s="28" t="inlineStr">
        <is>
          <t>A business time zone that observes a clock change; test dates covering both transitions</t>
        </is>
      </c>
      <c r="F26" s="28" t="inlineStr">
        <is>
          <t>1. Run the close across the day the clock moves forward
2. Run it across the day the clock moves back
3. Count closes per wallet and check continuity</t>
        </is>
      </c>
      <c r="G26" s="28" t="inlineStr">
        <is>
          <t>Exactly one sealed close per wallet per business day on both days. No day is skipped or duplicated, and continuity from the prior sealed closing still holds</t>
        </is>
      </c>
      <c r="H26" s="29" t="inlineStr">
        <is>
          <t>Not Tested</t>
        </is>
      </c>
      <c r="I26" s="29" t="inlineStr">
        <is>
          <t>Edge / Boundary</t>
        </is>
      </c>
    </row>
    <row r="27" ht="36" customHeight="1">
      <c r="A27" s="28" t="inlineStr">
        <is>
          <t>Compute</t>
        </is>
      </c>
      <c r="B27" s="29" t="inlineStr">
        <is>
          <t>TC-Close-26</t>
        </is>
      </c>
      <c r="C27" s="28" t="inlineStr">
        <is>
          <t>A Day With No Postings Still Seals, With Opening Equal to Closing</t>
        </is>
      </c>
      <c r="D27" s="29" t="inlineStr">
        <is>
          <t>High</t>
        </is>
      </c>
      <c r="E27" s="28" t="inlineStr">
        <is>
          <t>A wallet with a sealed close for the prior day and no activity today</t>
        </is>
      </c>
      <c r="F27" s="28" t="inlineStr">
        <is>
          <t>1. Run the close for the quiet day
2. Inspect the record</t>
        </is>
      </c>
      <c r="G27" s="28" t="inlineStr">
        <is>
          <t>A close is produced and sealed with zero day movement and closing identical to opening on every bucket. A quiet day is not skipped, because a gap would break the continuity chain and the rebuild anchor</t>
        </is>
      </c>
      <c r="H27" s="29" t="inlineStr">
        <is>
          <t>Not Tested</t>
        </is>
      </c>
      <c r="I27" s="29" t="inlineStr">
        <is>
          <t>Edge / Boundary</t>
        </is>
      </c>
    </row>
    <row r="28" ht="36" customHeight="1">
      <c r="A28" s="28" t="inlineStr">
        <is>
          <t>Concurrency</t>
        </is>
      </c>
      <c r="B28" s="29" t="inlineStr">
        <is>
          <t>TC-Close-27</t>
        </is>
      </c>
      <c r="C28" s="28" t="inlineStr">
        <is>
          <t>Two Concurrent EOD Runs Produce One Sealed Close</t>
        </is>
      </c>
      <c r="D28" s="29" t="inlineStr">
        <is>
          <t>High</t>
        </is>
      </c>
      <c r="E28" s="28" t="inlineStr">
        <is>
          <t>Ability to trigger the EOD job twice simultaneously</t>
        </is>
      </c>
      <c r="F28" s="28" t="inlineStr">
        <is>
          <t>1. Trigger two EOD close runs for the same date and wallet at the same time
2. Inspect the close records</t>
        </is>
      </c>
      <c r="G28" s="28" t="inlineStr">
        <is>
          <t>Exactly one sealed close exists for that wallet and date. The second run is rejected or becomes a no-op; day movement is never counted twice</t>
        </is>
      </c>
      <c r="H28" s="29" t="inlineStr">
        <is>
          <t>Not Tested</t>
        </is>
      </c>
      <c r="I28" s="29" t="inlineStr">
        <is>
          <t>Negative</t>
        </is>
      </c>
    </row>
    <row r="29" ht="36" customHeight="1">
      <c r="A29" s="28" t="inlineStr">
        <is>
          <t>Evidence</t>
        </is>
      </c>
      <c r="B29" s="29" t="inlineStr">
        <is>
          <t>TC-Close-28</t>
        </is>
      </c>
      <c r="C29" s="28" t="inlineStr">
        <is>
          <t>Recorded Variance Is Carried on the Close Itself</t>
        </is>
      </c>
      <c r="D29" s="29" t="inlineStr">
        <is>
          <t>Medium</t>
        </is>
      </c>
      <c r="E29" s="28" t="inlineStr">
        <is>
          <t>A close sealed after Finance Lead sign-off on a recorded variance</t>
        </is>
      </c>
      <c r="F29" s="28" t="inlineStr">
        <is>
          <t>1. Seal a variance day with sign-off
2. Read the close record</t>
        </is>
      </c>
      <c r="G29" s="28" t="inlineStr">
        <is>
          <t>The close carries the variance amount per bucket, the reason, the signer and the timestamp. The evidence is readable from the close without reconstructing it from job logs</t>
        </is>
      </c>
      <c r="H29" s="29" t="inlineStr">
        <is>
          <t>Not Tested</t>
        </is>
      </c>
      <c r="I29" s="29" t="inlineStr">
        <is>
          <t>Reporting</t>
        </is>
      </c>
    </row>
    <row r="30" ht="36" customHeight="1">
      <c r="A30" s="28" t="inlineStr">
        <is>
          <t>Evidence</t>
        </is>
      </c>
      <c r="B30" s="29" t="inlineStr">
        <is>
          <t>TC-Close-29</t>
        </is>
      </c>
      <c r="C30" s="28" t="inlineStr">
        <is>
          <t>Close Evidence Exports in Both CSV and PDF</t>
        </is>
      </c>
      <c r="D30" s="29" t="inlineStr">
        <is>
          <t>Medium</t>
        </is>
      </c>
      <c r="E30" s="28" t="inlineStr">
        <is>
          <t>Sealed closes for a date range</t>
        </is>
      </c>
      <c r="F30" s="28" t="inlineStr">
        <is>
          <t>1. Export the range as CSV
2. Export the same range as PDF
3. Compare both against the sealed records</t>
        </is>
      </c>
      <c r="G30" s="28" t="inlineStr">
        <is>
          <t>Both formats are produced and agree with the sealed records and with each other on every bucket. Amounts carry the platform monetary precision in SAR with no float rounding</t>
        </is>
      </c>
      <c r="H30" s="29" t="inlineStr">
        <is>
          <t>Not Tested</t>
        </is>
      </c>
      <c r="I30" s="29" t="inlineStr">
        <is>
          <t>Reporting</t>
        </is>
      </c>
    </row>
  </sheetData>
  <autoFilter ref="A1:I30"/>
  <conditionalFormatting sqref="H2:H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Auto Path</t>
        </is>
      </c>
      <c r="B2" s="29" t="inlineStr">
        <is>
          <t>TC-Missing-01</t>
        </is>
      </c>
      <c r="C2" s="28" t="inlineStr">
        <is>
          <t>Item Passing All Checks Is Auto-Inserted as an Adjustment Posting</t>
        </is>
      </c>
      <c r="D2" s="29" t="inlineStr">
        <is>
          <t>High</t>
        </is>
      </c>
      <c r="E2" s="28" t="inlineStr">
        <is>
          <t>An EMI_MISSING bank-statement item that passes limits, balance rules and wallet status/KYC checks</t>
        </is>
      </c>
      <c r="F2" s="28" t="inlineStr">
        <is>
          <t>1. Run reconciliation over the statement
2. Inspect the resulting posting</t>
        </is>
      </c>
      <c r="G2" s="28" t="inlineStr">
        <is>
          <t>An appended adjustment posting is created with transaction type RECON_ADJUSTMENT, carrying the recon_id and the bank statement reference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Auto Path</t>
        </is>
      </c>
      <c r="B3" s="29" t="inlineStr">
        <is>
          <t>TC-Missing-02</t>
        </is>
      </c>
      <c r="C3" s="28" t="inlineStr">
        <is>
          <t>Adjustment Carries the Bank Statement Reference</t>
        </is>
      </c>
      <c r="D3" s="29" t="inlineStr">
        <is>
          <t>High</t>
        </is>
      </c>
      <c r="E3" s="28" t="inlineStr">
        <is>
          <t>An auto-inserted adjustment</t>
        </is>
      </c>
      <c r="F3" s="28" t="inlineStr">
        <is>
          <t>1. Inspect the posting's references</t>
        </is>
      </c>
      <c r="G3" s="28" t="inlineStr">
        <is>
          <t>It carries both the recon_id and the bank statement reference (AcctSvcrRef or entry ref), so it is traceable back to the source statement line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Auto Path</t>
        </is>
      </c>
      <c r="B4" s="29" t="inlineStr">
        <is>
          <t>TC-Missing-03</t>
        </is>
      </c>
      <c r="C4" s="28" t="inlineStr">
        <is>
          <t>Ledger History Is Never Edited</t>
        </is>
      </c>
      <c r="D4" s="29" t="inlineStr">
        <is>
          <t>High</t>
        </is>
      </c>
      <c r="E4" s="28" t="inlineStr">
        <is>
          <t>An EMI_MISSING item resolved automatically</t>
        </is>
      </c>
      <c r="F4" s="28" t="inlineStr">
        <is>
          <t>1. Compare the ledger before and after resolution</t>
        </is>
      </c>
      <c r="G4" s="28" t="inlineStr">
        <is>
          <t>No existing posting is edited or deleted; the resolution is purely an appended posting. The bank statement is the control we reconcile against, not a licence to edit our ledger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Escalation</t>
        </is>
      </c>
      <c r="B5" s="29" t="inlineStr">
        <is>
          <t>TC-Missing-04</t>
        </is>
      </c>
      <c r="C5" s="28" t="inlineStr">
        <is>
          <t>Item Failing a Limit Check Is Escalated, Not Auto-Inserted</t>
        </is>
      </c>
      <c r="D5" s="29" t="inlineStr">
        <is>
          <t>High</t>
        </is>
      </c>
      <c r="E5" s="28" t="inlineStr">
        <is>
          <t>An EMI_MISSING item that breaches a configured limit</t>
        </is>
      </c>
      <c r="F5" s="28" t="inlineStr">
        <is>
          <t>1. Run reconciliation
2. Inspect the outcome</t>
        </is>
      </c>
      <c r="G5" s="28" t="inlineStr">
        <is>
          <t>The item goes to the exception queue for manual review; no posting is created automatically</t>
        </is>
      </c>
      <c r="H5" s="29" t="inlineStr">
        <is>
          <t>Not Tested</t>
        </is>
      </c>
      <c r="I5" s="29" t="inlineStr">
        <is>
          <t>Negative</t>
        </is>
      </c>
    </row>
    <row r="6" ht="36" customHeight="1">
      <c r="A6" s="28" t="inlineStr">
        <is>
          <t>Escalation</t>
        </is>
      </c>
      <c r="B6" s="29" t="inlineStr">
        <is>
          <t>TC-Missing-05</t>
        </is>
      </c>
      <c r="C6" s="28" t="inlineStr">
        <is>
          <t>Item Failing a Wallet Status or KYC Check Is Escalated</t>
        </is>
      </c>
      <c r="D6" s="29" t="inlineStr">
        <is>
          <t>High</t>
        </is>
      </c>
      <c r="E6" s="28" t="inlineStr">
        <is>
          <t>An EMI_MISSING item for a wallet in a non-transactable or KYC-incomplete state</t>
        </is>
      </c>
      <c r="F6" s="28" t="inlineStr">
        <is>
          <t>1. Run reconciliation</t>
        </is>
      </c>
      <c r="G6" s="28" t="inlineStr">
        <is>
          <t>The item is escalated to the exception queue rather than auto-inserted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Escalation</t>
        </is>
      </c>
      <c r="B7" s="29" t="inlineStr">
        <is>
          <t>TC-Missing-06</t>
        </is>
      </c>
      <c r="C7" s="28" t="inlineStr">
        <is>
          <t>Item Failing a Balance Rule Is Escalated</t>
        </is>
      </c>
      <c r="D7" s="29" t="inlineStr">
        <is>
          <t>Medium</t>
        </is>
      </c>
      <c r="E7" s="28" t="inlineStr">
        <is>
          <t>An EMI_MISSING item that would breach a balance rule</t>
        </is>
      </c>
      <c r="F7" s="28" t="inlineStr">
        <is>
          <t>1. Run reconciliation</t>
        </is>
      </c>
      <c r="G7" s="28" t="inlineStr">
        <is>
          <t>The item is escalated; the system does not resolve it silently</t>
        </is>
      </c>
      <c r="H7" s="29" t="inlineStr">
        <is>
          <t>Not Tested</t>
        </is>
      </c>
      <c r="I7" s="29" t="inlineStr">
        <is>
          <t>Negative</t>
        </is>
      </c>
    </row>
    <row r="8" ht="36" customHeight="1">
      <c r="A8" s="28" t="inlineStr">
        <is>
          <t>Escalation</t>
        </is>
      </c>
      <c r="B8" s="29" t="inlineStr">
        <is>
          <t>TC-Missing-07</t>
        </is>
      </c>
      <c r="C8" s="28" t="inlineStr">
        <is>
          <t>Manual Resolution Is Also by Adjustment Posting With Reviewer Recorded</t>
        </is>
      </c>
      <c r="D8" s="29" t="inlineStr">
        <is>
          <t>High</t>
        </is>
      </c>
      <c r="E8" s="28" t="inlineStr">
        <is>
          <t>An escalated item in the exception queue</t>
        </is>
      </c>
      <c r="F8" s="28" t="inlineStr">
        <is>
          <t>1. Resolve it as a reviewer
2. Inspect the resulting posting and the audit record</t>
        </is>
      </c>
      <c r="G8" s="28" t="inlineStr">
        <is>
          <t>Resolution creates an appended adjustment posting like the auto path, and the reviewer's identity is recorded against it</t>
        </is>
      </c>
      <c r="H8" s="29" t="inlineStr">
        <is>
          <t>Not Tested</t>
        </is>
      </c>
      <c r="I8" s="29" t="inlineStr">
        <is>
          <t>Negative</t>
        </is>
      </c>
    </row>
    <row r="9" ht="36" customHeight="1">
      <c r="A9" s="28" t="inlineStr">
        <is>
          <t>Projection</t>
        </is>
      </c>
      <c r="B9" s="29" t="inlineStr">
        <is>
          <t>TC-Missing-08</t>
        </is>
      </c>
      <c r="C9" s="28" t="inlineStr">
        <is>
          <t>Inserted Postings Flow Through the Normal CDC Path</t>
        </is>
      </c>
      <c r="D9" s="29" t="inlineStr">
        <is>
          <t>High</t>
        </is>
      </c>
      <c r="E9" s="28" t="inlineStr">
        <is>
          <t>An auto-inserted adjustment posting</t>
        </is>
      </c>
      <c r="F9" s="28" t="inlineStr">
        <is>
          <t>1. Trace how the posting reaches running_balance</t>
        </is>
      </c>
      <c r="G9" s="28" t="inlineStr">
        <is>
          <t>It flows through the normal CDC and consumer path; there is no direct running-balance write and no special-case code path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Projection</t>
        </is>
      </c>
      <c r="B10" s="29" t="inlineStr">
        <is>
          <t>TC-Missing-09</t>
        </is>
      </c>
      <c r="C10" s="28" t="inlineStr">
        <is>
          <t>Resulting Balance Matches a Recompute</t>
        </is>
      </c>
      <c r="D10" s="29" t="inlineStr">
        <is>
          <t>High</t>
        </is>
      </c>
      <c r="E10" s="28" t="inlineStr">
        <is>
          <t>A wallet with an inserted adjustment posting</t>
        </is>
      </c>
      <c r="F10" s="28" t="inlineStr">
        <is>
          <t>1. Let the projection settle
2. Run an EMI-5946 recompute and compare</t>
        </is>
      </c>
      <c r="G10" s="28" t="inlineStr">
        <is>
          <t>The projected balance matches the ledger-derived recompute exactly; the adjustment is aggregated with no special-casing</t>
        </is>
      </c>
      <c r="H10" s="29" t="inlineStr">
        <is>
          <t>Not Tested</t>
        </is>
      </c>
      <c r="I10" s="29" t="inlineStr">
        <is>
          <t>Edge / Boundary</t>
        </is>
      </c>
    </row>
    <row r="11" ht="36" customHeight="1">
      <c r="A11" s="28" t="inlineStr">
        <is>
          <t>Settled Corrections</t>
        </is>
      </c>
      <c r="B11" s="29" t="inlineStr">
        <is>
          <t>TC-Missing-10</t>
        </is>
      </c>
      <c r="C11" s="28" t="inlineStr">
        <is>
          <t>Status Mismatch Uses the Four-Step Pair-Adjustment Unwind</t>
        </is>
      </c>
      <c r="D11" s="29" t="inlineStr">
        <is>
          <t>High</t>
        </is>
      </c>
      <c r="E11" s="28" t="inlineStr">
        <is>
          <t>A settled transaction with a STATUS_MISMATCH against the bank statement</t>
        </is>
      </c>
      <c r="F11" s="28" t="inlineStr">
        <is>
          <t>1. Resolve the mismatch
2. Inspect the postings created</t>
        </is>
      </c>
      <c r="G11" s="28" t="inlineStr">
        <is>
          <t>The EMI-602 four-step pair-adjustment unwind is applied — reverse success, reverse pending, append new pending, append new success — as four appended entries with no edit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Settled Corrections</t>
        </is>
      </c>
      <c r="B12" s="29" t="inlineStr">
        <is>
          <t>TC-Missing-11</t>
        </is>
      </c>
      <c r="C12" s="28" t="inlineStr">
        <is>
          <t>Amount Mismatch Uses the Same Unwind</t>
        </is>
      </c>
      <c r="D12" s="29" t="inlineStr">
        <is>
          <t>High</t>
        </is>
      </c>
      <c r="E12" s="28" t="inlineStr">
        <is>
          <t>A settled transaction with an AMOUNT_MISMATCH against the bank statement</t>
        </is>
      </c>
      <c r="F12" s="28" t="inlineStr">
        <is>
          <t>1. Resolve the mismatch
2. Inspect the postings and the resulting balance</t>
        </is>
      </c>
      <c r="G12" s="28" t="inlineStr">
        <is>
          <t>The four-step unwind is applied and the corrected amount is reflected; no posting is edited in place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Settled Corrections</t>
        </is>
      </c>
      <c r="B13" s="29" t="inlineStr">
        <is>
          <t>TC-Missing-12</t>
        </is>
      </c>
      <c r="C13" s="28" t="inlineStr">
        <is>
          <t>Unwind Postings Replay and Recompute With No Special-Casing</t>
        </is>
      </c>
      <c r="D13" s="29" t="inlineStr">
        <is>
          <t>High</t>
        </is>
      </c>
      <c r="E13" s="28" t="inlineStr">
        <is>
          <t>A wallet carrying a completed pair-adjustment unwind</t>
        </is>
      </c>
      <c r="F13" s="28" t="inlineStr">
        <is>
          <t>1. Run an EMI-5946 recompute
2. Run an EMI-5945 rebuild over the range</t>
        </is>
      </c>
      <c r="G13" s="28" t="inlineStr">
        <is>
          <t>Both handle the four postings as ordinary postings and produce the corrected position</t>
        </is>
      </c>
      <c r="H13" s="29" t="inlineStr">
        <is>
          <t>Not Tested</t>
        </is>
      </c>
      <c r="I13" s="29" t="inlineStr">
        <is>
          <t>Integration</t>
        </is>
      </c>
    </row>
    <row r="14" ht="36" customHeight="1">
      <c r="A14" s="28" t="inlineStr">
        <is>
          <t>Idempotency</t>
        </is>
      </c>
      <c r="B14" s="29" t="inlineStr">
        <is>
          <t>TC-Missing-13</t>
        </is>
      </c>
      <c r="C14" s="28" t="inlineStr">
        <is>
          <t>Re-Running Reconciliation Never Inserts the Same Adjustment Twice</t>
        </is>
      </c>
      <c r="D14" s="29" t="inlineStr">
        <is>
          <t>High</t>
        </is>
      </c>
      <c r="E14" s="28" t="inlineStr">
        <is>
          <t>A statement already reconciled once</t>
        </is>
      </c>
      <c r="F14" s="28" t="inlineStr">
        <is>
          <t>1. Re-run reconciliation over the same statement
2. Count the adjustment postings</t>
        </is>
      </c>
      <c r="G14" s="28" t="inlineStr">
        <is>
          <t>No duplicate adjustment is inserted; idempotency is keyed on the bank reference plus the recon scope</t>
        </is>
      </c>
      <c r="H14" s="29" t="inlineStr">
        <is>
          <t>Not Tested</t>
        </is>
      </c>
      <c r="I14" s="29" t="inlineStr">
        <is>
          <t>Integration</t>
        </is>
      </c>
    </row>
    <row r="15" ht="36" customHeight="1">
      <c r="A15" s="28" t="inlineStr">
        <is>
          <t>Idempotency</t>
        </is>
      </c>
      <c r="B15" s="29" t="inlineStr">
        <is>
          <t>TC-Missing-14</t>
        </is>
      </c>
      <c r="C15" s="28" t="inlineStr">
        <is>
          <t>Partial Re-Run Over an Overlapping Statement Window</t>
        </is>
      </c>
      <c r="D15" s="29" t="inlineStr">
        <is>
          <t>High</t>
        </is>
      </c>
      <c r="E15" s="28" t="inlineStr">
        <is>
          <t>Two reconciliation runs whose statement windows overlap</t>
        </is>
      </c>
      <c r="F15" s="28" t="inlineStr">
        <is>
          <t>1. Run both
2. Inspect the postings for items in the overlap</t>
        </is>
      </c>
      <c r="G15" s="28" t="inlineStr">
        <is>
          <t>Items in the overlap are resolved exactly once; the overlap creates no duplicates</t>
        </is>
      </c>
      <c r="H15" s="29" t="inlineStr">
        <is>
          <t>Not Tested</t>
        </is>
      </c>
      <c r="I15" s="29" t="inlineStr">
        <is>
          <t>Integration</t>
        </is>
      </c>
    </row>
    <row r="16" ht="36" customHeight="1">
      <c r="A16" s="28" t="inlineStr">
        <is>
          <t>Traceability</t>
        </is>
      </c>
      <c r="B16" s="29" t="inlineStr">
        <is>
          <t>TC-Missing-15</t>
        </is>
      </c>
      <c r="C16" s="28" t="inlineStr">
        <is>
          <t>Auto-Inserts Are Distinguishable From Organic Postings</t>
        </is>
      </c>
      <c r="D16" s="29" t="inlineStr">
        <is>
          <t>High</t>
        </is>
      </c>
      <c r="E16" s="28" t="inlineStr">
        <is>
          <t>A ledger containing both auto-inserted adjustments and organic postings</t>
        </is>
      </c>
      <c r="F16" s="28" t="inlineStr">
        <is>
          <t>1. Open the reconciliation report
2. Query the ledger for auto-inserts</t>
        </is>
      </c>
      <c r="G16" s="28" t="inlineStr">
        <is>
          <t>Every auto-insert appears in the report with its recon_id and is distinguishable from an organic posting</t>
        </is>
      </c>
      <c r="H16" s="29" t="inlineStr">
        <is>
          <t>Not Tested</t>
        </is>
      </c>
      <c r="I16" s="29" t="inlineStr">
        <is>
          <t>Observability</t>
        </is>
      </c>
    </row>
    <row r="17" ht="36" customHeight="1">
      <c r="A17" s="28" t="inlineStr">
        <is>
          <t>Traceability</t>
        </is>
      </c>
      <c r="B17" s="29" t="inlineStr">
        <is>
          <t>TC-Missing-16</t>
        </is>
      </c>
      <c r="C17" s="28" t="inlineStr">
        <is>
          <t>Daily Auto-Insert Count and Value Are Trended and Threshold-Alerted</t>
        </is>
      </c>
      <c r="D17" s="29" t="inlineStr">
        <is>
          <t>High</t>
        </is>
      </c>
      <c r="E17" s="28" t="inlineStr">
        <is>
          <t>A period of reconciliation activity</t>
        </is>
      </c>
      <c r="F17" s="28" t="inlineStr">
        <is>
          <t>1. Open the trend view
2. Cross the configured alert threshold</t>
        </is>
      </c>
      <c r="G17" s="28" t="inlineStr">
        <is>
          <t>Daily count and value of auto-inserts are trended; crossing the threshold raises an alert, so a rising auto-insert rate is visible before it becomes an incident</t>
        </is>
      </c>
      <c r="H17" s="29" t="inlineStr">
        <is>
          <t>Not Tested</t>
        </is>
      </c>
      <c r="I17" s="29" t="inlineStr">
        <is>
          <t>Observability</t>
        </is>
      </c>
    </row>
    <row r="18" ht="36" customHeight="1">
      <c r="A18" s="28" t="inlineStr">
        <is>
          <t>Traceability</t>
        </is>
      </c>
      <c r="B18" s="29" t="inlineStr">
        <is>
          <t>TC-Missing-17</t>
        </is>
      </c>
      <c r="C18" s="28" t="inlineStr">
        <is>
          <t>Escalated Items Are Traceable From Detection to Resolution</t>
        </is>
      </c>
      <c r="D18" s="29" t="inlineStr">
        <is>
          <t>Medium</t>
        </is>
      </c>
      <c r="E18" s="28" t="inlineStr">
        <is>
          <t>An escalated item resolved by a reviewer</t>
        </is>
      </c>
      <c r="F18" s="28" t="inlineStr">
        <is>
          <t>1. Trace the item from detection through the queue to its posting</t>
        </is>
      </c>
      <c r="G18" s="28" t="inlineStr">
        <is>
          <t>The full chain is traceable, carrying the recon_id, the bank reference and the reviewer identity</t>
        </is>
      </c>
      <c r="H18" s="29" t="inlineStr">
        <is>
          <t>Not Tested</t>
        </is>
      </c>
      <c r="I18" s="29" t="inlineStr">
        <is>
          <t>Integration</t>
        </is>
      </c>
    </row>
    <row r="19" ht="36" customHeight="1">
      <c r="A19" s="28" t="inlineStr">
        <is>
          <t>Integration</t>
        </is>
      </c>
      <c r="B19" s="29" t="inlineStr">
        <is>
          <t>TC-Missing-18</t>
        </is>
      </c>
      <c r="C19" s="28" t="inlineStr">
        <is>
          <t>Adjustment After a Sealed Close Belongs to the Next Business Day</t>
        </is>
      </c>
      <c r="D19" s="29" t="inlineStr">
        <is>
          <t>High</t>
        </is>
      </c>
      <c r="E19" s="28" t="inlineStr">
        <is>
          <t>A sealed EMI-5954 close and an adjustment resolving an item for that day</t>
        </is>
      </c>
      <c r="F19" s="28" t="inlineStr">
        <is>
          <t>1. Insert the adjustment after the seal
2. Inspect the sealed close and the next day</t>
        </is>
      </c>
      <c r="G19" s="28" t="inlineStr">
        <is>
          <t>The adjustment lands in the next business day and the sealed close is untouched</t>
        </is>
      </c>
      <c r="H19" s="29" t="inlineStr">
        <is>
          <t>Not Tested</t>
        </is>
      </c>
      <c r="I19" s="29" t="inlineStr">
        <is>
          <t>Integration</t>
        </is>
      </c>
    </row>
  </sheetData>
  <autoFilter ref="A1:I19"/>
  <conditionalFormatting sqref="H2:H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9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E2E - Detect to Repair</t>
        </is>
      </c>
      <c r="B2" s="29" t="inlineStr">
        <is>
          <t>TC-BalE2E-01</t>
        </is>
      </c>
      <c r="C2" s="28" t="inlineStr">
        <is>
          <t>Drifted Wallet Detected, Quarantined, Recomputed and Cleared</t>
        </is>
      </c>
      <c r="D2" s="29" t="inlineStr">
        <is>
          <t>High</t>
        </is>
      </c>
      <c r="E2" s="28" t="inlineStr">
        <is>
          <t>A wallet whose buckets have drifted from the ledger; detection, recompute and reporting all enabled</t>
        </is>
      </c>
      <c r="F2" s="28" t="inlineStr">
        <is>
          <t>1. Introduce the drift
2. Let the EMI-5950 sweep detect it
3. Observe the quarantine
4. Let EMI-5946 recompute run
5. Re-run the sweep</t>
        </is>
      </c>
      <c r="G2" s="28" t="inlineStr">
        <is>
          <t>The sweep detects the variance and records it per bucket; only that wallet is quarantined; recompute is invoked for that scope alone and corrects the buckets; the follow-up sweep is clean and the whole chain shares one run id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E2E - Detect to Repair</t>
        </is>
      </c>
      <c r="B3" s="29" t="inlineStr">
        <is>
          <t>TC-BalE2E-02</t>
        </is>
      </c>
      <c r="C3" s="28" t="inlineStr">
        <is>
          <t>Missing VAT Leg Found by Conservation and Traced to Its Cause</t>
        </is>
      </c>
      <c r="D3" s="29" t="inlineStr">
        <is>
          <t>High</t>
        </is>
      </c>
      <c r="E3" s="28" t="inlineStr">
        <is>
          <t>A transaction whose VAT leg was never applied, leaving every wallet internally consistent</t>
        </is>
      </c>
      <c r="F3" s="28" t="inlineStr">
        <is>
          <t>1. Run the per-wallet identity check
2. Run the cross-wallet conservation check
3. Follow the attribution</t>
        </is>
      </c>
      <c r="G3" s="28" t="inlineStr">
        <is>
          <t>Per-wallet passes, conservation reports a shortfall, and the shortfall is attributed to lifecycle ordering (EMI-5949) rather than to duplicate application. The failure is diagnosable from the record alone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E2E - Detect to Repair</t>
        </is>
      </c>
      <c r="B4" s="29" t="inlineStr">
        <is>
          <t>TC-BalE2E-03</t>
        </is>
      </c>
      <c r="C4" s="28" t="inlineStr">
        <is>
          <t>Duplicated Leg Found as a Surplus and Attributed to Idempotency</t>
        </is>
      </c>
      <c r="D4" s="29" t="inlineStr">
        <is>
          <t>High</t>
        </is>
      </c>
      <c r="E4" s="28" t="inlineStr">
        <is>
          <t>A destination leg applied twice</t>
        </is>
      </c>
      <c r="F4" s="28" t="inlineStr">
        <is>
          <t>1. Run the conservation check
2. Follow the attribution</t>
        </is>
      </c>
      <c r="G4" s="28" t="inlineStr">
        <is>
          <t>A surplus is recorded, distinguished from a shortfall, and attributed to consumer idempotency (EMI-5948). Recompute then restores the correct position</t>
        </is>
      </c>
      <c r="H4" s="29" t="inlineStr">
        <is>
          <t>Not Tested</t>
        </is>
      </c>
      <c r="I4" s="29" t="inlineStr">
        <is>
          <t>Integration</t>
        </is>
      </c>
    </row>
    <row r="5" ht="36" customHeight="1">
      <c r="A5" s="28" t="inlineStr">
        <is>
          <t>E2E - Two Repair Modes</t>
        </is>
      </c>
      <c r="B5" s="29" t="inlineStr">
        <is>
          <t>TC-BalE2E-04</t>
        </is>
      </c>
      <c r="C5" s="28" t="inlineStr">
        <is>
          <t>Balance Wrong but Statement Right Routes to Recompute Only</t>
        </is>
      </c>
      <c r="D5" s="29" t="inlineStr">
        <is>
          <t>High</t>
        </is>
      </c>
      <c r="E5" s="28" t="inlineStr">
        <is>
          <t>A wallet whose buckets are wrong while its statement rows are correct</t>
        </is>
      </c>
      <c r="F5" s="28" t="inlineStr">
        <is>
          <t>1. Let detection classify the variance
2. Observe which repair runs
3. Compare the statement sequence before and after</t>
        </is>
      </c>
      <c r="G5" s="28" t="inlineStr">
        <is>
          <t>Recompute runs and completes in seconds; the statement rebuild is not invoked; the running_balance entry sequence is provably unchanged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E2E - Two Repair Modes</t>
        </is>
      </c>
      <c r="B6" s="29" t="inlineStr">
        <is>
          <t>TC-BalE2E-05</t>
        </is>
      </c>
      <c r="C6" s="28" t="inlineStr">
        <is>
          <t>Statement Wrong Routes to Rebuild After Explicit Confirmation</t>
        </is>
      </c>
      <c r="D6" s="29" t="inlineStr">
        <is>
          <t>High</t>
        </is>
      </c>
      <c r="E6" s="28" t="inlineStr">
        <is>
          <t>A wallet whose per-entry before and after values are wrong</t>
        </is>
      </c>
      <c r="F6" s="28" t="inlineStr">
        <is>
          <t>1. Let detection flag that a statement rebuild is required
2. Confirm and trigger the rebuild explicitly
3. Verify the regenerated sequence</t>
        </is>
      </c>
      <c r="G6" s="28" t="inlineStr">
        <is>
          <t>The rebuild is flagged but never auto-invoked; once triggered it archives, replays in deterministic order and reports variance; the regenerated sequence is reproducible on a second run</t>
        </is>
      </c>
      <c r="H6" s="29" t="inlineStr">
        <is>
          <t>Not Tested</t>
        </is>
      </c>
      <c r="I6" s="29" t="inlineStr">
        <is>
          <t>Integration</t>
        </is>
      </c>
    </row>
    <row r="7" ht="36" customHeight="1">
      <c r="A7" s="28" t="inlineStr">
        <is>
          <t>E2E - Two Repair Modes</t>
        </is>
      </c>
      <c r="B7" s="29" t="inlineStr">
        <is>
          <t>TC-BalE2E-06</t>
        </is>
      </c>
      <c r="C7" s="28" t="inlineStr">
        <is>
          <t>The Two Repair Modes Never Run Concurrently on One Wallet</t>
        </is>
      </c>
      <c r="D7" s="29" t="inlineStr">
        <is>
          <t>High</t>
        </is>
      </c>
      <c r="E7" s="28" t="inlineStr">
        <is>
          <t>A repair in flight on a wallet</t>
        </is>
      </c>
      <c r="F7" s="28" t="inlineStr">
        <is>
          <t>1. Start a recompute and request a rebuild for the same wallet
2. Reverse the order and repeat</t>
        </is>
      </c>
      <c r="G7" s="28" t="inlineStr">
        <is>
          <t>Whichever starts second is rejected with a conflict error in both directions; scope locking is mutually exclusive</t>
        </is>
      </c>
      <c r="H7" s="29" t="inlineStr">
        <is>
          <t>Not Tested</t>
        </is>
      </c>
      <c r="I7" s="29" t="inlineStr">
        <is>
          <t>Integration</t>
        </is>
      </c>
    </row>
    <row r="8" ht="36" customHeight="1">
      <c r="A8" s="28" t="inlineStr">
        <is>
          <t>E2E - Lifecycle</t>
        </is>
      </c>
      <c r="B8" s="29" t="inlineStr">
        <is>
          <t>TC-BalE2E-07</t>
        </is>
      </c>
      <c r="C8" s="28" t="inlineStr">
        <is>
          <t>Full Transaction Lifecycle Keeps the Identity at Every Step</t>
        </is>
      </c>
      <c r="D8" s="29" t="inlineStr">
        <is>
          <t>High</t>
        </is>
      </c>
      <c r="E8" s="28" t="inlineStr">
        <is>
          <t>A transaction with principal, commission and VAT legs</t>
        </is>
      </c>
      <c r="F8" s="28" t="inlineStr">
        <is>
          <t>1. Reserve, then settle
2. After each posting, assert the per-wallet identity on every participating wallet and the cross-wallet conservation</t>
        </is>
      </c>
      <c r="G8" s="28" t="inlineStr">
        <is>
          <t>current = available + reserve_debit holds on every wallet after every posting; reserve_credit is excluded from current throughout; conservation holds for the whole reserve window and resolves to zero on settlement</t>
        </is>
      </c>
      <c r="H8" s="29" t="inlineStr">
        <is>
          <t>Not Tested</t>
        </is>
      </c>
      <c r="I8" s="29" t="inlineStr">
        <is>
          <t>Edge / Boundary</t>
        </is>
      </c>
    </row>
    <row r="9" ht="36" customHeight="1">
      <c r="A9" s="28" t="inlineStr">
        <is>
          <t>E2E - Lifecycle</t>
        </is>
      </c>
      <c r="B9" s="29" t="inlineStr">
        <is>
          <t>TC-BalE2E-08</t>
        </is>
      </c>
      <c r="C9" s="28" t="inlineStr">
        <is>
          <t>Failed Transaction Returns Every Party to Its Starting Position</t>
        </is>
      </c>
      <c r="D9" s="29" t="inlineStr">
        <is>
          <t>High</t>
        </is>
      </c>
      <c r="E9" s="28" t="inlineStr">
        <is>
          <t>A transaction that reserves then fails</t>
        </is>
      </c>
      <c r="F9" s="28" t="inlineStr">
        <is>
          <t>1. Record all four buckets for every participating wallet
2. Reserve, then fail
3. Re-read all buckets</t>
        </is>
      </c>
      <c r="G9" s="28" t="inlineStr">
        <is>
          <t>Every wallet returns exactly to its starting position across all four buckets; no reserve is left behind on any leg including commission and VAT</t>
        </is>
      </c>
      <c r="H9" s="29" t="inlineStr">
        <is>
          <t>Not Tested</t>
        </is>
      </c>
      <c r="I9" s="29" t="inlineStr">
        <is>
          <t>Edge / Boundary</t>
        </is>
      </c>
    </row>
    <row r="10" ht="36" customHeight="1">
      <c r="A10" s="28" t="inlineStr">
        <is>
          <t>E2E - Lifecycle</t>
        </is>
      </c>
      <c r="B10" s="29" t="inlineStr">
        <is>
          <t>TC-BalE2E-09</t>
        </is>
      </c>
      <c r="C10" s="28" t="inlineStr">
        <is>
          <t>Adjustment of a Settled Transaction Flows Through Every Layer</t>
        </is>
      </c>
      <c r="D10" s="29" t="inlineStr">
        <is>
          <t>High</t>
        </is>
      </c>
      <c r="E10" s="28" t="inlineStr">
        <is>
          <t>A settled transaction requiring correction</t>
        </is>
      </c>
      <c r="F10" s="28" t="inlineStr">
        <is>
          <t>1. Apply the four-step pair-adjustment unwind
2. Let the projection settle
3. Run a recompute
4. Run a rebuild over the range</t>
        </is>
      </c>
      <c r="G10" s="28" t="inlineStr">
        <is>
          <t>The four appended postings flow through the consumer, the recompute aggregate and the replay with no special-casing anywhere; all three layers agree on the corrected position and no history is edited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E2E - Stuck Reserves</t>
        </is>
      </c>
      <c r="B11" s="29" t="inlineStr">
        <is>
          <t>TC-BalE2E-10</t>
        </is>
      </c>
      <c r="C11" s="28" t="inlineStr">
        <is>
          <t>Stuck Reserve Detected, Traced and Resolved Through the Correction Path</t>
        </is>
      </c>
      <c r="D11" s="29" t="inlineStr">
        <is>
          <t>High</t>
        </is>
      </c>
      <c r="E11" s="28" t="inlineStr">
        <is>
          <t>A reserve with no releasing event, aged past its threshold</t>
        </is>
      </c>
      <c r="F11" s="28" t="inlineStr">
        <is>
          <t>1. Let EMI-5951 detection flag it
2. Trace it to the absent releasing event
3. Resolve it through the existing correction path
4. Re-run detection and recompute</t>
        </is>
      </c>
      <c r="G11" s="28" t="inlineStr">
        <is>
          <t>The reserve is flagged with correct age and amount, traceable to its origin, resolved without any new money-movement path, and the item records its resolution; the follow-up detection run is clean</t>
        </is>
      </c>
      <c r="H11" s="29" t="inlineStr">
        <is>
          <t>Not Tested</t>
        </is>
      </c>
      <c r="I11" s="29" t="inlineStr">
        <is>
          <t>Integration</t>
        </is>
      </c>
    </row>
    <row r="12" ht="36" customHeight="1">
      <c r="A12" s="28" t="inlineStr">
        <is>
          <t>E2E - Stuck Reserves</t>
        </is>
      </c>
      <c r="B12" s="29" t="inlineStr">
        <is>
          <t>TC-BalE2E-11</t>
        </is>
      </c>
      <c r="C12" s="28" t="inlineStr">
        <is>
          <t>TTL Prevention and Stuck-Reserve Detection Never Double-Act</t>
        </is>
      </c>
      <c r="D12" s="29" t="inlineStr">
        <is>
          <t>High</t>
        </is>
      </c>
      <c r="E12" s="28" t="inlineStr">
        <is>
          <t>A pending item that both the Payments TTL job and stuck-reserve detection could act on</t>
        </is>
      </c>
      <c r="F12" s="28" t="inlineStr">
        <is>
          <t>1. Let both run over the same item</t>
        </is>
      </c>
      <c r="G12" s="28" t="inlineStr">
        <is>
          <t>Exactly one acts. EMI-6031 prevents on a clock and EMI-5951 detects what slips through; neither double-acts on the same item and no duplicate compensating posting is created</t>
        </is>
      </c>
      <c r="H12" s="29" t="inlineStr">
        <is>
          <t>Not Tested</t>
        </is>
      </c>
      <c r="I12" s="29" t="inlineStr">
        <is>
          <t>Integration</t>
        </is>
      </c>
    </row>
    <row r="13" ht="36" customHeight="1">
      <c r="A13" s="28" t="inlineStr">
        <is>
          <t>E2E - Daily Close</t>
        </is>
      </c>
      <c r="B13" s="29" t="inlineStr">
        <is>
          <t>TC-BalE2E-12</t>
        </is>
      </c>
      <c r="C13" s="28" t="inlineStr">
        <is>
          <t>Clean Day Seals and Anchors the Next Day</t>
        </is>
      </c>
      <c r="D13" s="29" t="inlineStr">
        <is>
          <t>High</t>
        </is>
      </c>
      <c r="E13" s="28" t="inlineStr">
        <is>
          <t>A trading day with zero variance</t>
        </is>
      </c>
      <c r="F13" s="28" t="inlineStr">
        <is>
          <t>1. Run the day's transactions
2. Let the EOD close compute and verify
3. Observe sealing
4. Run the next day and compare its opening</t>
        </is>
      </c>
      <c r="G13" s="28" t="inlineStr">
        <is>
          <t>The close verifies against the ledger, passes the estate tie-out and seals; the next day opens exactly on the sealed closing across all four buckets</t>
        </is>
      </c>
      <c r="H13" s="29" t="inlineStr">
        <is>
          <t>Not Tested</t>
        </is>
      </c>
      <c r="I13" s="29" t="inlineStr">
        <is>
          <t>Edge / Boundary</t>
        </is>
      </c>
    </row>
    <row r="14" ht="36" customHeight="1">
      <c r="A14" s="28" t="inlineStr">
        <is>
          <t>E2E - Daily Close</t>
        </is>
      </c>
      <c r="B14" s="29" t="inlineStr">
        <is>
          <t>TC-BalE2E-13</t>
        </is>
      </c>
      <c r="C14" s="28" t="inlineStr">
        <is>
          <t>Variance Day Holds Sealing Until Repaired or Signed Off</t>
        </is>
      </c>
      <c r="D14" s="29" t="inlineStr">
        <is>
          <t>High</t>
        </is>
      </c>
      <c r="E14" s="28" t="inlineStr">
        <is>
          <t>A trading day whose close verification finds variance</t>
        </is>
      </c>
      <c r="F14" s="28" t="inlineStr">
        <is>
          <t>1. Run the close
2. Observe the sealing gate
3. Let recompute run
4. Re-verify and seal</t>
        </is>
      </c>
      <c r="G14" s="28" t="inlineStr">
        <is>
          <t>Sealing is held; recompute is invoked for the affected scope; once the position is corrected the close verifies and seals, with the variance recorded on the close</t>
        </is>
      </c>
      <c r="H14" s="29" t="inlineStr">
        <is>
          <t>Not Tested</t>
        </is>
      </c>
      <c r="I14" s="29" t="inlineStr">
        <is>
          <t>Functional</t>
        </is>
      </c>
    </row>
    <row r="15" ht="36" customHeight="1">
      <c r="A15" s="28" t="inlineStr">
        <is>
          <t>E2E - Reconciliation</t>
        </is>
      </c>
      <c r="B15" s="29" t="inlineStr">
        <is>
          <t>TC-BalE2E-14</t>
        </is>
      </c>
      <c r="C15" s="28" t="inlineStr">
        <is>
          <t>EMI_MISSING Item Resolved and Reflected in the Sealed Close</t>
        </is>
      </c>
      <c r="D15" s="29" t="inlineStr">
        <is>
          <t>High</t>
        </is>
      </c>
      <c r="E15" s="28" t="inlineStr">
        <is>
          <t>A bank statement carrying an EMI_MISSING item that passes all checks</t>
        </is>
      </c>
      <c r="F15" s="28" t="inlineStr">
        <is>
          <t>1. Run reconciliation and let the adjustment be auto-inserted
2. Let the projection settle
3. Run the EOD close</t>
        </is>
      </c>
      <c r="G15" s="28" t="inlineStr">
        <is>
          <t>The adjustment is appended, flows through the normal CDC path, is aggregated by recompute with no special-casing, and is reflected in that day's close; the ledger is never edited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E2E - Reconciliation</t>
        </is>
      </c>
      <c r="B16" s="29" t="inlineStr">
        <is>
          <t>TC-BalE2E-15</t>
        </is>
      </c>
      <c r="C16" s="28" t="inlineStr">
        <is>
          <t>Estate Tie-Out Reconciles Against the Safeguarding Position</t>
        </is>
      </c>
      <c r="D16" s="29" t="inlineStr">
        <is>
          <t>High</t>
        </is>
      </c>
      <c r="E16" s="28" t="inlineStr">
        <is>
          <t>A full estate at end of day with unsettled incoming payments present</t>
        </is>
      </c>
      <c r="F16" s="28" t="inlineStr">
        <is>
          <t>1. Run the estate tie-out
2. Compare the wallet sum against settled ledger postings and against the safeguarding account</t>
        </is>
      </c>
      <c r="G16" s="28" t="inlineStr">
        <is>
          <t>The sums agree and tie to the safeguarding position; reserve_credit is excluded so issued e-money is not overstated by unsettled incoming payments</t>
        </is>
      </c>
      <c r="H16" s="29" t="inlineStr">
        <is>
          <t>Not Tested</t>
        </is>
      </c>
      <c r="I16" s="29" t="inlineStr">
        <is>
          <t>Functional</t>
        </is>
      </c>
    </row>
    <row r="17" ht="36" customHeight="1">
      <c r="A17" s="28" t="inlineStr">
        <is>
          <t>E2E - Resilience</t>
        </is>
      </c>
      <c r="B17" s="29" t="inlineStr">
        <is>
          <t>TC-BalE2E-16</t>
        </is>
      </c>
      <c r="C17" s="28" t="inlineStr">
        <is>
          <t>Full Repair Cycle Is Idempotent End to End</t>
        </is>
      </c>
      <c r="D17" s="29" t="inlineStr">
        <is>
          <t>High</t>
        </is>
      </c>
      <c r="E17" s="28" t="inlineStr">
        <is>
          <t>A wallet requiring both a recompute and a rebuild</t>
        </is>
      </c>
      <c r="F17" s="28" t="inlineStr">
        <is>
          <t>1. Run detection, recompute, rebuild and close in sequence
2. Re-run the entire sequence over the unchanged ledger</t>
        </is>
      </c>
      <c r="G17" s="28" t="inlineStr">
        <is>
          <t>The second pass changes nothing: recompute is a NO_OP, rebuild is a NO_OP, the close is unchanged, and every run is still recorded so the checks themselves stay auditable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E2E - Prevention</t>
        </is>
      </c>
      <c r="B18" s="29" t="inlineStr">
        <is>
          <t>TC-BalE2E-17</t>
        </is>
      </c>
      <c r="C18" s="28" t="inlineStr">
        <is>
          <t>All Three Guards Together Under a Hostile Delivery Profile</t>
        </is>
      </c>
      <c r="D18" s="29" t="inlineStr">
        <is>
          <t>High</t>
        </is>
      </c>
      <c r="E18" s="28" t="inlineStr">
        <is>
          <t>Partitioning, idempotency and the lifecycle guard all active; a transaction spanning source, destination, commission and VAT wallets</t>
        </is>
      </c>
      <c r="F18" s="28" t="inlineStr">
        <is>
          <t>1. Deliver the full lifecycle out of order, with duplicates, across a forced consumer rebalance and a connector restart
2. Let the pipeline converge
3. Assert per-wallet identity and cross-wallet conservation on every participating wallet
4. Run an EMI-5946 recompute and compare</t>
        </is>
      </c>
      <c r="G18" s="28" t="inlineStr">
        <is>
          <t>Per-wallet ordering holds, duplicates are discarded and counted, out-of-order dependants are parked and resolve on arrival; all four buckets converge correctly on every wallet, conservation holds, and recompute agrees with the projection</t>
        </is>
      </c>
      <c r="H18" s="29" t="inlineStr">
        <is>
          <t>Not Tested</t>
        </is>
      </c>
      <c r="I18" s="29" t="inlineStr">
        <is>
          <t>Integration</t>
        </is>
      </c>
    </row>
    <row r="19" ht="36" customHeight="1">
      <c r="A19" s="28" t="inlineStr">
        <is>
          <t>E2E - Prevention</t>
        </is>
      </c>
      <c r="B19" s="29" t="inlineStr">
        <is>
          <t>TC-BalE2E-18</t>
        </is>
      </c>
      <c r="C19" s="28" t="inlineStr">
        <is>
          <t>Prevention Reduces the Work Detection and Repair Have to Do</t>
        </is>
      </c>
      <c r="D19" s="29" t="inlineStr">
        <is>
          <t>High</t>
        </is>
      </c>
      <c r="E19" s="28" t="inlineStr">
        <is>
          <t>A comparable traffic period run with the three guards active and with them disabled</t>
        </is>
      </c>
      <c r="F19" s="28" t="inlineStr">
        <is>
          <t>1. Run the same traffic profile in both configurations
2. Compare variance records from EMI-5950, stuck reserves from EMI-5951 and the number of repairs invoked</t>
        </is>
      </c>
      <c r="G19" s="28" t="inlineStr">
        <is>
          <t>With the guards active, detected variance, stuck reserves and repair invocations all drop materially. Detection and repair still run and still find the residue; prevention does not remove the need for either</t>
        </is>
      </c>
      <c r="H19" s="29" t="inlineStr">
        <is>
          <t>Not Tested</t>
        </is>
      </c>
      <c r="I19" s="29" t="inlineStr">
        <is>
          <t>Functional</t>
        </is>
      </c>
    </row>
    <row r="20" ht="36" customHeight="1">
      <c r="A20" s="28" t="inlineStr">
        <is>
          <t>E2E - Prevention</t>
        </is>
      </c>
      <c r="B20" s="29" t="inlineStr">
        <is>
          <t>TC-BalE2E-19</t>
        </is>
      </c>
      <c r="C20" s="28" t="inlineStr">
        <is>
          <t>A Leg Never Produced Is Caught by Detection, Not by Prevention</t>
        </is>
      </c>
      <c r="D20" s="29" t="inlineStr">
        <is>
          <t>High</t>
        </is>
      </c>
      <c r="E20" s="28" t="inlineStr">
        <is>
          <t>All three guards active, with one transaction leg deliberately never produced at all</t>
        </is>
      </c>
      <c r="F20" s="28" t="inlineStr">
        <is>
          <t>1. Run the transaction
2. Observe that no guard fires
3. Run the EMI-5950 cross-wallet conservation check
4. Follow the attribution and the repair</t>
        </is>
      </c>
      <c r="G20" s="28" t="inlineStr">
        <is>
          <t>No prevention guard fires, because nothing arrived out of order or twice. Conservation reports a shortfall, recompute restores the position, and the case is attributed correctly. This is the boundary between the two halves of the epic</t>
        </is>
      </c>
      <c r="H20" s="29" t="inlineStr">
        <is>
          <t>Not Tested</t>
        </is>
      </c>
      <c r="I20" s="29" t="inlineStr">
        <is>
          <t>Edge / Boundary</t>
        </is>
      </c>
    </row>
    <row r="21" ht="36" customHeight="1">
      <c r="A21" s="28" t="inlineStr">
        <is>
          <t>E2E - Prevention</t>
        </is>
      </c>
      <c r="B21" s="29" t="inlineStr">
        <is>
          <t>TC-BalE2E-20</t>
        </is>
      </c>
      <c r="C21" s="28" t="inlineStr">
        <is>
          <t>Full Epic Chain From Delivery to Sealed Close</t>
        </is>
      </c>
      <c r="D21" s="29" t="inlineStr">
        <is>
          <t>High</t>
        </is>
      </c>
      <c r="E21" s="28" t="inlineStr">
        <is>
          <t>All seven story and task behaviours active across one trading day</t>
        </is>
      </c>
      <c r="F21" s="28" t="inlineStr">
        <is>
          <t>1. Run a day of traffic through the guarded pipeline
2. Let detection sweep and repair anything it finds
3. Run the EOD close and let it verify and seal
4. Rebuild a window of statement history and compare</t>
        </is>
      </c>
      <c r="G21" s="28" t="inlineStr">
        <is>
          <t>Postings apply in order, exactly once, with lifecycle respected; detection finds nothing or repairs what it finds; the close verifies against the ledger, passes the estate tie-out and seals; the statement rebuild over the sealed window reproduces the same sequence and reports no variance</t>
        </is>
      </c>
      <c r="H21" s="29" t="inlineStr">
        <is>
          <t>Not Tested</t>
        </is>
      </c>
      <c r="I21" s="29" t="inlineStr">
        <is>
          <t>Edge / Boundary</t>
        </is>
      </c>
    </row>
  </sheetData>
  <autoFilter ref="A1:I21"/>
  <conditionalFormatting sqref="H2:H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2026-09-07T20:11:25Z</dcterms:created>
  <dcterms:modified xmlns:dcterms="http://purl.org/dc/terms/" xmlns:xsi="http://www.w3.org/2001/XMLSchema-instance" xsi:type="dcterms:W3CDTF">2026-09-09T07:18:16Z</dcterms:modified>
</cp:coreProperties>
</file>