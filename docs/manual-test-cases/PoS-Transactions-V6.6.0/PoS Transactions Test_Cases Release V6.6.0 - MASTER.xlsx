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5" autoFilterDateGrouping="1"/>
  </bookViews>
  <sheets>
    <sheet xmlns:r="http://schemas.openxmlformats.org/officeDocument/2006/relationships" name="Overview" sheetId="1" state="visible" r:id="rId1"/>
    <sheet xmlns:r="http://schemas.openxmlformats.org/officeDocument/2006/relationships" name="Coverage Matrix" sheetId="2" state="visible" r:id="rId2"/>
    <sheet xmlns:r="http://schemas.openxmlformats.org/officeDocument/2006/relationships" name="Callback Ingestion &amp; Valid" sheetId="3" state="visible" r:id="rId3"/>
    <sheet xmlns:r="http://schemas.openxmlformats.org/officeDocument/2006/relationships" name="Wallet Crediting &amp; Visib" sheetId="4" state="visible" r:id="rId4"/>
    <sheet xmlns:r="http://schemas.openxmlformats.org/officeDocument/2006/relationships" name="Wallet Payment at Terminal" sheetId="5" state="visible" r:id="rId5"/>
    <sheet xmlns:r="http://schemas.openxmlformats.org/officeDocument/2006/relationships" name="PoS Refunds" sheetId="6" state="visible" r:id="rId6"/>
    <sheet xmlns:r="http://schemas.openxmlformats.org/officeDocument/2006/relationships" name="Void &amp; Technical Reversal" sheetId="7" state="visible" r:id="rId7"/>
    <sheet xmlns:r="http://schemas.openxmlformats.org/officeDocument/2006/relationships" name="Recon &amp; Three-Way Match" sheetId="8" state="visible" r:id="rId8"/>
    <sheet xmlns:r="http://schemas.openxmlformats.org/officeDocument/2006/relationships" name="PoS Commission Config" sheetId="9" state="visible" r:id="rId9"/>
    <sheet xmlns:r="http://schemas.openxmlformats.org/officeDocument/2006/relationships" name="ACH &amp; VIBAN per TID" sheetId="10" state="visible" r:id="rId10"/>
    <sheet xmlns:r="http://schemas.openxmlformats.org/officeDocument/2006/relationships" name="PoS Compliance Gates" sheetId="11" state="visible" r:id="rId11"/>
    <sheet xmlns:r="http://schemas.openxmlformats.org/officeDocument/2006/relationships" name="Settlement Grouping &amp; Gate 1" sheetId="12" state="visible" r:id="rId12"/>
    <sheet xmlns:r="http://schemas.openxmlformats.org/officeDocument/2006/relationships" name="PTS Retrieval &amp; Parsing" sheetId="13" state="visible" r:id="rId13"/>
    <sheet xmlns:r="http://schemas.openxmlformats.org/officeDocument/2006/relationships" name="ZATCA e-invoicing" sheetId="14" state="visible" r:id="rId14"/>
    <sheet xmlns:r="http://schemas.openxmlformats.org/officeDocument/2006/relationships" name="E2E Business Flows" sheetId="15" state="visible" r:id="rId15"/>
  </sheets>
  <definedNames>
    <definedName name="_xlnm._FilterDatabase" localSheetId="1" hidden="1">'Coverage Matrix'!$A$1:$F$26</definedName>
    <definedName name="_xlnm._FilterDatabase" localSheetId="2" hidden="1">'Callback Ingestion &amp; Valid'!$A$1:$I$52</definedName>
    <definedName name="_xlnm._FilterDatabase" localSheetId="3" hidden="1">'Wallet Crediting &amp; Visib'!$A$1:$I$36</definedName>
    <definedName name="_xlnm._FilterDatabase" localSheetId="4" hidden="1">'Wallet Payment at Terminal'!$A$1:$I$43</definedName>
    <definedName name="_xlnm._FilterDatabase" localSheetId="5" hidden="1">'PoS Refunds'!$A$1:$I$41</definedName>
    <definedName name="_xlnm._FilterDatabase" localSheetId="6" hidden="1">'Void &amp; Technical Reversal'!$A$1:$I$20</definedName>
    <definedName name="_xlnm._FilterDatabase" localSheetId="7" hidden="1">'Recon &amp; Three-Way Match'!$A$1:$I$32</definedName>
    <definedName name="_xlnm._FilterDatabase" localSheetId="8" hidden="1">'PoS Commission Config'!$A$1:$I$32</definedName>
    <definedName name="_xlnm._FilterDatabase" localSheetId="9" hidden="1">'ACH &amp; VIBAN per TID'!$A$1:$I$96</definedName>
    <definedName name="_xlnm._FilterDatabase" localSheetId="10" hidden="1">'PoS Compliance Gates'!$A$1:$I$19</definedName>
    <definedName name="_xlnm._FilterDatabase" localSheetId="11" hidden="1">'Settlement Grouping &amp; Gate 1'!$A$1:$I$30</definedName>
    <definedName name="_xlnm._FilterDatabase" localSheetId="12" hidden="1">'PTS Retrieval &amp; Parsing'!$A$1:$I$37</definedName>
    <definedName name="_xlnm._FilterDatabase" localSheetId="13" hidden="1">'ZATCA e-invoicing'!$A$1:$I$13</definedName>
    <definedName name="_xlnm._FilterDatabase" localSheetId="14" hidden="1">'E2E Business Flows'!$A$1:$I$17</definedName>
  </definedNames>
  <calcPr calcId="19102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Arial"/>
      <b val="1"/>
      <color rgb="FFFFFFFF"/>
      <sz val="10"/>
    </font>
    <font>
      <name val="Arial"/>
      <b val="1"/>
      <color rgb="FF000000"/>
      <sz val="9"/>
    </font>
    <font>
      <name val="Arial"/>
      <color rgb="FF000000"/>
      <sz val="9"/>
    </font>
    <font>
      <name val="Arial"/>
      <b val="1"/>
      <color rgb="FF1F4E78"/>
      <sz val="13"/>
    </font>
    <font>
      <name val="Arial"/>
      <b val="1"/>
      <color rgb="FF000000"/>
      <sz val="10"/>
    </font>
    <font>
      <name val="Arial"/>
      <b val="1"/>
      <color rgb="FF375623"/>
      <sz val="9"/>
    </font>
    <font>
      <name val="Arial"/>
      <b val="1"/>
      <color rgb="FFC65911"/>
      <sz val="9"/>
    </font>
    <font>
      <name val="Arial"/>
      <b val="1"/>
      <color rgb="FF833C0C"/>
      <sz val="9"/>
    </font>
    <font>
      <name val="Arial"/>
      <b val="1"/>
      <color rgb="FF595959"/>
      <sz val="9"/>
    </font>
    <font>
      <name val="Arial"/>
      <b val="1"/>
      <color rgb="FF7030A0"/>
      <sz val="9"/>
    </font>
    <font>
      <name val="Arial"/>
      <b val="1"/>
      <color rgb="FF7F7F7F"/>
      <sz val="9"/>
    </font>
    <font>
      <name val="Calibri"/>
      <family val="2"/>
      <sz val="8"/>
      <scheme val="minor"/>
    </font>
    <font>
      <name val="Arial"/>
      <family val="2"/>
      <b val="1"/>
      <color rgb="FF000000"/>
      <sz val="9"/>
    </font>
    <font>
      <color rgb="00000000"/>
    </font>
    <font>
      <name val="Arial"/>
      <sz val="9"/>
    </font>
  </fonts>
  <fills count="15">
    <fill>
      <patternFill/>
    </fill>
    <fill>
      <patternFill patternType="gray125"/>
    </fill>
    <fill>
      <patternFill patternType="solid">
        <fgColor rgb="FF1F4E78"/>
        <bgColor rgb="FF1F4E78"/>
      </patternFill>
    </fill>
    <fill>
      <patternFill patternType="solid">
        <fgColor rgb="FFD9E2F3"/>
        <bgColor rgb="FFD9E2F3"/>
      </patternFill>
    </fill>
    <fill>
      <patternFill patternType="solid">
        <fgColor rgb="FFE2EFDA"/>
        <bgColor rgb="FFE2EFDA"/>
      </patternFill>
    </fill>
    <fill>
      <patternFill patternType="solid">
        <fgColor rgb="FFFCE4D6"/>
        <bgColor rgb="FFFCE4D6"/>
      </patternFill>
    </fill>
    <fill>
      <patternFill patternType="solid">
        <fgColor rgb="FFFFF2CC"/>
        <bgColor rgb="FFFFF2CC"/>
      </patternFill>
    </fill>
    <fill>
      <patternFill patternType="solid">
        <fgColor rgb="FFEDEDED"/>
        <bgColor rgb="FFEDEDED"/>
      </patternFill>
    </fill>
    <fill>
      <patternFill patternType="solid">
        <fgColor rgb="FFEAD1DC"/>
        <bgColor rgb="FFEAD1DC"/>
      </patternFill>
    </fill>
    <fill>
      <patternFill patternType="solid">
        <fgColor rgb="FFF2F2F2"/>
        <bgColor rgb="FFF2F2F2"/>
      </patternFill>
    </fill>
    <fill>
      <patternFill patternType="solid">
        <fgColor rgb="FFFFFFFF"/>
        <bgColor rgb="FFFFFFFF"/>
      </patternFill>
    </fill>
    <fill>
      <patternFill patternType="solid">
        <fgColor rgb="FFF9FAFB"/>
        <bgColor rgb="FFF9FAFB"/>
      </patternFill>
    </fill>
    <fill>
      <patternFill patternType="solid">
        <fgColor rgb="FF1F4E78"/>
      </patternFill>
    </fill>
    <fill>
      <patternFill patternType="solid">
        <fgColor rgb="FFD9E2F3"/>
      </patternFill>
    </fill>
    <fill>
      <patternFill patternType="solid">
        <fgColor rgb="FFFFFFFF"/>
      </patternFill>
    </fill>
  </fills>
  <borders count="6">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medium">
        <color rgb="FF1F4E78"/>
      </bottom>
      <diagonal/>
    </border>
    <border>
      <left style="thin">
        <color rgb="FFD9D9D9"/>
      </left>
      <right style="thin">
        <color rgb="FFD9D9D9"/>
      </right>
      <top style="thin">
        <color rgb="FF1F4E78"/>
      </top>
      <bottom style="double">
        <color rgb="FF1F4E78"/>
      </bottom>
      <diagonal/>
    </border>
    <border>
      <left style="thin">
        <color rgb="FFD9D9D9"/>
      </left>
      <right style="thin">
        <color rgb="FFD9D9D9"/>
      </right>
      <top style="thin">
        <color rgb="FFD9D9D9"/>
      </top>
      <bottom style="thin">
        <color rgb="FFD9D9D9"/>
      </bottom>
    </border>
    <border>
      <left style="thin">
        <color rgb="FFBFBFBF"/>
      </left>
      <right style="thin">
        <color rgb="FFBFBFBF"/>
      </right>
      <top style="thin">
        <color rgb="FFBFBFBF"/>
      </top>
      <bottom style="thin">
        <color rgb="FFBFBFBF"/>
      </bottom>
    </border>
  </borders>
  <cellStyleXfs count="1">
    <xf numFmtId="0" fontId="0" fillId="0" borderId="0"/>
  </cellStyleXfs>
  <cellXfs count="48">
    <xf numFmtId="0" fontId="0" fillId="0" borderId="0" pivotButton="0" quotePrefix="0" xfId="0"/>
    <xf numFmtId="0" fontId="1" fillId="2" borderId="1" applyAlignment="1" pivotButton="0" quotePrefix="0" xfId="0">
      <alignment horizontal="left" vertical="center" wrapText="1"/>
    </xf>
    <xf numFmtId="0" fontId="2" fillId="0" borderId="1" applyAlignment="1" pivotButton="0" quotePrefix="0" xfId="0">
      <alignment horizontal="left" vertical="top" wrapText="1"/>
    </xf>
    <xf numFmtId="0" fontId="3" fillId="0" borderId="1" applyAlignment="1" pivotButton="0" quotePrefix="0" xfId="0">
      <alignment horizontal="left" vertical="top" wrapText="1"/>
    </xf>
    <xf numFmtId="0" fontId="4" fillId="0" borderId="0" pivotButton="0" quotePrefix="0" xfId="0"/>
    <xf numFmtId="0" fontId="1" fillId="2" borderId="2" applyAlignment="1" pivotButton="0" quotePrefix="0" xfId="0">
      <alignment horizontal="center" vertical="center" wrapText="1"/>
    </xf>
    <xf numFmtId="3" fontId="3" fillId="0" borderId="1" applyAlignment="1" pivotButton="0" quotePrefix="0" xfId="0">
      <alignment horizontal="center" vertical="top"/>
    </xf>
    <xf numFmtId="3" fontId="2" fillId="0" borderId="1" applyAlignment="1" pivotButton="0" quotePrefix="0" xfId="0">
      <alignment horizontal="center" vertical="top"/>
    </xf>
    <xf numFmtId="164" fontId="2" fillId="0" borderId="1" applyAlignment="1" pivotButton="0" quotePrefix="0" xfId="0">
      <alignment horizontal="center" vertical="top"/>
    </xf>
    <xf numFmtId="0" fontId="5" fillId="3" borderId="3" applyAlignment="1" pivotButton="0" quotePrefix="0" xfId="0">
      <alignment horizontal="left" vertical="top" wrapText="1"/>
    </xf>
    <xf numFmtId="3" fontId="5" fillId="3" borderId="3" applyAlignment="1" pivotButton="0" quotePrefix="0" xfId="0">
      <alignment horizontal="center" vertical="top"/>
    </xf>
    <xf numFmtId="164" fontId="5" fillId="3" borderId="3" applyAlignment="1" pivotButton="0" quotePrefix="0" xfId="0">
      <alignment horizontal="center" vertical="top"/>
    </xf>
    <xf numFmtId="0" fontId="1" fillId="2" borderId="2" applyAlignment="1" pivotButton="0" quotePrefix="0" xfId="0">
      <alignment horizontal="left" vertical="center" wrapText="1"/>
    </xf>
    <xf numFmtId="0" fontId="6" fillId="4" borderId="1" applyAlignment="1" pivotButton="0" quotePrefix="0" xfId="0">
      <alignment horizontal="center" vertical="top"/>
    </xf>
    <xf numFmtId="0" fontId="3" fillId="0" borderId="1" applyAlignment="1" pivotButton="0" quotePrefix="0" xfId="0">
      <alignment horizontal="center" vertical="top"/>
    </xf>
    <xf numFmtId="0" fontId="7" fillId="5" borderId="1" applyAlignment="1" pivotButton="0" quotePrefix="0" xfId="0">
      <alignment horizontal="center" vertical="top"/>
    </xf>
    <xf numFmtId="0" fontId="8" fillId="6" borderId="1" applyAlignment="1" pivotButton="0" quotePrefix="0" xfId="0">
      <alignment horizontal="center" vertical="top"/>
    </xf>
    <xf numFmtId="0" fontId="9" fillId="7" borderId="1" applyAlignment="1" pivotButton="0" quotePrefix="0" xfId="0">
      <alignment horizontal="center" vertical="top"/>
    </xf>
    <xf numFmtId="0" fontId="10" fillId="8" borderId="1" applyAlignment="1" pivotButton="0" quotePrefix="0" xfId="0">
      <alignment horizontal="center" vertical="top"/>
    </xf>
    <xf numFmtId="0" fontId="11" fillId="9" borderId="1" applyAlignment="1" pivotButton="0" quotePrefix="0" xfId="0">
      <alignment horizontal="center" vertical="top"/>
    </xf>
    <xf numFmtId="0" fontId="3" fillId="10" borderId="1" applyAlignment="1" pivotButton="0" quotePrefix="0" xfId="0">
      <alignment horizontal="left" vertical="top" wrapText="1"/>
    </xf>
    <xf numFmtId="0" fontId="3" fillId="10" borderId="1" applyAlignment="1" pivotButton="0" quotePrefix="0" xfId="0">
      <alignment horizontal="center" vertical="top"/>
    </xf>
    <xf numFmtId="0" fontId="3" fillId="11" borderId="1" applyAlignment="1" pivotButton="0" quotePrefix="0" xfId="0">
      <alignment horizontal="left" vertical="top" wrapText="1"/>
    </xf>
    <xf numFmtId="0" fontId="3" fillId="11" borderId="1" applyAlignment="1" pivotButton="0" quotePrefix="0" xfId="0">
      <alignment horizontal="center" vertical="top"/>
    </xf>
    <xf numFmtId="0" fontId="13" fillId="0" borderId="1" applyAlignment="1" pivotButton="0" quotePrefix="0" xfId="0">
      <alignment horizontal="left" vertical="top" wrapText="1"/>
    </xf>
    <xf numFmtId="0" fontId="13" fillId="10" borderId="1" applyAlignment="1" pivotButton="0" quotePrefix="0" xfId="0">
      <alignment horizontal="center" vertical="top"/>
    </xf>
    <xf numFmtId="0" fontId="3" fillId="10" borderId="1" applyAlignment="1" pivotButton="0" quotePrefix="0" xfId="0">
      <alignment vertical="top" wrapText="1"/>
    </xf>
    <xf numFmtId="0" fontId="13" fillId="10" borderId="1" applyAlignment="1" pivotButton="0" quotePrefix="0" xfId="0">
      <alignment vertical="top" wrapText="1"/>
    </xf>
    <xf numFmtId="0" fontId="14" fillId="10" borderId="1" applyAlignment="1" pivotButton="0" quotePrefix="0" xfId="0">
      <alignment vertical="top" wrapText="1"/>
    </xf>
    <xf numFmtId="0" fontId="15" fillId="0" borderId="4" applyAlignment="1" pivotButton="0" quotePrefix="0" xfId="0">
      <alignment vertical="top" wrapText="1"/>
    </xf>
    <xf numFmtId="0" fontId="15" fillId="10" borderId="1" applyAlignment="1" pivotButton="0" quotePrefix="0" xfId="0">
      <alignment vertical="top" wrapText="1"/>
    </xf>
    <xf numFmtId="0" fontId="1" fillId="12" borderId="5" applyAlignment="1" pivotButton="0" quotePrefix="0" xfId="0">
      <alignment horizontal="left" vertical="center"/>
    </xf>
    <xf numFmtId="0" fontId="2" fillId="0" borderId="5" applyAlignment="1" pivotButton="0" quotePrefix="0" xfId="0">
      <alignment vertical="center" wrapText="1"/>
    </xf>
    <xf numFmtId="0" fontId="3" fillId="0" borderId="5" applyAlignment="1" pivotButton="0" quotePrefix="0" xfId="0">
      <alignment vertical="center" wrapText="1"/>
    </xf>
    <xf numFmtId="0" fontId="1" fillId="12" borderId="5" applyAlignment="1" pivotButton="0" quotePrefix="0" xfId="0">
      <alignment horizontal="center" vertical="center" wrapText="1"/>
    </xf>
    <xf numFmtId="3" fontId="3" fillId="0" borderId="5" applyAlignment="1" pivotButton="0" quotePrefix="0" xfId="0">
      <alignment horizontal="center" vertical="center"/>
    </xf>
    <xf numFmtId="164" fontId="3" fillId="0" borderId="5" applyAlignment="1" pivotButton="0" quotePrefix="0" xfId="0">
      <alignment horizontal="center" vertical="center"/>
    </xf>
    <xf numFmtId="0" fontId="5" fillId="13" borderId="5" applyAlignment="1" pivotButton="0" quotePrefix="0" xfId="0">
      <alignment horizontal="left" vertical="center"/>
    </xf>
    <xf numFmtId="3" fontId="5" fillId="13" borderId="5" applyAlignment="1" pivotButton="0" quotePrefix="0" xfId="0">
      <alignment horizontal="center" vertical="center"/>
    </xf>
    <xf numFmtId="164" fontId="5" fillId="13" borderId="5" applyAlignment="1" pivotButton="0" quotePrefix="0" xfId="0">
      <alignment horizontal="center" vertical="center"/>
    </xf>
    <xf numFmtId="0" fontId="3" fillId="4" borderId="5" applyAlignment="1" pivotButton="0" quotePrefix="0" xfId="0">
      <alignment vertical="center" wrapText="1"/>
    </xf>
    <xf numFmtId="0" fontId="3" fillId="5" borderId="5" applyAlignment="1" pivotButton="0" quotePrefix="0" xfId="0">
      <alignment vertical="center" wrapText="1"/>
    </xf>
    <xf numFmtId="0" fontId="3" fillId="6" borderId="5" applyAlignment="1" pivotButton="0" quotePrefix="0" xfId="0">
      <alignment vertical="center" wrapText="1"/>
    </xf>
    <xf numFmtId="0" fontId="3" fillId="7" borderId="5" applyAlignment="1" pivotButton="0" quotePrefix="0" xfId="0">
      <alignment vertical="center" wrapText="1"/>
    </xf>
    <xf numFmtId="0" fontId="3" fillId="8" borderId="5" applyAlignment="1" pivotButton="0" quotePrefix="0" xfId="0">
      <alignment vertical="center" wrapText="1"/>
    </xf>
    <xf numFmtId="0" fontId="3" fillId="9" borderId="5" applyAlignment="1" pivotButton="0" quotePrefix="0" xfId="0">
      <alignment vertical="center" wrapText="1"/>
    </xf>
    <xf numFmtId="0" fontId="3" fillId="14" borderId="5" applyAlignment="1" pivotButton="0" quotePrefix="0" xfId="0">
      <alignment vertical="top" wrapText="1"/>
    </xf>
    <xf numFmtId="0" fontId="3" fillId="14" borderId="5" applyAlignment="1" pivotButton="0" quotePrefix="0" xfId="0">
      <alignment horizontal="center" vertical="top" wrapText="1"/>
    </xf>
  </cellXfs>
  <cellStyles count="1">
    <cellStyle name="Normal" xfId="0" builtinId="0"/>
  </cellStyles>
  <dxfs count="60">
    <dxf>
      <font>
        <name val="Arial"/>
        <b val="1"/>
        <color rgb="FF7F7F7F"/>
        <sz val="9"/>
      </font>
      <fill>
        <patternFill patternType="solid">
          <fgColor rgb="FFF2F2F2"/>
          <bgColor rgb="FFF2F2F2"/>
        </patternFill>
      </fill>
    </dxf>
    <dxf>
      <font>
        <name val="Arial"/>
        <b val="1"/>
        <color rgb="FF7030A0"/>
        <sz val="9"/>
      </font>
      <fill>
        <patternFill patternType="solid">
          <fgColor rgb="FFEAD1DC"/>
          <bgColor rgb="FFEAD1DC"/>
        </patternFill>
      </fill>
    </dxf>
    <dxf>
      <font>
        <name val="Arial"/>
        <b val="1"/>
        <color rgb="FF595959"/>
        <sz val="9"/>
      </font>
      <fill>
        <patternFill patternType="solid">
          <fgColor rgb="FFEDEDED"/>
          <bgColor rgb="FFEDEDED"/>
        </patternFill>
      </fill>
    </dxf>
    <dxf>
      <font>
        <name val="Arial"/>
        <b val="1"/>
        <color rgb="FF833C0C"/>
        <sz val="9"/>
      </font>
      <fill>
        <patternFill patternType="solid">
          <fgColor rgb="FFFFF2CC"/>
          <bgColor rgb="FFFFF2CC"/>
        </patternFill>
      </fill>
    </dxf>
    <dxf>
      <font>
        <name val="Arial"/>
        <b val="1"/>
        <color rgb="FFC65911"/>
        <sz val="9"/>
      </font>
      <fill>
        <patternFill patternType="solid">
          <fgColor rgb="FFFCE4D6"/>
          <bgColor rgb="FFFCE4D6"/>
        </patternFill>
      </fill>
    </dxf>
    <dxf>
      <font>
        <name val="Arial"/>
        <b val="1"/>
        <color rgb="FF375623"/>
        <sz val="9"/>
      </font>
      <fill>
        <patternFill patternType="solid">
          <fgColor rgb="FFE2EFDA"/>
          <bgColor rgb="FFE2EFDA"/>
        </patternFill>
      </fill>
    </dxf>
    <dxf>
      <font>
        <name val="Arial"/>
        <b val="1"/>
        <color rgb="FF7F7F7F"/>
        <sz val="9"/>
      </font>
      <fill>
        <patternFill patternType="solid">
          <fgColor rgb="FFF2F2F2"/>
          <bgColor rgb="FFF2F2F2"/>
        </patternFill>
      </fill>
    </dxf>
    <dxf>
      <font>
        <name val="Arial"/>
        <b val="1"/>
        <color rgb="FF7030A0"/>
        <sz val="9"/>
      </font>
      <fill>
        <patternFill patternType="solid">
          <fgColor rgb="FFEAD1DC"/>
          <bgColor rgb="FFEAD1DC"/>
        </patternFill>
      </fill>
    </dxf>
    <dxf>
      <font>
        <name val="Arial"/>
        <b val="1"/>
        <color rgb="FF595959"/>
        <sz val="9"/>
      </font>
      <fill>
        <patternFill patternType="solid">
          <fgColor rgb="FFEDEDED"/>
          <bgColor rgb="FFEDEDED"/>
        </patternFill>
      </fill>
    </dxf>
    <dxf>
      <font>
        <name val="Arial"/>
        <b val="1"/>
        <color rgb="FF833C0C"/>
        <sz val="9"/>
      </font>
      <fill>
        <patternFill patternType="solid">
          <fgColor rgb="FFFFF2CC"/>
          <bgColor rgb="FFFFF2CC"/>
        </patternFill>
      </fill>
    </dxf>
    <dxf>
      <font>
        <name val="Arial"/>
        <b val="1"/>
        <color rgb="FFC65911"/>
        <sz val="9"/>
      </font>
      <fill>
        <patternFill patternType="solid">
          <fgColor rgb="FFFCE4D6"/>
          <bgColor rgb="FFFCE4D6"/>
        </patternFill>
      </fill>
    </dxf>
    <dxf>
      <font>
        <name val="Arial"/>
        <b val="1"/>
        <color rgb="FF375623"/>
        <sz val="9"/>
      </font>
      <fill>
        <patternFill patternType="solid">
          <fgColor rgb="FFE2EFDA"/>
          <bgColor rgb="FFE2EFDA"/>
        </patternFill>
      </fill>
    </dxf>
    <dxf>
      <font>
        <name val="Arial"/>
        <b val="1"/>
        <color rgb="FF7F7F7F"/>
        <sz val="9"/>
      </font>
      <fill>
        <patternFill patternType="solid">
          <fgColor rgb="FFF2F2F2"/>
          <bgColor rgb="FFF2F2F2"/>
        </patternFill>
      </fill>
    </dxf>
    <dxf>
      <font>
        <name val="Arial"/>
        <b val="1"/>
        <color rgb="FF7030A0"/>
        <sz val="9"/>
      </font>
      <fill>
        <patternFill patternType="solid">
          <fgColor rgb="FFEAD1DC"/>
          <bgColor rgb="FFEAD1DC"/>
        </patternFill>
      </fill>
    </dxf>
    <dxf>
      <font>
        <name val="Arial"/>
        <b val="1"/>
        <color rgb="FF595959"/>
        <sz val="9"/>
      </font>
      <fill>
        <patternFill patternType="solid">
          <fgColor rgb="FFEDEDED"/>
          <bgColor rgb="FFEDEDED"/>
        </patternFill>
      </fill>
    </dxf>
    <dxf>
      <font>
        <name val="Arial"/>
        <b val="1"/>
        <color rgb="FF833C0C"/>
        <sz val="9"/>
      </font>
      <fill>
        <patternFill patternType="solid">
          <fgColor rgb="FFFFF2CC"/>
          <bgColor rgb="FFFFF2CC"/>
        </patternFill>
      </fill>
    </dxf>
    <dxf>
      <font>
        <name val="Arial"/>
        <b val="1"/>
        <color rgb="FFC65911"/>
        <sz val="9"/>
      </font>
      <fill>
        <patternFill patternType="solid">
          <fgColor rgb="FFFCE4D6"/>
          <bgColor rgb="FFFCE4D6"/>
        </patternFill>
      </fill>
    </dxf>
    <dxf>
      <font>
        <name val="Arial"/>
        <b val="1"/>
        <color rgb="FF375623"/>
        <sz val="9"/>
      </font>
      <fill>
        <patternFill patternType="solid">
          <fgColor rgb="FFE2EFDA"/>
          <bgColor rgb="FFE2EFDA"/>
        </patternFill>
      </fill>
    </dxf>
    <dxf>
      <font>
        <name val="Arial"/>
        <b val="1"/>
        <color rgb="FF7F7F7F"/>
        <sz val="9"/>
      </font>
      <fill>
        <patternFill patternType="solid">
          <fgColor rgb="FFF2F2F2"/>
          <bgColor rgb="FFF2F2F2"/>
        </patternFill>
      </fill>
    </dxf>
    <dxf>
      <font>
        <name val="Arial"/>
        <b val="1"/>
        <color rgb="FF7030A0"/>
        <sz val="9"/>
      </font>
      <fill>
        <patternFill patternType="solid">
          <fgColor rgb="FFEAD1DC"/>
          <bgColor rgb="FFEAD1DC"/>
        </patternFill>
      </fill>
    </dxf>
    <dxf>
      <font>
        <name val="Arial"/>
        <b val="1"/>
        <color rgb="FF595959"/>
        <sz val="9"/>
      </font>
      <fill>
        <patternFill patternType="solid">
          <fgColor rgb="FFEDEDED"/>
          <bgColor rgb="FFEDEDED"/>
        </patternFill>
      </fill>
    </dxf>
    <dxf>
      <font>
        <name val="Arial"/>
        <b val="1"/>
        <color rgb="FF833C0C"/>
        <sz val="9"/>
      </font>
      <fill>
        <patternFill patternType="solid">
          <fgColor rgb="FFFFF2CC"/>
          <bgColor rgb="FFFFF2CC"/>
        </patternFill>
      </fill>
    </dxf>
    <dxf>
      <font>
        <name val="Arial"/>
        <b val="1"/>
        <color rgb="FFC65911"/>
        <sz val="9"/>
      </font>
      <fill>
        <patternFill patternType="solid">
          <fgColor rgb="FFFCE4D6"/>
          <bgColor rgb="FFFCE4D6"/>
        </patternFill>
      </fill>
    </dxf>
    <dxf>
      <font>
        <name val="Arial"/>
        <b val="1"/>
        <color rgb="FF375623"/>
        <sz val="9"/>
      </font>
      <fill>
        <patternFill patternType="solid">
          <fgColor rgb="FFE2EFDA"/>
          <bgColor rgb="FFE2EFDA"/>
        </patternFill>
      </fill>
    </dxf>
    <dxf>
      <font>
        <name val="Arial"/>
        <b val="1"/>
        <color rgb="FF7F7F7F"/>
        <sz val="9"/>
      </font>
      <fill>
        <patternFill patternType="solid">
          <fgColor rgb="FFF2F2F2"/>
          <bgColor rgb="FFF2F2F2"/>
        </patternFill>
      </fill>
    </dxf>
    <dxf>
      <font>
        <name val="Arial"/>
        <b val="1"/>
        <color rgb="FF7030A0"/>
        <sz val="9"/>
      </font>
      <fill>
        <patternFill patternType="solid">
          <fgColor rgb="FFEAD1DC"/>
          <bgColor rgb="FFEAD1DC"/>
        </patternFill>
      </fill>
    </dxf>
    <dxf>
      <font>
        <name val="Arial"/>
        <b val="1"/>
        <color rgb="FF595959"/>
        <sz val="9"/>
      </font>
      <fill>
        <patternFill patternType="solid">
          <fgColor rgb="FFEDEDED"/>
          <bgColor rgb="FFEDEDED"/>
        </patternFill>
      </fill>
    </dxf>
    <dxf>
      <font>
        <name val="Arial"/>
        <b val="1"/>
        <color rgb="FF833C0C"/>
        <sz val="9"/>
      </font>
      <fill>
        <patternFill patternType="solid">
          <fgColor rgb="FFFFF2CC"/>
          <bgColor rgb="FFFFF2CC"/>
        </patternFill>
      </fill>
    </dxf>
    <dxf>
      <font>
        <name val="Arial"/>
        <b val="1"/>
        <color rgb="FFC65911"/>
        <sz val="9"/>
      </font>
      <fill>
        <patternFill patternType="solid">
          <fgColor rgb="FFFCE4D6"/>
          <bgColor rgb="FFFCE4D6"/>
        </patternFill>
      </fill>
    </dxf>
    <dxf>
      <font>
        <name val="Arial"/>
        <b val="1"/>
        <color rgb="FF375623"/>
        <sz val="9"/>
      </font>
      <fill>
        <patternFill patternType="solid">
          <fgColor rgb="FFE2EFDA"/>
          <bgColor rgb="FFE2EFDA"/>
        </patternFill>
      </fill>
    </dxf>
    <dxf>
      <font>
        <name val="Arial"/>
        <b val="1"/>
        <color rgb="FF7F7F7F"/>
        <sz val="9"/>
      </font>
      <fill>
        <patternFill patternType="solid">
          <fgColor rgb="FFF2F2F2"/>
          <bgColor rgb="FFF2F2F2"/>
        </patternFill>
      </fill>
    </dxf>
    <dxf>
      <font>
        <name val="Arial"/>
        <b val="1"/>
        <color rgb="FF7030A0"/>
        <sz val="9"/>
      </font>
      <fill>
        <patternFill patternType="solid">
          <fgColor rgb="FFEAD1DC"/>
          <bgColor rgb="FFEAD1DC"/>
        </patternFill>
      </fill>
    </dxf>
    <dxf>
      <font>
        <name val="Arial"/>
        <b val="1"/>
        <color rgb="FF595959"/>
        <sz val="9"/>
      </font>
      <fill>
        <patternFill patternType="solid">
          <fgColor rgb="FFEDEDED"/>
          <bgColor rgb="FFEDEDED"/>
        </patternFill>
      </fill>
    </dxf>
    <dxf>
      <font>
        <name val="Arial"/>
        <b val="1"/>
        <color rgb="FF833C0C"/>
        <sz val="9"/>
      </font>
      <fill>
        <patternFill patternType="solid">
          <fgColor rgb="FFFFF2CC"/>
          <bgColor rgb="FFFFF2CC"/>
        </patternFill>
      </fill>
    </dxf>
    <dxf>
      <font>
        <name val="Arial"/>
        <b val="1"/>
        <color rgb="FFC65911"/>
        <sz val="9"/>
      </font>
      <fill>
        <patternFill patternType="solid">
          <fgColor rgb="FFFCE4D6"/>
          <bgColor rgb="FFFCE4D6"/>
        </patternFill>
      </fill>
    </dxf>
    <dxf>
      <font>
        <name val="Arial"/>
        <b val="1"/>
        <color rgb="FF375623"/>
        <sz val="9"/>
      </font>
      <fill>
        <patternFill patternType="solid">
          <fgColor rgb="FFE2EFDA"/>
          <bgColor rgb="FFE2EFDA"/>
        </patternFill>
      </fill>
    </dxf>
    <dxf>
      <font>
        <name val="Arial"/>
        <b val="1"/>
        <color rgb="FF7F7F7F"/>
        <sz val="9"/>
      </font>
      <fill>
        <patternFill patternType="solid">
          <fgColor rgb="FFF2F2F2"/>
          <bgColor rgb="FFF2F2F2"/>
        </patternFill>
      </fill>
    </dxf>
    <dxf>
      <font>
        <name val="Arial"/>
        <b val="1"/>
        <color rgb="FF7030A0"/>
        <sz val="9"/>
      </font>
      <fill>
        <patternFill patternType="solid">
          <fgColor rgb="FFEAD1DC"/>
          <bgColor rgb="FFEAD1DC"/>
        </patternFill>
      </fill>
    </dxf>
    <dxf>
      <font>
        <name val="Arial"/>
        <b val="1"/>
        <color rgb="FF595959"/>
        <sz val="9"/>
      </font>
      <fill>
        <patternFill patternType="solid">
          <fgColor rgb="FFEDEDED"/>
          <bgColor rgb="FFEDEDED"/>
        </patternFill>
      </fill>
    </dxf>
    <dxf>
      <font>
        <name val="Arial"/>
        <b val="1"/>
        <color rgb="FF833C0C"/>
        <sz val="9"/>
      </font>
      <fill>
        <patternFill patternType="solid">
          <fgColor rgb="FFFFF2CC"/>
          <bgColor rgb="FFFFF2CC"/>
        </patternFill>
      </fill>
    </dxf>
    <dxf>
      <font>
        <name val="Arial"/>
        <b val="1"/>
        <color rgb="FFC65911"/>
        <sz val="9"/>
      </font>
      <fill>
        <patternFill patternType="solid">
          <fgColor rgb="FFFCE4D6"/>
          <bgColor rgb="FFFCE4D6"/>
        </patternFill>
      </fill>
    </dxf>
    <dxf>
      <font>
        <name val="Arial"/>
        <b val="1"/>
        <color rgb="FF375623"/>
        <sz val="9"/>
      </font>
      <fill>
        <patternFill patternType="solid">
          <fgColor rgb="FFE2EFDA"/>
          <bgColor rgb="FFE2EFDA"/>
        </patternFill>
      </fill>
    </dxf>
    <dxf>
      <font>
        <name val="Arial"/>
        <b val="1"/>
        <color rgb="FF7F7F7F"/>
        <sz val="9"/>
      </font>
      <fill>
        <patternFill patternType="solid">
          <fgColor rgb="FFF2F2F2"/>
          <bgColor rgb="FFF2F2F2"/>
        </patternFill>
      </fill>
    </dxf>
    <dxf>
      <font>
        <name val="Arial"/>
        <b val="1"/>
        <color rgb="FF7030A0"/>
        <sz val="9"/>
      </font>
      <fill>
        <patternFill patternType="solid">
          <fgColor rgb="FFEAD1DC"/>
          <bgColor rgb="FFEAD1DC"/>
        </patternFill>
      </fill>
    </dxf>
    <dxf>
      <font>
        <name val="Arial"/>
        <b val="1"/>
        <color rgb="FF595959"/>
        <sz val="9"/>
      </font>
      <fill>
        <patternFill patternType="solid">
          <fgColor rgb="FFEDEDED"/>
          <bgColor rgb="FFEDEDED"/>
        </patternFill>
      </fill>
    </dxf>
    <dxf>
      <font>
        <name val="Arial"/>
        <b val="1"/>
        <color rgb="FF833C0C"/>
        <sz val="9"/>
      </font>
      <fill>
        <patternFill patternType="solid">
          <fgColor rgb="FFFFF2CC"/>
          <bgColor rgb="FFFFF2CC"/>
        </patternFill>
      </fill>
    </dxf>
    <dxf>
      <font>
        <name val="Arial"/>
        <b val="1"/>
        <color rgb="FFC65911"/>
        <sz val="9"/>
      </font>
      <fill>
        <patternFill patternType="solid">
          <fgColor rgb="FFFCE4D6"/>
          <bgColor rgb="FFFCE4D6"/>
        </patternFill>
      </fill>
    </dxf>
    <dxf>
      <font>
        <name val="Arial"/>
        <b val="1"/>
        <color rgb="FF375623"/>
        <sz val="9"/>
      </font>
      <fill>
        <patternFill patternType="solid">
          <fgColor rgb="FFE2EFDA"/>
          <bgColor rgb="FFE2EFDA"/>
        </patternFill>
      </fill>
    </dxf>
    <dxf>
      <font>
        <name val="Arial"/>
        <b val="1"/>
        <color rgb="FF7F7F7F"/>
        <sz val="9"/>
      </font>
      <fill>
        <patternFill patternType="solid">
          <fgColor rgb="FFF2F2F2"/>
          <bgColor rgb="FFF2F2F2"/>
        </patternFill>
      </fill>
    </dxf>
    <dxf>
      <font>
        <name val="Arial"/>
        <b val="1"/>
        <color rgb="FF7030A0"/>
        <sz val="9"/>
      </font>
      <fill>
        <patternFill patternType="solid">
          <fgColor rgb="FFEAD1DC"/>
          <bgColor rgb="FFEAD1DC"/>
        </patternFill>
      </fill>
    </dxf>
    <dxf>
      <font>
        <name val="Arial"/>
        <b val="1"/>
        <color rgb="FF595959"/>
        <sz val="9"/>
      </font>
      <fill>
        <patternFill patternType="solid">
          <fgColor rgb="FFEDEDED"/>
          <bgColor rgb="FFEDEDED"/>
        </patternFill>
      </fill>
    </dxf>
    <dxf>
      <font>
        <name val="Arial"/>
        <b val="1"/>
        <color rgb="FF833C0C"/>
        <sz val="9"/>
      </font>
      <fill>
        <patternFill patternType="solid">
          <fgColor rgb="FFFFF2CC"/>
          <bgColor rgb="FFFFF2CC"/>
        </patternFill>
      </fill>
    </dxf>
    <dxf>
      <font>
        <name val="Arial"/>
        <b val="1"/>
        <color rgb="FFC65911"/>
        <sz val="9"/>
      </font>
      <fill>
        <patternFill patternType="solid">
          <fgColor rgb="FFFCE4D6"/>
          <bgColor rgb="FFFCE4D6"/>
        </patternFill>
      </fill>
    </dxf>
    <dxf>
      <font>
        <name val="Arial"/>
        <b val="1"/>
        <color rgb="FF375623"/>
        <sz val="9"/>
      </font>
      <fill>
        <patternFill patternType="solid">
          <fgColor rgb="FFE2EFDA"/>
          <bgColor rgb="FFE2EFDA"/>
        </patternFill>
      </fill>
    </dxf>
    <dxf>
      <font>
        <name val="Arial"/>
        <color rgb="FF375623"/>
        <sz val="9"/>
      </font>
      <fill>
        <patternFill patternType="solid">
          <bgColor rgb="FFE2EFDA"/>
        </patternFill>
      </fill>
    </dxf>
    <dxf>
      <font>
        <name val="Arial"/>
        <color rgb="FFC65911"/>
        <sz val="9"/>
      </font>
      <fill>
        <patternFill patternType="solid">
          <bgColor rgb="FFFCE4D6"/>
        </patternFill>
      </fill>
    </dxf>
    <dxf>
      <font>
        <name val="Arial"/>
        <color rgb="FF833C0C"/>
        <sz val="9"/>
      </font>
      <fill>
        <patternFill patternType="solid">
          <bgColor rgb="FFFFF2CC"/>
        </patternFill>
      </fill>
    </dxf>
    <dxf>
      <font>
        <name val="Arial"/>
        <color rgb="FF595959"/>
        <sz val="9"/>
      </font>
      <fill>
        <patternFill patternType="solid">
          <bgColor rgb="FFEDEDED"/>
        </patternFill>
      </fill>
    </dxf>
    <dxf>
      <font>
        <name val="Arial"/>
        <color rgb="FF7030A0"/>
        <sz val="9"/>
      </font>
      <fill>
        <patternFill patternType="solid">
          <bgColor rgb="FFEAD1DC"/>
        </patternFill>
      </fill>
    </dxf>
    <dxf>
      <font>
        <name val="Arial"/>
        <color rgb="FF7F7F7F"/>
        <sz val="9"/>
      </font>
      <fill>
        <patternFill patternType="solid">
          <bgColor rgb="FF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4"/>
  <sheetViews>
    <sheetView showGridLines="1" workbookViewId="0">
      <selection activeCell="A12" sqref="A12"/>
    </sheetView>
  </sheetViews>
  <sheetFormatPr baseColWidth="8" defaultRowHeight="14.4"/>
  <cols>
    <col width="46" customWidth="1" min="1" max="1"/>
    <col width="55" customWidth="1" min="2" max="2"/>
    <col width="16" customWidth="1" min="3" max="3"/>
    <col width="18" customWidth="1" min="4" max="4"/>
    <col width="15" customWidth="1" min="5" max="5"/>
    <col width="18" customWidth="1" min="6" max="6"/>
    <col width="15" customWidth="1" min="7" max="8"/>
    <col width="14" customWidth="1" min="8" max="8"/>
  </cols>
  <sheetData>
    <row r="1" ht="24" customHeight="1">
      <c r="A1" s="31" t="inlineStr">
        <is>
          <t>Category</t>
        </is>
      </c>
      <c r="B1" s="31" t="inlineStr">
        <is>
          <t>Details</t>
        </is>
      </c>
    </row>
    <row r="2" ht="19.95" customHeight="1">
      <c r="A2" s="32" t="inlineStr">
        <is>
          <t>Document Name</t>
        </is>
      </c>
      <c r="B2" s="33" t="inlineStr">
        <is>
          <t>PoS Transactions testcases</t>
        </is>
      </c>
    </row>
    <row r="3" ht="19.95" customHeight="1">
      <c r="A3" s="32" t="inlineStr">
        <is>
          <t>Epic / Story Ref</t>
        </is>
      </c>
      <c r="B3" s="33" t="inlineStr">
        <is>
          <t>EMI-5914 PoS Transactions Epic (full epic coverage)</t>
        </is>
      </c>
    </row>
    <row r="4" ht="19.95" customHeight="1">
      <c r="A4" s="32" t="inlineStr">
        <is>
          <t>Release Number</t>
        </is>
      </c>
      <c r="B4" s="33" t="inlineStr">
        <is>
          <t>V 6.6.0 / Sprint 74</t>
        </is>
      </c>
    </row>
    <row r="5" ht="19.95" customHeight="1">
      <c r="A5" s="32" t="inlineStr">
        <is>
          <t>Environment</t>
        </is>
      </c>
      <c r="B5" s="33" t="inlineStr">
        <is>
          <t xml:space="preserve">UAT </t>
        </is>
      </c>
    </row>
    <row r="6" ht="19.95" customHeight="1">
      <c r="A6" s="32" t="inlineStr">
        <is>
          <t>Testing Period</t>
        </is>
      </c>
      <c r="B6" s="33" t="inlineStr">
        <is>
          <t>Sprint Test Execution Cycle</t>
        </is>
      </c>
    </row>
    <row r="8" ht="22.05" customHeight="1"/>
    <row r="9" ht="18" customHeight="1">
      <c r="A9" s="4" t="inlineStr">
        <is>
          <t>EMI-5914 PoS Transactions — Test Case Results by Category</t>
        </is>
      </c>
    </row>
    <row r="11" ht="25.95" customHeight="1">
      <c r="A11" s="34" t="inlineStr">
        <is>
          <t>Category (Feature / Story)</t>
        </is>
      </c>
      <c r="B11" s="34" t="inlineStr">
        <is>
          <t>Passed</t>
        </is>
      </c>
      <c r="C11" s="34" t="inlineStr">
        <is>
          <t>Failed</t>
        </is>
      </c>
      <c r="D11" s="34" t="inlineStr">
        <is>
          <t>Partially Passed</t>
        </is>
      </c>
      <c r="E11" s="34" t="inlineStr">
        <is>
          <t>Not Tested</t>
        </is>
      </c>
      <c r="F11" s="34" t="inlineStr">
        <is>
          <t>Not Implemented</t>
        </is>
      </c>
      <c r="G11" s="34" t="inlineStr">
        <is>
          <t>Total Checks</t>
        </is>
      </c>
      <c r="H11" s="34" t="inlineStr">
        <is>
          <t>Pass Rate %</t>
        </is>
      </c>
    </row>
    <row r="12" ht="19.95" customHeight="1">
      <c r="A12" s="32" t="inlineStr">
        <is>
          <t>EMI-5915 — Callback Ingestion &amp; Validation</t>
        </is>
      </c>
      <c r="B12" s="35">
        <f>COUNTIF('Callback Ingestion &amp; Valid'!H2:H200, "Passed")</f>
        <v/>
      </c>
      <c r="C12" s="35">
        <f>COUNTIF('Callback Ingestion &amp; Valid'!H2:H200, "Failed")</f>
        <v/>
      </c>
      <c r="D12" s="35">
        <f>COUNTIF('Callback Ingestion &amp; Valid'!H2:H200, "Partially Passed")</f>
        <v/>
      </c>
      <c r="E12" s="35">
        <f>COUNTIF('Callback Ingestion &amp; Valid'!H2:H200, "Not Tested")</f>
        <v/>
      </c>
      <c r="F12" s="35">
        <f>COUNTIF('Callback Ingestion &amp; Valid'!H2:H200, "Not Implemented")</f>
        <v/>
      </c>
      <c r="G12" s="35">
        <f>SUM(B12:F12)</f>
        <v/>
      </c>
      <c r="H12" s="36">
        <f>IF(G12&gt;0, B12/G12, 0)</f>
        <v/>
      </c>
    </row>
    <row r="13" ht="19.95" customHeight="1">
      <c r="A13" s="32" t="inlineStr">
        <is>
          <t>EMI-5916 — Wallet Crediting &amp; Visibility</t>
        </is>
      </c>
      <c r="B13" s="35">
        <f>COUNTIF('Wallet Crediting &amp; Visib'!H2:H200, "Passed")</f>
        <v/>
      </c>
      <c r="C13" s="35">
        <f>COUNTIF('Wallet Crediting &amp; Visib'!H2:H200, "Failed")</f>
        <v/>
      </c>
      <c r="D13" s="35">
        <f>COUNTIF('Wallet Crediting &amp; Visib'!H2:H200, "Partially Passed")</f>
        <v/>
      </c>
      <c r="E13" s="35">
        <f>COUNTIF('Wallet Crediting &amp; Visib'!H2:H200, "Not Tested")</f>
        <v/>
      </c>
      <c r="F13" s="35">
        <f>COUNTIF('Wallet Crediting &amp; Visib'!H2:H200, "Not Implemented")</f>
        <v/>
      </c>
      <c r="G13" s="35">
        <f>SUM(B13:F13)</f>
        <v/>
      </c>
      <c r="H13" s="36">
        <f>IF(G13&gt;0, B13/G13, 0)</f>
        <v/>
      </c>
    </row>
    <row r="14" ht="19.95" customHeight="1">
      <c r="A14" s="32" t="inlineStr">
        <is>
          <t>EMI-5917 — Wallet Payment at Terminal</t>
        </is>
      </c>
      <c r="B14" s="35">
        <f>COUNTIF('Wallet Payment at Terminal'!H2:H200, "Passed")</f>
        <v/>
      </c>
      <c r="C14" s="35">
        <f>COUNTIF('Wallet Payment at Terminal'!H2:H200, "Failed")</f>
        <v/>
      </c>
      <c r="D14" s="35">
        <f>COUNTIF('Wallet Payment at Terminal'!H2:H200, "Partially Passed")</f>
        <v/>
      </c>
      <c r="E14" s="35">
        <f>COUNTIF('Wallet Payment at Terminal'!H2:H200, "Not Tested")</f>
        <v/>
      </c>
      <c r="F14" s="35">
        <f>COUNTIF('Wallet Payment at Terminal'!H2:H200, "Not Implemented")</f>
        <v/>
      </c>
      <c r="G14" s="35">
        <f>SUM(B14:F14)</f>
        <v/>
      </c>
      <c r="H14" s="36">
        <f>IF(G14&gt;0, B14/G14, 0)</f>
        <v/>
      </c>
    </row>
    <row r="15" ht="19.95" customHeight="1">
      <c r="A15" s="32" t="inlineStr">
        <is>
          <t>EMI-5918 — PoS Refunds</t>
        </is>
      </c>
      <c r="B15" s="35">
        <f>COUNTIF('PoS Refunds'!H2:H200, "Passed")</f>
        <v/>
      </c>
      <c r="C15" s="35">
        <f>COUNTIF('PoS Refunds'!H2:H200, "Failed")</f>
        <v/>
      </c>
      <c r="D15" s="35">
        <f>COUNTIF('PoS Refunds'!H2:H200, "Partially Passed")</f>
        <v/>
      </c>
      <c r="E15" s="35">
        <f>COUNTIF('PoS Refunds'!H2:H200, "Not Tested")</f>
        <v/>
      </c>
      <c r="F15" s="35">
        <f>COUNTIF('PoS Refunds'!H2:H200, "Not Implemented")</f>
        <v/>
      </c>
      <c r="G15" s="35">
        <f>SUM(B15:F15)</f>
        <v/>
      </c>
      <c r="H15" s="36">
        <f>IF(G15&gt;0, B15/G15, 0)</f>
        <v/>
      </c>
    </row>
    <row r="16" ht="19.95" customHeight="1">
      <c r="A16" s="32" t="inlineStr">
        <is>
          <t>EMI-5919 — Void &amp; Technical Reversal</t>
        </is>
      </c>
      <c r="B16" s="35">
        <f>COUNTIF('Void &amp; Technical Reversal'!H2:H200, "Passed")</f>
        <v/>
      </c>
      <c r="C16" s="35">
        <f>COUNTIF('Void &amp; Technical Reversal'!H2:H200, "Failed")</f>
        <v/>
      </c>
      <c r="D16" s="35">
        <f>COUNTIF('Void &amp; Technical Reversal'!H2:H200, "Partially Passed")</f>
        <v/>
      </c>
      <c r="E16" s="35">
        <f>COUNTIF('Void &amp; Technical Reversal'!H2:H200, "Not Tested")</f>
        <v/>
      </c>
      <c r="F16" s="35">
        <f>COUNTIF('Void &amp; Technical Reversal'!H2:H200, "Not Implemented")</f>
        <v/>
      </c>
      <c r="G16" s="35">
        <f>SUM(B16:F16)</f>
        <v/>
      </c>
      <c r="H16" s="36">
        <f>IF(G16&gt;0, B16/G16, 0)</f>
        <v/>
      </c>
    </row>
    <row r="17" ht="19.95" customHeight="1">
      <c r="A17" s="32" t="inlineStr">
        <is>
          <t>EMI-5920 — Reconciliation &amp; Three-Way Match</t>
        </is>
      </c>
      <c r="B17" s="35">
        <f>COUNTIF('Recon &amp; Three-Way Match'!H2:H200, "Passed")</f>
        <v/>
      </c>
      <c r="C17" s="35">
        <f>COUNTIF('Recon &amp; Three-Way Match'!H2:H200, "Failed")</f>
        <v/>
      </c>
      <c r="D17" s="35">
        <f>COUNTIF('Recon &amp; Three-Way Match'!H2:H200, "Partially Passed")</f>
        <v/>
      </c>
      <c r="E17" s="35">
        <f>COUNTIF('Recon &amp; Three-Way Match'!H2:H200, "Not Tested")</f>
        <v/>
      </c>
      <c r="F17" s="35">
        <f>COUNTIF('Recon &amp; Three-Way Match'!H2:H200, "Not Implemented")</f>
        <v/>
      </c>
      <c r="G17" s="35">
        <f>SUM(B17:F17)</f>
        <v/>
      </c>
      <c r="H17" s="36">
        <f>IF(G17&gt;0, B17/G17, 0)</f>
        <v/>
      </c>
    </row>
    <row r="18" ht="19.95" customHeight="1">
      <c r="A18" s="32" t="inlineStr">
        <is>
          <t>EMI-5921 — PoS Commission Configuration</t>
        </is>
      </c>
      <c r="B18" s="35">
        <f>COUNTIF('PoS Commission Config'!H2:H200, "Passed")</f>
        <v/>
      </c>
      <c r="C18" s="35">
        <f>COUNTIF('PoS Commission Config'!H2:H200, "Failed")</f>
        <v/>
      </c>
      <c r="D18" s="35">
        <f>COUNTIF('PoS Commission Config'!H2:H200, "Partially Passed")</f>
        <v/>
      </c>
      <c r="E18" s="35">
        <f>COUNTIF('PoS Commission Config'!H2:H200, "Not Tested")</f>
        <v/>
      </c>
      <c r="F18" s="35">
        <f>COUNTIF('PoS Commission Config'!H2:H200, "Not Implemented")</f>
        <v/>
      </c>
      <c r="G18" s="35">
        <f>SUM(B18:F18)</f>
        <v/>
      </c>
      <c r="H18" s="36">
        <f>IF(G18&gt;0, B18/G18, 0)</f>
        <v/>
      </c>
    </row>
    <row r="19" ht="19.95" customHeight="1">
      <c r="A19" s="32" t="inlineStr">
        <is>
          <t>EMI-5922 — ACH &amp; VIBAN (per TID group)</t>
        </is>
      </c>
      <c r="B19" s="35">
        <f>COUNTIF('ACH &amp; VIBAN per TID'!H2:H200, "Passed")</f>
        <v/>
      </c>
      <c r="C19" s="35">
        <f>COUNTIF('ACH &amp; VIBAN per TID'!H2:H200, "Failed")</f>
        <v/>
      </c>
      <c r="D19" s="35">
        <f>COUNTIF('ACH &amp; VIBAN per TID'!H2:H200, "Partially Passed")</f>
        <v/>
      </c>
      <c r="E19" s="35">
        <f>COUNTIF('ACH &amp; VIBAN per TID'!H2:H200, "Not Tested")</f>
        <v/>
      </c>
      <c r="F19" s="35">
        <f>COUNTIF('ACH &amp; VIBAN per TID'!H2:H200, "Not Implemented")</f>
        <v/>
      </c>
      <c r="G19" s="35">
        <f>SUM(B19:F19)</f>
        <v/>
      </c>
      <c r="H19" s="36">
        <f>IF(G19&gt;0, B19/G19, 0)</f>
        <v/>
      </c>
    </row>
    <row r="20" ht="19.95" customHeight="1">
      <c r="A20" s="32" t="inlineStr">
        <is>
          <t>EMI-5923 — PoS Compliance Gates &amp; Held Funds</t>
        </is>
      </c>
      <c r="B20" s="35">
        <f>COUNTIF('PoS Compliance Gates'!H2:H200, "Passed")</f>
        <v/>
      </c>
      <c r="C20" s="35">
        <f>COUNTIF('PoS Compliance Gates'!H2:H200, "Failed")</f>
        <v/>
      </c>
      <c r="D20" s="35">
        <f>COUNTIF('PoS Compliance Gates'!H2:H200, "Partially Passed")</f>
        <v/>
      </c>
      <c r="E20" s="35">
        <f>COUNTIF('PoS Compliance Gates'!H2:H200, "Not Tested")</f>
        <v/>
      </c>
      <c r="F20" s="35">
        <f>COUNTIF('PoS Compliance Gates'!H2:H200, "Not Implemented")</f>
        <v/>
      </c>
      <c r="G20" s="35">
        <f>SUM(B20:F20)</f>
        <v/>
      </c>
      <c r="H20" s="36">
        <f>IF(G20&gt;0, B20/G20, 0)</f>
        <v/>
      </c>
    </row>
    <row r="21" ht="19.95" customHeight="1">
      <c r="A21" s="32" t="inlineStr">
        <is>
          <t>EMI-5989 — Settlement Grouping &amp; Gate 1</t>
        </is>
      </c>
      <c r="B21" s="35">
        <f>COUNTIF('Settlement Grouping &amp; Gate 1'!H2:H200, "Passed")</f>
        <v/>
      </c>
      <c r="C21" s="35">
        <f>COUNTIF('Settlement Grouping &amp; Gate 1'!H2:H200, "Failed")</f>
        <v/>
      </c>
      <c r="D21" s="35">
        <f>COUNTIF('Settlement Grouping &amp; Gate 1'!H2:H200, "Partially Passed")</f>
        <v/>
      </c>
      <c r="E21" s="35">
        <f>COUNTIF('Settlement Grouping &amp; Gate 1'!H2:H200, "Not Tested")</f>
        <v/>
      </c>
      <c r="F21" s="35">
        <f>COUNTIF('Settlement Grouping &amp; Gate 1'!H2:H200, "Not Implemented")</f>
        <v/>
      </c>
      <c r="G21" s="35">
        <f>SUM(B21:F21)</f>
        <v/>
      </c>
      <c r="H21" s="36">
        <f>IF(G21&gt;0, B21/G21, 0)</f>
        <v/>
      </c>
    </row>
    <row r="22" ht="19.95" customHeight="1">
      <c r="A22" s="32" t="inlineStr">
        <is>
          <t>EMI-5991 — PTS Retrieval &amp; Parsing</t>
        </is>
      </c>
      <c r="B22" s="35">
        <f>COUNTIF('PTS Retrieval &amp; Parsing'!H2:H200, "Passed")</f>
        <v/>
      </c>
      <c r="C22" s="35">
        <f>COUNTIF('PTS Retrieval &amp; Parsing'!H2:H200, "Failed")</f>
        <v/>
      </c>
      <c r="D22" s="35">
        <f>COUNTIF('PTS Retrieval &amp; Parsing'!H2:H200, "Partially Passed")</f>
        <v/>
      </c>
      <c r="E22" s="35">
        <f>COUNTIF('PTS Retrieval &amp; Parsing'!H2:H200, "Not Tested")</f>
        <v/>
      </c>
      <c r="F22" s="35">
        <f>COUNTIF('PTS Retrieval &amp; Parsing'!H2:H200, "Not Implemented")</f>
        <v/>
      </c>
      <c r="G22" s="35">
        <f>SUM(B22:F22)</f>
        <v/>
      </c>
      <c r="H22" s="36">
        <f>IF(G22&gt;0, B22/G22, 0)</f>
        <v/>
      </c>
    </row>
    <row r="23" ht="19.95" customHeight="1">
      <c r="A23" s="32" t="inlineStr">
        <is>
          <t>EMI-6018 — ZATCA e-invoicing (Provisional)</t>
        </is>
      </c>
      <c r="B23" s="35">
        <f>COUNTIF('ZATCA e-invoicing'!H2:H200, "Passed")</f>
        <v/>
      </c>
      <c r="C23" s="35">
        <f>COUNTIF('ZATCA e-invoicing'!H2:H200, "Failed")</f>
        <v/>
      </c>
      <c r="D23" s="35">
        <f>COUNTIF('ZATCA e-invoicing'!H2:H200, "Partially Passed")</f>
        <v/>
      </c>
      <c r="E23" s="35">
        <f>COUNTIF('ZATCA e-invoicing'!H2:H200, "Not Tested")</f>
        <v/>
      </c>
      <c r="F23" s="35">
        <f>COUNTIF('ZATCA e-invoicing'!H2:H200, "Not Implemented")</f>
        <v/>
      </c>
      <c r="G23" s="35">
        <f>SUM(B23:F23)</f>
        <v/>
      </c>
      <c r="H23" s="36">
        <f>IF(G23&gt;0, B23/G23, 0)</f>
        <v/>
      </c>
    </row>
    <row r="24" ht="19.95" customHeight="1">
      <c r="A24" s="32" t="inlineStr">
        <is>
          <t>EMI-5914 — End-to-End Business Flows</t>
        </is>
      </c>
      <c r="B24" s="35">
        <f>COUNTIF('E2E Business Flows'!H2:H200, "Passed")</f>
        <v/>
      </c>
      <c r="C24" s="35">
        <f>COUNTIF('E2E Business Flows'!H2:H200, "Failed")</f>
        <v/>
      </c>
      <c r="D24" s="35">
        <f>COUNTIF('E2E Business Flows'!H2:H200, "Partially Passed")</f>
        <v/>
      </c>
      <c r="E24" s="35">
        <f>COUNTIF('E2E Business Flows'!H2:H200, "Not Tested")</f>
        <v/>
      </c>
      <c r="F24" s="35">
        <f>COUNTIF('E2E Business Flows'!H2:H200, "Not Implemented")</f>
        <v/>
      </c>
      <c r="G24" s="35">
        <f>SUM(B24:F24)</f>
        <v/>
      </c>
      <c r="H24" s="36">
        <f>IF(G24&gt;0, B24/G24, 0)</f>
        <v/>
      </c>
    </row>
    <row r="25" ht="22.05" customHeight="1">
      <c r="A25" s="37" t="inlineStr">
        <is>
          <t>Total</t>
        </is>
      </c>
      <c r="B25" s="38">
        <f>SUM(B12:B24)</f>
        <v/>
      </c>
      <c r="C25" s="38">
        <f>SUM(C12:C24)</f>
        <v/>
      </c>
      <c r="D25" s="38">
        <f>SUM(D12:D24)</f>
        <v/>
      </c>
      <c r="E25" s="38">
        <f>SUM(E12:E24)</f>
        <v/>
      </c>
      <c r="F25" s="38">
        <f>SUM(F12:F24)</f>
        <v/>
      </c>
      <c r="G25" s="38">
        <f>SUM(G12:G24)</f>
        <v/>
      </c>
      <c r="H25" s="39">
        <f>IF(G25&gt;0, B25/G25, 0)</f>
        <v/>
      </c>
    </row>
    <row r="26" ht="19.95" customHeight="1"/>
    <row r="27" ht="22.05" customHeight="1">
      <c r="A27" s="4" t="inlineStr">
        <is>
          <t>Test Execution Statuses &amp; Definitions</t>
        </is>
      </c>
    </row>
    <row r="28" ht="24" customHeight="1">
      <c r="A28" s="34" t="inlineStr">
        <is>
          <t>Status</t>
        </is>
      </c>
      <c r="B28" s="34" t="inlineStr">
        <is>
          <t>Definition / Criteria</t>
        </is>
      </c>
      <c r="C28" s="34" t="inlineStr">
        <is>
          <t>Allowed In Workflow</t>
        </is>
      </c>
    </row>
    <row r="29" ht="19.95" customHeight="1">
      <c r="A29" s="40" t="inlineStr">
        <is>
          <t>Passed</t>
        </is>
      </c>
      <c r="B29" s="33" t="inlineStr">
        <is>
          <t>All test steps executed with actual results fully conforming to expected acceptance criteria.</t>
        </is>
      </c>
      <c r="C29" s="33" t="inlineStr">
        <is>
          <t>Yes</t>
        </is>
      </c>
    </row>
    <row r="30" ht="19.95" customHeight="1">
      <c r="A30" s="41" t="inlineStr">
        <is>
          <t>Failed</t>
        </is>
      </c>
      <c r="B30" s="33" t="inlineStr">
        <is>
          <t>One or more test steps failed or produced unexpected discrepancies/defects.</t>
        </is>
      </c>
      <c r="C30" s="33" t="inlineStr">
        <is>
          <t>Yes</t>
        </is>
      </c>
    </row>
    <row r="31" ht="19.95" customHeight="1">
      <c r="A31" s="42" t="inlineStr">
        <is>
          <t>Partially Passed</t>
        </is>
      </c>
      <c r="B31" s="33" t="inlineStr">
        <is>
          <t>Core functionality works but secondary assertions or non-blocking edge cases encountered minor issues.</t>
        </is>
      </c>
      <c r="C31" s="33" t="inlineStr">
        <is>
          <t>Yes</t>
        </is>
      </c>
    </row>
    <row r="32" ht="19.95" customHeight="1">
      <c r="A32" s="43" t="inlineStr">
        <is>
          <t>Not Tested</t>
        </is>
      </c>
      <c r="B32" s="33" t="inlineStr">
        <is>
          <t>Test case is ready for execution in current cycle but has not yet been executed.</t>
        </is>
      </c>
      <c r="C32" s="33" t="inlineStr">
        <is>
          <t>Yes (Default)</t>
        </is>
      </c>
    </row>
    <row r="33" ht="19.95" customHeight="1">
      <c r="A33" s="44" t="inlineStr">
        <is>
          <t>Not Implemented</t>
        </is>
      </c>
      <c r="B33" s="33" t="inlineStr">
        <is>
          <t>Feature or endpoint dependency is currently in development / unreleased (e.g. provisional specs).</t>
        </is>
      </c>
      <c r="C33" s="33" t="inlineStr">
        <is>
          <t>Yes</t>
        </is>
      </c>
    </row>
    <row r="34" ht="19.95" customHeight="1">
      <c r="A34" s="45" t="inlineStr">
        <is>
          <t>NA</t>
        </is>
      </c>
      <c r="B34" s="33" t="inlineStr">
        <is>
          <t>Scenario is not applicable to current deployment scope or hardware configuration.</t>
        </is>
      </c>
      <c r="C34" s="33"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showGridLines="1" workbookViewId="0">
      <pane ySplit="1" topLeftCell="A2" activePane="bottomLeft" state="frozen"/>
      <selection pane="bottomLeft" activeCell="A1" sqref="A1"/>
    </sheetView>
  </sheetViews>
  <sheetFormatPr baseColWidth="8" defaultRowHeight="15"/>
  <cols>
    <col width="14" customWidth="1" min="1" max="1"/>
    <col width="58" customWidth="1" min="2" max="2"/>
    <col width="13" customWidth="1" min="3" max="3"/>
    <col width="30" customWidth="1" min="4" max="4"/>
    <col width="12" customWidth="1" min="5" max="5"/>
    <col width="62" customWidth="1" min="6" max="6"/>
  </cols>
  <sheetData>
    <row r="1">
      <c r="A1" s="5" t="inlineStr">
        <is>
          <t>EMI Ticket</t>
        </is>
      </c>
      <c r="B1" s="5" t="inlineStr">
        <is>
          <t>Story / Scope</t>
        </is>
      </c>
      <c r="C1" s="5" t="inlineStr">
        <is>
          <t>Jira Status</t>
        </is>
      </c>
      <c r="D1" s="5" t="inlineStr">
        <is>
          <t>Sheet in This Workbook</t>
        </is>
      </c>
      <c r="E1" s="5" t="inlineStr">
        <is>
          <t>Test Cases</t>
        </is>
      </c>
      <c r="F1" s="5" t="inlineStr">
        <is>
          <t>Coverage</t>
        </is>
      </c>
    </row>
    <row r="2">
      <c r="A2" s="26" t="inlineStr">
        <is>
          <t>EMI-5915</t>
        </is>
      </c>
      <c r="B2" s="27" t="inlineStr">
        <is>
          <t>Callback Ingestion &amp; Validation</t>
        </is>
      </c>
      <c r="C2" s="26" t="inlineStr">
        <is>
          <t>To Do</t>
        </is>
      </c>
      <c r="D2" s="26" t="inlineStr">
        <is>
          <t>Callback Ingestion &amp; Valid</t>
        </is>
      </c>
      <c r="E2" s="26" t="n">
        <v>51</v>
      </c>
      <c r="F2" s="26" t="inlineStr">
        <is>
          <t>Covered</t>
        </is>
      </c>
    </row>
    <row r="3">
      <c r="A3" s="26" t="inlineStr">
        <is>
          <t>EMI-5916</t>
        </is>
      </c>
      <c r="B3" s="27" t="inlineStr">
        <is>
          <t>Wallet Crediting &amp; Visibility</t>
        </is>
      </c>
      <c r="C3" s="26" t="inlineStr">
        <is>
          <t>To Do</t>
        </is>
      </c>
      <c r="D3" s="26" t="inlineStr">
        <is>
          <t>Wallet Crediting &amp; Visib</t>
        </is>
      </c>
      <c r="E3" s="26" t="n">
        <v>35</v>
      </c>
      <c r="F3" s="26" t="inlineStr">
        <is>
          <t>Covered</t>
        </is>
      </c>
    </row>
    <row r="4">
      <c r="A4" s="26" t="inlineStr">
        <is>
          <t>EMI-5917</t>
        </is>
      </c>
      <c r="B4" s="27" t="inlineStr">
        <is>
          <t>Wallet Payment at Terminal</t>
        </is>
      </c>
      <c r="C4" s="26" t="inlineStr">
        <is>
          <t>To Do</t>
        </is>
      </c>
      <c r="D4" s="26" t="inlineStr">
        <is>
          <t>Wallet Payment at Terminal</t>
        </is>
      </c>
      <c r="E4" s="26" t="n">
        <v>42</v>
      </c>
      <c r="F4" s="26" t="inlineStr">
        <is>
          <t>Covered</t>
        </is>
      </c>
    </row>
    <row r="5">
      <c r="A5" s="26" t="inlineStr">
        <is>
          <t>EMI-5918</t>
        </is>
      </c>
      <c r="B5" s="27" t="inlineStr">
        <is>
          <t>PoS Refunds</t>
        </is>
      </c>
      <c r="C5" s="26" t="inlineStr">
        <is>
          <t>To Do</t>
        </is>
      </c>
      <c r="D5" s="26" t="inlineStr">
        <is>
          <t>PoS Refunds</t>
        </is>
      </c>
      <c r="E5" s="26" t="n">
        <v>40</v>
      </c>
      <c r="F5" s="26" t="inlineStr">
        <is>
          <t>Covered</t>
        </is>
      </c>
    </row>
    <row r="6">
      <c r="A6" s="26" t="inlineStr">
        <is>
          <t>EMI-5919</t>
        </is>
      </c>
      <c r="B6" s="27" t="inlineStr">
        <is>
          <t>Void &amp; Technical Reversal</t>
        </is>
      </c>
      <c r="C6" s="26" t="inlineStr">
        <is>
          <t>To Do</t>
        </is>
      </c>
      <c r="D6" s="26" t="inlineStr">
        <is>
          <t>Void &amp; Technical Reversal</t>
        </is>
      </c>
      <c r="E6" s="26" t="n">
        <v>19</v>
      </c>
      <c r="F6" s="26" t="inlineStr">
        <is>
          <t>Covered</t>
        </is>
      </c>
    </row>
    <row r="7">
      <c r="A7" s="26" t="inlineStr">
        <is>
          <t>EMI-5920</t>
        </is>
      </c>
      <c r="B7" s="27" t="inlineStr">
        <is>
          <t>Reconciliation &amp; Three-Way Match</t>
        </is>
      </c>
      <c r="C7" s="26" t="inlineStr">
        <is>
          <t>To Do</t>
        </is>
      </c>
      <c r="D7" s="26" t="inlineStr">
        <is>
          <t>Recon &amp; Three-Way Match</t>
        </is>
      </c>
      <c r="E7" s="26" t="n">
        <v>31</v>
      </c>
      <c r="F7" s="26" t="inlineStr">
        <is>
          <t>Covered</t>
        </is>
      </c>
    </row>
    <row r="8">
      <c r="A8" s="26" t="inlineStr">
        <is>
          <t>EMI-5921</t>
        </is>
      </c>
      <c r="B8" s="27" t="inlineStr">
        <is>
          <t>PoS Commission Configuration</t>
        </is>
      </c>
      <c r="C8" s="26" t="inlineStr">
        <is>
          <t>To Do</t>
        </is>
      </c>
      <c r="D8" s="26" t="inlineStr">
        <is>
          <t>PoS Commission Config</t>
        </is>
      </c>
      <c r="E8" s="26" t="n">
        <v>31</v>
      </c>
      <c r="F8" s="26" t="inlineStr">
        <is>
          <t>Covered</t>
        </is>
      </c>
    </row>
    <row r="9">
      <c r="A9" s="26" t="inlineStr">
        <is>
          <t>EMI-5922</t>
        </is>
      </c>
      <c r="B9" s="27" t="inlineStr">
        <is>
          <t>ACH &amp; VIBAN (per TID group)</t>
        </is>
      </c>
      <c r="C9" s="26" t="inlineStr">
        <is>
          <t>To Do</t>
        </is>
      </c>
      <c r="D9" s="26" t="inlineStr">
        <is>
          <t>ACH &amp; VIBAN per TID</t>
        </is>
      </c>
      <c r="E9" s="26" t="n">
        <v>95</v>
      </c>
      <c r="F9" s="26" t="inlineStr">
        <is>
          <t>Covered</t>
        </is>
      </c>
    </row>
    <row r="10">
      <c r="A10" s="26" t="inlineStr">
        <is>
          <t>EMI-5923</t>
        </is>
      </c>
      <c r="B10" s="27" t="inlineStr">
        <is>
          <t>PoS Compliance Gates &amp; Held Funds</t>
        </is>
      </c>
      <c r="C10" s="26" t="inlineStr">
        <is>
          <t>To Do</t>
        </is>
      </c>
      <c r="D10" s="26" t="inlineStr">
        <is>
          <t>PoS Compliance Gates</t>
        </is>
      </c>
      <c r="E10" s="26" t="n">
        <v>18</v>
      </c>
      <c r="F10" s="26" t="inlineStr">
        <is>
          <t>Covered</t>
        </is>
      </c>
    </row>
    <row r="11">
      <c r="A11" s="26" t="inlineStr">
        <is>
          <t>EMI-5989</t>
        </is>
      </c>
      <c r="B11" s="27" t="inlineStr">
        <is>
          <t>Settlement Grouping &amp; Gate 1</t>
        </is>
      </c>
      <c r="C11" s="26" t="inlineStr">
        <is>
          <t>To Do</t>
        </is>
      </c>
      <c r="D11" s="26" t="inlineStr">
        <is>
          <t>Settlement Grouping &amp; Gate 1</t>
        </is>
      </c>
      <c r="E11" s="26" t="n">
        <v>29</v>
      </c>
      <c r="F11" s="26" t="inlineStr">
        <is>
          <t>Covered</t>
        </is>
      </c>
    </row>
    <row r="12">
      <c r="A12" s="26" t="inlineStr">
        <is>
          <t>EMI-5991</t>
        </is>
      </c>
      <c r="B12" s="27" t="inlineStr">
        <is>
          <t>PTS Retrieval &amp; Parsing</t>
        </is>
      </c>
      <c r="C12" s="26" t="inlineStr">
        <is>
          <t>To Do</t>
        </is>
      </c>
      <c r="D12" s="26" t="inlineStr">
        <is>
          <t>PTS Retrieval &amp; Parsing</t>
        </is>
      </c>
      <c r="E12" s="26" t="n">
        <v>36</v>
      </c>
      <c r="F12" s="26" t="inlineStr">
        <is>
          <t>Covered</t>
        </is>
      </c>
    </row>
    <row r="13">
      <c r="A13" s="26" t="inlineStr">
        <is>
          <t>EMI-6018</t>
        </is>
      </c>
      <c r="B13" s="27" t="inlineStr">
        <is>
          <t>ZATCA e-invoicing (Provisional)</t>
        </is>
      </c>
      <c r="C13" s="26" t="inlineStr">
        <is>
          <t>To Do</t>
        </is>
      </c>
      <c r="D13" s="26" t="inlineStr">
        <is>
          <t>ZATCA e-invoicing</t>
        </is>
      </c>
      <c r="E13" s="26" t="n">
        <v>12</v>
      </c>
      <c r="F13" s="26" t="inlineStr">
        <is>
          <t>Covered</t>
        </is>
      </c>
    </row>
    <row r="14">
      <c r="A14" s="26" t="inlineStr">
        <is>
          <t>EMI-5914</t>
        </is>
      </c>
      <c r="B14" s="27" t="inlineStr">
        <is>
          <t>End-to-End Business Flows</t>
        </is>
      </c>
      <c r="C14" s="26" t="inlineStr">
        <is>
          <t>To Do</t>
        </is>
      </c>
      <c r="D14" s="26" t="inlineStr">
        <is>
          <t>E2E Business Flows</t>
        </is>
      </c>
      <c r="E14" s="26" t="n">
        <v>16</v>
      </c>
      <c r="F14" s="26" t="inlineStr">
        <is>
          <t>Covered</t>
        </is>
      </c>
    </row>
    <row r="15">
      <c r="A15" s="28" t="inlineStr">
        <is>
          <t>EMI-5824</t>
        </is>
      </c>
      <c r="B15" s="27" t="inlineStr">
        <is>
          <t>PoS Device Management - Directory, Lifecycle &amp; Per-Device Sub-Ledger</t>
        </is>
      </c>
      <c r="C15" s="26" t="inlineStr">
        <is>
          <t>To Do</t>
        </is>
      </c>
      <c r="D15" s="26" t="inlineStr">
        <is>
          <t>PoS Device Management Test_Cases EMI-5824.xlsx</t>
        </is>
      </c>
      <c r="E15" s="26" t="n">
        <v>36</v>
      </c>
      <c r="F15" s="26" t="inlineStr">
        <is>
          <t>Covered - separate workbook (epic EMI-5823)</t>
        </is>
      </c>
    </row>
    <row r="16">
      <c r="A16" s="30" t="inlineStr">
        <is>
          <t>EMI-5944</t>
        </is>
      </c>
      <c r="B16" s="27" t="inlineStr">
        <is>
          <t>Balances &amp; Wallet Consistency (epic)</t>
        </is>
      </c>
      <c r="C16" s="26" t="inlineStr">
        <is>
          <t>To Do</t>
        </is>
      </c>
      <c r="D16" s="26" t="inlineStr">
        <is>
          <t>Balances &amp; Wallet Consistency EMI-5944.xlsx</t>
        </is>
      </c>
      <c r="E16" s="26" t="n">
        <v>20</v>
      </c>
      <c r="F16" s="26" t="inlineStr">
        <is>
          <t>Covered - E2E Balances Flows sheet</t>
        </is>
      </c>
    </row>
    <row r="17">
      <c r="A17" s="28" t="inlineStr">
        <is>
          <t>EMI-5945</t>
        </is>
      </c>
      <c r="B17" s="27" t="inlineStr">
        <is>
          <t>Statement History Rebuild</t>
        </is>
      </c>
      <c r="C17" s="26" t="inlineStr">
        <is>
          <t>To Do</t>
        </is>
      </c>
      <c r="D17" s="26" t="inlineStr">
        <is>
          <t>Balances &amp; Wallet Consistency EMI-5944.xlsx</t>
        </is>
      </c>
      <c r="E17" s="26" t="n">
        <v>52</v>
      </c>
      <c r="F17" s="26" t="inlineStr">
        <is>
          <t>Covered - separate workbook</t>
        </is>
      </c>
    </row>
    <row r="18">
      <c r="A18" s="28" t="inlineStr">
        <is>
          <t>EMI-5946</t>
        </is>
      </c>
      <c r="B18" s="27" t="inlineStr">
        <is>
          <t>Wallet Balance Recompute</t>
        </is>
      </c>
      <c r="C18" s="26" t="inlineStr">
        <is>
          <t>To Do</t>
        </is>
      </c>
      <c r="D18" s="26" t="inlineStr">
        <is>
          <t>Balances &amp; Wallet Consistency EMI-5944.xlsx</t>
        </is>
      </c>
      <c r="E18" s="26" t="n">
        <v>30</v>
      </c>
      <c r="F18" s="26" t="inlineStr">
        <is>
          <t>Covered - separate workbook</t>
        </is>
      </c>
    </row>
    <row r="19">
      <c r="A19" s="28" t="inlineStr">
        <is>
          <t>EMI-5950</t>
        </is>
      </c>
      <c r="B19" s="27" t="inlineStr">
        <is>
          <t>Bucket Identity Validation &amp; Variance Detection</t>
        </is>
      </c>
      <c r="C19" s="26" t="inlineStr">
        <is>
          <t>To Do</t>
        </is>
      </c>
      <c r="D19" s="26" t="inlineStr">
        <is>
          <t>Balances &amp; Wallet Consistency EMI-5944.xlsx</t>
        </is>
      </c>
      <c r="E19" s="26" t="n">
        <v>30</v>
      </c>
      <c r="F19" s="26" t="inlineStr">
        <is>
          <t>Covered - separate workbook</t>
        </is>
      </c>
    </row>
    <row r="20">
      <c r="A20" s="28" t="inlineStr">
        <is>
          <t>EMI-5951</t>
        </is>
      </c>
      <c r="B20" s="27" t="inlineStr">
        <is>
          <t>Stuck Reserve Detection</t>
        </is>
      </c>
      <c r="C20" s="26" t="inlineStr">
        <is>
          <t>To Do</t>
        </is>
      </c>
      <c r="D20" s="26" t="inlineStr">
        <is>
          <t>Balances &amp; Wallet Consistency EMI-5944.xlsx</t>
        </is>
      </c>
      <c r="E20" s="26" t="n">
        <v>21</v>
      </c>
      <c r="F20" s="26" t="inlineStr">
        <is>
          <t>Covered - separate workbook</t>
        </is>
      </c>
    </row>
    <row r="21">
      <c r="A21" s="28" t="inlineStr">
        <is>
          <t>EMI-5954</t>
        </is>
      </c>
      <c r="B21" s="27" t="inlineStr">
        <is>
          <t>Wallet Daily Close (EOD Snapshot &amp; Rebuild Anchor)</t>
        </is>
      </c>
      <c r="C21" s="26" t="inlineStr">
        <is>
          <t>To Do</t>
        </is>
      </c>
      <c r="D21" s="26" t="inlineStr">
        <is>
          <t>Balances &amp; Wallet Consistency EMI-5944.xlsx</t>
        </is>
      </c>
      <c r="E21" s="26" t="n">
        <v>20</v>
      </c>
      <c r="F21" s="26" t="inlineStr">
        <is>
          <t>Covered - separate workbook</t>
        </is>
      </c>
    </row>
    <row r="22">
      <c r="A22" s="28" t="inlineStr">
        <is>
          <t>EMI-5955</t>
        </is>
      </c>
      <c r="B22" s="27" t="inlineStr">
        <is>
          <t>EMI_MISSING Hybrid Resolution via Adjustment Postings</t>
        </is>
      </c>
      <c r="C22" s="26" t="inlineStr">
        <is>
          <t>To Do</t>
        </is>
      </c>
      <c r="D22" s="26" t="inlineStr">
        <is>
          <t>Balances &amp; Wallet Consistency EMI-5944.xlsx</t>
        </is>
      </c>
      <c r="E22" s="26" t="n">
        <v>18</v>
      </c>
      <c r="F22" s="26" t="inlineStr">
        <is>
          <t>Covered - separate workbook</t>
        </is>
      </c>
    </row>
    <row r="23">
      <c r="A23" s="28" t="inlineStr">
        <is>
          <t>EMI-6031</t>
        </is>
      </c>
      <c r="B23" s="27" t="inlineStr">
        <is>
          <t>Payments TTL &amp; Invalidation</t>
        </is>
      </c>
      <c r="C23" s="26" t="inlineStr">
        <is>
          <t>To Do</t>
        </is>
      </c>
      <c r="D23" s="26" t="inlineStr">
        <is>
          <t>Payments TTL &amp; Invalidation EMI-6031.xlsx</t>
        </is>
      </c>
      <c r="E23" s="26" t="n">
        <v>41</v>
      </c>
      <c r="F23" s="26" t="inlineStr">
        <is>
          <t>Covered - separate workbook (epic EMI-2184)</t>
        </is>
      </c>
    </row>
    <row r="24">
      <c r="A24" s="29" t="inlineStr">
        <is>
          <t>EMI-5947</t>
        </is>
      </c>
      <c r="B24" s="29" t="inlineStr">
        <is>
          <t>Balance Consumer Partitioning by Wallet (Task)</t>
        </is>
      </c>
      <c r="C24" s="29" t="inlineStr">
        <is>
          <t>To Do</t>
        </is>
      </c>
      <c r="D24" s="29" t="inlineStr">
        <is>
          <t>Balances &amp; Wallet Consistency EMI-5944.xlsx</t>
        </is>
      </c>
      <c r="E24" s="29" t="n">
        <v>20</v>
      </c>
      <c r="F24" s="29" t="inlineStr">
        <is>
          <t>Covered - separate workbook</t>
        </is>
      </c>
    </row>
    <row r="25">
      <c r="A25" s="29" t="inlineStr">
        <is>
          <t>EMI-5948</t>
        </is>
      </c>
      <c r="B25" s="29" t="inlineStr">
        <is>
          <t>Balance Consumer Idempotency (Task)</t>
        </is>
      </c>
      <c r="C25" s="29" t="inlineStr">
        <is>
          <t>To Do</t>
        </is>
      </c>
      <c r="D25" s="29" t="inlineStr">
        <is>
          <t>Balances &amp; Wallet Consistency EMI-5944.xlsx</t>
        </is>
      </c>
      <c r="E25" s="29" t="n">
        <v>20</v>
      </c>
      <c r="F25" s="29" t="inlineStr">
        <is>
          <t>Covered - separate workbook</t>
        </is>
      </c>
    </row>
    <row r="26">
      <c r="A26" s="29" t="inlineStr">
        <is>
          <t>EMI-5949</t>
        </is>
      </c>
      <c r="B26" s="29" t="inlineStr">
        <is>
          <t>Transaction Lifecycle Ordering Guard (Task)</t>
        </is>
      </c>
      <c r="C26" s="29" t="inlineStr">
        <is>
          <t>To Do</t>
        </is>
      </c>
      <c r="D26" s="29" t="inlineStr">
        <is>
          <t>Balances &amp; Wallet Consistency EMI-5944.xlsx</t>
        </is>
      </c>
      <c r="E26" s="29" t="n">
        <v>24</v>
      </c>
      <c r="F26" s="29" t="inlineStr">
        <is>
          <t>Covered - separate workbook</t>
        </is>
      </c>
    </row>
  </sheetData>
  <autoFilter ref="A1:F2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2"/>
  <sheetViews>
    <sheetView showGridLines="1" workbookViewId="0">
      <pane ySplit="1" topLeftCell="A2" activePane="bottomLeft" state="frozen"/>
      <selection pane="bottomLeft" activeCell="B2" sqref="B2"/>
    </sheetView>
  </sheetViews>
  <sheetFormatPr baseColWidth="8" defaultRowHeight="14.4"/>
  <cols>
    <col width="20" customWidth="1" min="1" max="1"/>
    <col width="18" customWidth="1" min="2" max="2"/>
    <col width="36" customWidth="1" min="3" max="3"/>
    <col width="14" customWidth="1" min="4" max="4"/>
    <col width="38" customWidth="1" min="5" max="5"/>
    <col width="45" customWidth="1" min="6" max="7"/>
    <col width="45" customWidth="1" min="7" max="7"/>
    <col width="18" customWidth="1" min="8" max="8"/>
    <col width="20" customWidth="1" min="9" max="9"/>
  </cols>
  <sheetData>
    <row r="1" ht="28.05" customHeight="1" thickBot="1">
      <c r="A1" s="34" t="inlineStr">
        <is>
          <t>Subtopic / Category</t>
        </is>
      </c>
      <c r="B1" s="34" t="inlineStr">
        <is>
          <t>TC ID</t>
        </is>
      </c>
      <c r="C1" s="34" t="inlineStr">
        <is>
          <t>Title</t>
        </is>
      </c>
      <c r="D1" s="34" t="inlineStr">
        <is>
          <t>Priority</t>
        </is>
      </c>
      <c r="E1" s="34" t="inlineStr">
        <is>
          <t>Preconditions</t>
        </is>
      </c>
      <c r="F1" s="34" t="inlineStr">
        <is>
          <t>Steps</t>
        </is>
      </c>
      <c r="G1" s="34" t="inlineStr">
        <is>
          <t>Expected Result</t>
        </is>
      </c>
      <c r="H1" s="34" t="inlineStr">
        <is>
          <t>Status</t>
        </is>
      </c>
      <c r="I1" s="34" t="inlineStr">
        <is>
          <t>Test Type</t>
        </is>
      </c>
    </row>
    <row r="2" ht="36" customHeight="1">
      <c r="A2" s="46" t="inlineStr">
        <is>
          <t>Functional</t>
        </is>
      </c>
      <c r="B2" s="47" t="inlineStr">
        <is>
          <t>TC-Callback-01</t>
        </is>
      </c>
      <c r="C2" s="46" t="inlineStr">
        <is>
          <t>Valid Purchase Callback</t>
        </is>
      </c>
      <c r="D2" s="47" t="inlineStr">
        <is>
          <t>High</t>
        </is>
      </c>
      <c r="E2" s="46" t="inlineStr">
        <is>
          <t>Callback endpoint reachable; TID linked to an active wallet</t>
        </is>
      </c>
      <c r="F2" s="46" t="inlineStr">
        <is>
          <t>1. Submit a well-formed PURCHASE callback with all mandatory canonical fields (event_type, provider_txn_id, tid, mid, instrument, status, amount, currency, occurred_at)</t>
        </is>
      </c>
      <c r="G2" s="46" t="inlineStr">
        <is>
          <t>ACCEPTED; PosTransaction created; origin=TXN_CALLBACK; wallet_id snapshotted</t>
        </is>
      </c>
      <c r="H2" s="47" t="inlineStr">
        <is>
          <t>NA</t>
        </is>
      </c>
      <c r="I2" s="47" t="inlineStr">
        <is>
          <t>Functional</t>
        </is>
      </c>
    </row>
    <row r="3" ht="36" customHeight="1">
      <c r="A3" s="46" t="inlineStr">
        <is>
          <t>Functional</t>
        </is>
      </c>
      <c r="B3" s="47" t="inlineStr">
        <is>
          <t>TC-Callback-02</t>
        </is>
      </c>
      <c r="C3" s="46" t="inlineStr">
        <is>
          <t>Persisted Record Integrity</t>
        </is>
      </c>
      <c r="D3" s="47" t="inlineStr">
        <is>
          <t>Medium</t>
        </is>
      </c>
      <c r="E3" s="46" t="inlineStr">
        <is>
          <t>A purchase callback has been accepted (see Valid Purchase Callback)</t>
        </is>
      </c>
      <c r="F3" s="46" t="inlineStr">
        <is>
          <t>1. Query the stored PosTransaction record for the accepted callback
2. Compare stored STAN, RRN, TID, MID, amount and masked_pan against the source payload</t>
        </is>
      </c>
      <c r="G3" s="46" t="inlineStr">
        <is>
          <t>Stored STAN, RRN, TID, MID, amount, masked PAN, etc. match the source payload</t>
        </is>
      </c>
      <c r="H3" s="47" t="inlineStr">
        <is>
          <t>NA</t>
        </is>
      </c>
      <c r="I3" s="47" t="inlineStr">
        <is>
          <t>Functional</t>
        </is>
      </c>
    </row>
    <row r="4" ht="36" customHeight="1">
      <c r="A4" s="46" t="inlineStr">
        <is>
          <t>Functional</t>
        </is>
      </c>
      <c r="B4" s="47" t="inlineStr">
        <is>
          <t>TC-Callback-03</t>
        </is>
      </c>
      <c r="C4" s="46" t="inlineStr">
        <is>
          <t>Per-TID Ledger Entry Written on Acceptance</t>
        </is>
      </c>
      <c r="D4" s="47" t="inlineStr">
        <is>
          <t>Medium</t>
        </is>
      </c>
      <c r="E4" s="46" t="inlineStr">
        <is>
          <t>A purchase callback has been accepted</t>
        </is>
      </c>
      <c r="F4" s="46" t="inlineStr">
        <is>
          <t>1. Query the stored transaction's ledger status/reason field</t>
        </is>
      </c>
      <c r="G4" s="46" t="inlineStr">
        <is>
          <t>Exactly one per-TID ledger entry (EMI-5915's booking pipeline output) is written for the accepted transaction; the entry carries the callback's status/reason; no wallet balance effect occurs at this point.</t>
        </is>
      </c>
      <c r="H4" s="47" t="inlineStr">
        <is>
          <t>NA</t>
        </is>
      </c>
      <c r="I4" s="47" t="inlineStr">
        <is>
          <t>Edge / Boundary</t>
        </is>
      </c>
    </row>
    <row r="5" ht="36" customHeight="1">
      <c r="A5" s="46" t="inlineStr">
        <is>
          <t>Functional</t>
        </is>
      </c>
      <c r="B5" s="47" t="inlineStr">
        <is>
          <t>TC-Callback-04</t>
        </is>
      </c>
      <c r="C5" s="46" t="inlineStr">
        <is>
          <t>Failed Callback Persistence</t>
        </is>
      </c>
      <c r="D5" s="47" t="inlineStr">
        <is>
          <t>Medium</t>
        </is>
      </c>
      <c r="E5" s="46" t="inlineStr">
        <is>
          <t>Callback endpoint available</t>
        </is>
      </c>
      <c r="F5" s="46" t="inlineStr">
        <is>
          <t>1. Submit a callback that fails validation or processing (e.g. terminal rejection)
2. Query the base transaction/callback table</t>
        </is>
      </c>
      <c r="G5" s="46" t="inlineStr">
        <is>
          <t>Failed callback is recorded in the required base transaction/callback table with the correct failure reason</t>
        </is>
      </c>
      <c r="H5" s="47" t="inlineStr">
        <is>
          <t>NA</t>
        </is>
      </c>
      <c r="I5" s="47" t="inlineStr">
        <is>
          <t>Negative</t>
        </is>
      </c>
    </row>
    <row r="6" ht="36" customHeight="1">
      <c r="A6" s="46" t="inlineStr">
        <is>
          <t>Functional</t>
        </is>
      </c>
      <c r="B6" s="47" t="inlineStr">
        <is>
          <t>TC-Callback-05</t>
        </is>
      </c>
      <c r="C6" s="46" t="inlineStr">
        <is>
          <t>Masked Archive &amp; Retention (All Outcomes)</t>
        </is>
      </c>
      <c r="D6" s="47" t="inlineStr">
        <is>
          <t>Medium</t>
        </is>
      </c>
      <c r="E6" s="46" t="inlineStr">
        <is>
          <t>Ingestion log/archive accessible</t>
        </is>
      </c>
      <c r="F6" s="46" t="inlineStr">
        <is>
          <t>1. Submit callbacks producing each outcome (ACCEPTED, TERMINAL, RETRYABLE, UNMATCHED, COMPLIANCE_HOLD, DUPLICATE)
2. Inspect the archived record for each outcome</t>
        </is>
      </c>
      <c r="G6" s="46" t="inlineStr">
        <is>
          <t>Every outcome type is archived masked with 7-year retention; no plaintext PAN appears in any archived record</t>
        </is>
      </c>
      <c r="H6" s="47" t="inlineStr">
        <is>
          <t>NA</t>
        </is>
      </c>
      <c r="I6" s="47" t="inlineStr">
        <is>
          <t>Integration</t>
        </is>
      </c>
    </row>
    <row r="7" ht="36" customHeight="1">
      <c r="A7" s="46" t="inlineStr">
        <is>
          <t>Functional</t>
        </is>
      </c>
      <c r="B7" s="47" t="inlineStr">
        <is>
          <t>TC-Callback-06</t>
        </is>
      </c>
      <c r="C7" s="46" t="inlineStr">
        <is>
          <t>wallet_id Snapshot Immutability</t>
        </is>
      </c>
      <c r="D7" s="47" t="inlineStr">
        <is>
          <t>Medium</t>
        </is>
      </c>
      <c r="E7" s="46" t="inlineStr">
        <is>
          <t>TID currently linked to a wallet</t>
        </is>
      </c>
      <c r="F7" s="46" t="inlineStr">
        <is>
          <t>1. Submit an accepted callback for a linked TID
2. Re-link the TID to a different wallet in the registry
3. Query the original transaction's wallet_id</t>
        </is>
      </c>
      <c r="G7" s="46" t="inlineStr">
        <is>
          <t>wallet_id is snapshotted immutably at TID resolution time and does not change even if the TID's wallet link changes afterward</t>
        </is>
      </c>
      <c r="H7" s="47" t="inlineStr">
        <is>
          <t>NA</t>
        </is>
      </c>
      <c r="I7" s="47" t="inlineStr">
        <is>
          <t>Functional</t>
        </is>
      </c>
    </row>
    <row r="8" ht="36" customHeight="1">
      <c r="A8" s="46" t="inlineStr">
        <is>
          <t>Functional</t>
        </is>
      </c>
      <c r="B8" s="47" t="inlineStr">
        <is>
          <t>TC-Callback-07</t>
        </is>
      </c>
      <c r="C8" s="46" t="inlineStr">
        <is>
          <t>Direct Pipeline Invocation — Valid Booking</t>
        </is>
      </c>
      <c r="D8" s="47" t="inlineStr">
        <is>
          <t>High</t>
        </is>
      </c>
      <c r="E8" s="46" t="inlineStr">
        <is>
          <t>Shared booking pipeline exposed as a callable service entry point; a valid, well-formed transaction payload</t>
        </is>
      </c>
      <c r="F8" s="46" t="inlineStr">
        <is>
          <t>1. Invoke the pipeline directly as EMI-5991 would, with origin=RECON_BACKFILL, for a valid transaction</t>
        </is>
      </c>
      <c r="G8" s="46" t="inlineStr">
        <is>
          <t>Transaction is validated, resolved, passed through Gate 1, and booked identically to the callback path; origin=RECON_BACKFILL is set; no branch bypasses a control</t>
        </is>
      </c>
      <c r="H8" s="47" t="inlineStr">
        <is>
          <t>NA</t>
        </is>
      </c>
      <c r="I8" s="47" t="inlineStr">
        <is>
          <t>Functional</t>
        </is>
      </c>
    </row>
    <row r="9" ht="36" customHeight="1">
      <c r="A9" s="46" t="inlineStr">
        <is>
          <t>Functional</t>
        </is>
      </c>
      <c r="B9" s="47" t="inlineStr">
        <is>
          <t>TC-Callback-08</t>
        </is>
      </c>
      <c r="C9" s="46" t="inlineStr">
        <is>
          <t>Direct Pipeline Invocation — Unknown TID</t>
        </is>
      </c>
      <c r="D9" s="47" t="inlineStr">
        <is>
          <t>High</t>
        </is>
      </c>
      <c r="E9" s="46" t="inlineStr">
        <is>
          <t>Shared booking pipeline exposed as a callable service entry point; TID with no wallet mapping</t>
        </is>
      </c>
      <c r="F9" s="46" t="inlineStr">
        <is>
          <t>1. Invoke the pipeline directly as EMI-5991 would, with origin=RECON_BACKFILL, for a transaction whose TID is unknown/unregistered</t>
        </is>
      </c>
      <c r="G9" s="46" t="inlineStr">
        <is>
          <t>Transaction is accepted and parked UNMATCHED with Ops alarm, identical to the callback path; origin=RECON_BACKFILL is set</t>
        </is>
      </c>
      <c r="H9" s="47" t="inlineStr">
        <is>
          <t>NA</t>
        </is>
      </c>
      <c r="I9" s="47" t="inlineStr">
        <is>
          <t>Negative</t>
        </is>
      </c>
    </row>
    <row r="10" ht="36" customHeight="1">
      <c r="A10" s="46" t="inlineStr">
        <is>
          <t>Functional</t>
        </is>
      </c>
      <c r="B10" s="47" t="inlineStr">
        <is>
          <t>TC-Callback-09</t>
        </is>
      </c>
      <c r="C10" s="46" t="inlineStr">
        <is>
          <t>Direct Pipeline Invocation — Gate 1 Hold</t>
        </is>
      </c>
      <c r="D10" s="47" t="inlineStr">
        <is>
          <t>High</t>
        </is>
      </c>
      <c r="E10" s="46" t="inlineStr">
        <is>
          <t>Shared booking pipeline exposed as a callable service entry point; wallet flagged for AML/sanctions/SAMA breach</t>
        </is>
      </c>
      <c r="F10" s="46" t="inlineStr">
        <is>
          <t>1. Invoke the pipeline directly as EMI-5991 would, with origin=RECON_BACKFILL, for a transaction that should trigger a Gate 1 hold</t>
        </is>
      </c>
      <c r="G10" s="46" t="inlineStr">
        <is>
          <t>Gate 1 produces COMPLIANCE_HOLD with no wallet ledger entries, identical to the callback path; no branch bypasses the compliance gate</t>
        </is>
      </c>
      <c r="H10" s="47" t="inlineStr">
        <is>
          <t>NA</t>
        </is>
      </c>
      <c r="I10" s="47" t="inlineStr">
        <is>
          <t>Functional</t>
        </is>
      </c>
    </row>
    <row r="11" ht="36" customHeight="1">
      <c r="A11" s="46" t="inlineStr">
        <is>
          <t>Functional</t>
        </is>
      </c>
      <c r="B11" s="47" t="inlineStr">
        <is>
          <t>TC-Callback-10</t>
        </is>
      </c>
      <c r="C11" s="46" t="inlineStr">
        <is>
          <t>Callback Header Validation</t>
        </is>
      </c>
      <c r="D11" s="47" t="inlineStr">
        <is>
          <t>Medium</t>
        </is>
      </c>
      <c r="E11" s="46" t="inlineStr">
        <is>
          <t>Published integration contract defines required headers</t>
        </is>
      </c>
      <c r="F11" s="46" t="inlineStr">
        <is>
          <t>1. Submit a valid payload with a missing or incorrect required header (e.g. Content-Type, Accept-Language)</t>
        </is>
      </c>
      <c r="G11" s="46" t="inlineStr">
        <is>
          <t>Invalid/missing required headers are rejected according to the agreed integration contract</t>
        </is>
      </c>
      <c r="H11" s="47" t="inlineStr">
        <is>
          <t>NA</t>
        </is>
      </c>
      <c r="I11" s="47" t="inlineStr">
        <is>
          <t>Negative</t>
        </is>
      </c>
    </row>
    <row r="12" ht="36" customHeight="1">
      <c r="A12" s="46" t="inlineStr">
        <is>
          <t>Functional</t>
        </is>
      </c>
      <c r="B12" s="47" t="inlineStr">
        <is>
          <t>TC-Callback-11</t>
        </is>
      </c>
      <c r="C12" s="46" t="inlineStr">
        <is>
          <t>Empty/Malformed Request</t>
        </is>
      </c>
      <c r="D12" s="47" t="inlineStr">
        <is>
          <t>Medium</t>
        </is>
      </c>
      <c r="E12" s="46" t="inlineStr">
        <is>
          <t>Ingestion endpoint available</t>
        </is>
      </c>
      <c r="F12" s="46" t="inlineStr">
        <is>
          <t>1. Submit a POST with an empty body
2. Submit a structurally broken/malformed transport payload</t>
        </is>
      </c>
      <c r="G12" s="46" t="inlineStr">
        <is>
          <t>Empty body or malformed transport payload returns a controlled validation error, not HTTP 500/unhandled exception</t>
        </is>
      </c>
      <c r="H12" s="47" t="inlineStr">
        <is>
          <t>NA</t>
        </is>
      </c>
      <c r="I12" s="47" t="inlineStr">
        <is>
          <t>Negative</t>
        </is>
      </c>
    </row>
    <row r="13" ht="36" customHeight="1">
      <c r="A13" s="46" t="inlineStr">
        <is>
          <t>Functional</t>
        </is>
      </c>
      <c r="B13" s="47" t="inlineStr">
        <is>
          <t>TC-Callback-12</t>
        </is>
      </c>
      <c r="C13" s="46" t="inlineStr">
        <is>
          <t>Valid REFUND Callback</t>
        </is>
      </c>
      <c r="D13" s="47" t="inlineStr">
        <is>
          <t>High</t>
        </is>
      </c>
      <c r="E13" s="46" t="inlineStr">
        <is>
          <t>A prior PURCHASE for the same provider_txn_id/rrn/stan has been booked and settled</t>
        </is>
      </c>
      <c r="F13" s="46" t="inlineStr">
        <is>
          <t>1. Submit a well-formed REFUND callback (event_type=REFUND) referencing the original transaction's provider_txn_id/rrn/stan</t>
        </is>
      </c>
      <c r="G13" s="46" t="inlineStr">
        <is>
          <t>REFUND is accepted, linked to the original purchase, wallet is credited correctly, and ledger reason reflects a refund</t>
        </is>
      </c>
      <c r="H13" s="47" t="inlineStr">
        <is>
          <t>NA</t>
        </is>
      </c>
      <c r="I13" s="47" t="inlineStr">
        <is>
          <t>Functional</t>
        </is>
      </c>
    </row>
    <row r="14" ht="36" customHeight="1">
      <c r="A14" s="46" t="inlineStr">
        <is>
          <t>Functional</t>
        </is>
      </c>
      <c r="B14" s="47" t="inlineStr">
        <is>
          <t>TC-Callback-13</t>
        </is>
      </c>
      <c r="C14" s="46" t="inlineStr">
        <is>
          <t>Valid VOID Callback</t>
        </is>
      </c>
      <c r="D14" s="47" t="inlineStr">
        <is>
          <t>High</t>
        </is>
      </c>
      <c r="E14" s="46" t="inlineStr">
        <is>
          <t>A prior same-day PURCHASE authorization exists and has not yet settled</t>
        </is>
      </c>
      <c r="F14" s="46" t="inlineStr">
        <is>
          <t>1. Submit a well-formed VOID callback (event_type=VOID) referencing the original authorization</t>
        </is>
      </c>
      <c r="G14" s="46" t="inlineStr">
        <is>
          <t>VOID is accepted, the original authorization is reversed/cancelled, no settlement occurs, ledger reflects the void</t>
        </is>
      </c>
      <c r="H14" s="47" t="inlineStr">
        <is>
          <t>NA</t>
        </is>
      </c>
      <c r="I14" s="47" t="inlineStr">
        <is>
          <t>Functional</t>
        </is>
      </c>
    </row>
    <row r="15" ht="36" customHeight="1">
      <c r="A15" s="46" t="inlineStr">
        <is>
          <t>Functional</t>
        </is>
      </c>
      <c r="B15" s="47" t="inlineStr">
        <is>
          <t>TC-Callback-14</t>
        </is>
      </c>
      <c r="C15" s="46" t="inlineStr">
        <is>
          <t>Declined Transaction Callback (status=DECLINED)</t>
        </is>
      </c>
      <c r="D15" s="47" t="inlineStr">
        <is>
          <t>High</t>
        </is>
      </c>
      <c r="E15" s="46" t="inlineStr">
        <is>
          <t>Callback endpoint reachable</t>
        </is>
      </c>
      <c r="F15" s="46" t="inlineStr">
        <is>
          <t>1. Submit a well-formed PURCHASE callback with status=DECLINED</t>
        </is>
      </c>
      <c r="G15" s="46" t="inlineStr">
        <is>
          <t>Callback is accepted and persisted for audit purposes; no wallet ledger fund movement/booking occurs; stored status = DECLINED</t>
        </is>
      </c>
      <c r="H15" s="47" t="inlineStr">
        <is>
          <t>NA</t>
        </is>
      </c>
      <c r="I15" s="47" t="inlineStr">
        <is>
          <t>Negative</t>
        </is>
      </c>
    </row>
    <row r="16" ht="36" customHeight="1">
      <c r="A16" s="46" t="inlineStr">
        <is>
          <t>Functional</t>
        </is>
      </c>
      <c r="B16" s="47" t="inlineStr">
        <is>
          <t>TC-Callback-15</t>
        </is>
      </c>
      <c r="C16" s="46" t="inlineStr">
        <is>
          <t>Successful Booking After Recovery From Retryable Failure</t>
        </is>
      </c>
      <c r="D16" s="47" t="inlineStr">
        <is>
          <t>High</t>
        </is>
      </c>
      <c r="E16" s="46" t="inlineStr">
        <is>
          <t>A callback previously received a retryable-failure response while the DB was unavailable (see TC-30)</t>
        </is>
      </c>
      <c r="F16" s="46" t="inlineStr">
        <is>
          <t>1. Restore database availability
2. Resubmit the identical callback, simulating InterSoft's retry behaviour
3. Query the resulting transaction</t>
        </is>
      </c>
      <c r="G16" s="46" t="inlineStr">
        <is>
          <t>Transaction is booked exactly once from the retried payload; no data loss, no duplicate booking</t>
        </is>
      </c>
      <c r="H16" s="47" t="inlineStr">
        <is>
          <t>NA</t>
        </is>
      </c>
      <c r="I16" s="47" t="inlineStr">
        <is>
          <t>Integration</t>
        </is>
      </c>
    </row>
    <row r="17" ht="36" customHeight="1">
      <c r="A17" s="46" t="inlineStr">
        <is>
          <t>Security</t>
        </is>
      </c>
      <c r="B17" s="47" t="inlineStr">
        <is>
          <t>TC-Callback-16</t>
        </is>
      </c>
      <c r="C17" s="46" t="inlineStr">
        <is>
          <t>TLS / Authentication</t>
        </is>
      </c>
      <c r="D17" s="47" t="inlineStr">
        <is>
          <t>High</t>
        </is>
      </c>
      <c r="E17" s="46" t="inlineStr">
        <is>
          <t>Callback endpoint reachable; authentication control (mTLS/HMAC/credential) configured</t>
        </is>
      </c>
      <c r="F17" s="46" t="inlineStr">
        <is>
          <t>1. Attempt a connection using TLS 1.1 or lower
2. Submit a callback with an invalid/expired client certificate, signature, or credential</t>
        </is>
      </c>
      <c r="G17" s="46" t="inlineStr">
        <is>
          <t>TLS below 1.2 is rejected; invalid mTLS/HMAC/credential is rejected and a security alarm is recorded</t>
        </is>
      </c>
      <c r="H17" s="47" t="inlineStr">
        <is>
          <t>NA</t>
        </is>
      </c>
      <c r="I17" s="47" t="inlineStr">
        <is>
          <t>Security</t>
        </is>
      </c>
    </row>
    <row r="18" ht="36" customHeight="1">
      <c r="A18" s="46" t="inlineStr">
        <is>
          <t>Security</t>
        </is>
      </c>
      <c r="B18" s="47" t="inlineStr">
        <is>
          <t>TC-Callback-17</t>
        </is>
      </c>
      <c r="C18" s="46" t="inlineStr">
        <is>
          <t>Replay / Timestamp Protection</t>
        </is>
      </c>
      <c r="D18" s="47" t="inlineStr">
        <is>
          <t>High</t>
        </is>
      </c>
      <c r="E18" s="46" t="inlineStr">
        <is>
          <t>Timestamp/replay control active</t>
        </is>
      </c>
      <c r="F18" s="46" t="inlineStr">
        <is>
          <t>1. Submit a valid callback with occurred_at skewed &gt;5 minutes into the past
2. Submit a valid callback with occurred_at skewed &gt;5 minutes into the future</t>
        </is>
      </c>
      <c r="G18" s="46" t="inlineStr">
        <is>
          <t>Timestamp skew &gt; 5 minutes, past or future, is rejected</t>
        </is>
      </c>
      <c r="H18" s="47" t="inlineStr">
        <is>
          <t>NA</t>
        </is>
      </c>
      <c r="I18" s="47" t="inlineStr">
        <is>
          <t>Integration</t>
        </is>
      </c>
    </row>
    <row r="19" ht="36" customHeight="1">
      <c r="A19" s="46" t="inlineStr">
        <is>
          <t>Security</t>
        </is>
      </c>
      <c r="B19" s="47" t="inlineStr">
        <is>
          <t>TC-Callback-18</t>
        </is>
      </c>
      <c r="C19" s="46" t="inlineStr">
        <is>
          <t>Full PAN Protection</t>
        </is>
      </c>
      <c r="D19" s="47" t="inlineStr">
        <is>
          <t>High</t>
        </is>
      </c>
      <c r="E19" s="46" t="inlineStr">
        <is>
          <t>Ingestion endpoint available</t>
        </is>
      </c>
      <c r="F19" s="46" t="inlineStr">
        <is>
          <t>1. Submit a callback payload with a full unmasked PAN instead of masked_pan</t>
        </is>
      </c>
      <c r="G19" s="46" t="inlineStr">
        <is>
          <t>Full PAN causes terminal rejection E05; PAN is never stored unmasked, including in the archive</t>
        </is>
      </c>
      <c r="H19" s="47" t="inlineStr">
        <is>
          <t>NA</t>
        </is>
      </c>
      <c r="I19" s="47" t="inlineStr">
        <is>
          <t>Security</t>
        </is>
      </c>
    </row>
    <row r="20" ht="36" customHeight="1">
      <c r="A20" s="46" t="inlineStr">
        <is>
          <t>Security</t>
        </is>
      </c>
      <c r="B20" s="47" t="inlineStr">
        <is>
          <t>TC-Callback-19</t>
        </is>
      </c>
      <c r="C20" s="46" t="inlineStr">
        <is>
          <t>External Resource Resolution</t>
        </is>
      </c>
      <c r="D20" s="47" t="inlineStr">
        <is>
          <t>High</t>
        </is>
      </c>
      <c r="E20" s="46" t="inlineStr">
        <is>
          <t>Parser configured with pinned local schemas only</t>
        </is>
      </c>
      <c r="F20" s="46" t="inlineStr">
        <is>
          <t>1. Submit a payload referencing an external DTD/schema/entity (e.g. XXE-style reference)</t>
        </is>
      </c>
      <c r="G20" s="46" t="inlineStr">
        <is>
          <t>External DTD/schema/resource is never fetched or read; request is rejected and a security alarm is generated</t>
        </is>
      </c>
      <c r="H20" s="47" t="inlineStr">
        <is>
          <t>NA</t>
        </is>
      </c>
      <c r="I20" s="47" t="inlineStr">
        <is>
          <t>Negative</t>
        </is>
      </c>
    </row>
    <row r="21" ht="36" customHeight="1">
      <c r="A21" s="46" t="inlineStr">
        <is>
          <t>Security</t>
        </is>
      </c>
      <c r="B21" s="47" t="inlineStr">
        <is>
          <t>TC-Callback-20</t>
        </is>
      </c>
      <c r="C21" s="46" t="inlineStr">
        <is>
          <t>Security Alarm on Undeclared Operation/Message Type</t>
        </is>
      </c>
      <c r="D21" s="47" t="inlineStr">
        <is>
          <t>Medium</t>
        </is>
      </c>
      <c r="E21" s="46" t="inlineStr">
        <is>
          <t>Published contract defines a closed set of declared operations/message types</t>
        </is>
      </c>
      <c r="F21" s="46" t="inlineStr">
        <is>
          <t>1. Submit a request using a transport-level operation/message type not present in the declared contract (not merely an invalid event_type value)</t>
        </is>
      </c>
      <c r="G21" s="46" t="inlineStr">
        <is>
          <t>Request is rejected and the security alarm counter increments</t>
        </is>
      </c>
      <c r="H21" s="47" t="inlineStr">
        <is>
          <t>NA</t>
        </is>
      </c>
      <c r="I21" s="47" t="inlineStr">
        <is>
          <t>Negative</t>
        </is>
      </c>
    </row>
    <row r="22" ht="36" customHeight="1">
      <c r="A22" s="46" t="inlineStr">
        <is>
          <t>Security</t>
        </is>
      </c>
      <c r="B22" s="47" t="inlineStr">
        <is>
          <t>TC-Callback-21</t>
        </is>
      </c>
      <c r="C22" s="46" t="inlineStr">
        <is>
          <t>Machine-Readable Reason Code Coverage (E1-E9)</t>
        </is>
      </c>
      <c r="D22" s="47" t="inlineStr">
        <is>
          <t>Medium</t>
        </is>
      </c>
      <c r="E22" s="46" t="inlineStr">
        <is>
          <t>Ingestion endpoint available</t>
        </is>
      </c>
      <c r="F22" s="46" t="inlineStr">
        <is>
          <t>1. Trigger each terminal-rejection category in turn (malformed payload, full PAN, stale timestamp, unknown type, missing mandatory field, etc.)
2. Inspect each response</t>
        </is>
      </c>
      <c r="G22" s="46" t="inlineStr">
        <is>
          <t>Each terminal rejection returns the correct machine-readable E1-E9 code per spec §9, not only human-readable text</t>
        </is>
      </c>
      <c r="H22" s="47" t="inlineStr">
        <is>
          <t>NA</t>
        </is>
      </c>
      <c r="I22" s="47" t="inlineStr">
        <is>
          <t>Negative</t>
        </is>
      </c>
    </row>
    <row r="23" ht="36" customHeight="1">
      <c r="A23" s="46" t="inlineStr">
        <is>
          <t>Security</t>
        </is>
      </c>
      <c r="B23" s="47" t="inlineStr">
        <is>
          <t>TC-Callback-22</t>
        </is>
      </c>
      <c r="C23" s="46" t="inlineStr">
        <is>
          <t>Compensating Control for Unavailable Strongest Authentication</t>
        </is>
      </c>
      <c r="D23" s="47" t="inlineStr">
        <is>
          <t>Medium</t>
        </is>
      </c>
      <c r="E23" s="46" t="inlineStr">
        <is>
          <t>Test environment where mTLS (the strongest preferred control) is not supported by the client</t>
        </is>
      </c>
      <c r="F23" s="46" t="inlineStr">
        <is>
          <t>1. Attempt a callback using the next-strongest available control per the documented preference order (signature, then rotated shared credential, then IP allow-list)</t>
        </is>
      </c>
      <c r="G23" s="46" t="inlineStr">
        <is>
          <t>Connection is accepted only via the documented compensating control for the missing stronger control; the gap and control are named in integration docs, not silently defaulted</t>
        </is>
      </c>
      <c r="H23" s="47" t="inlineStr">
        <is>
          <t>NA</t>
        </is>
      </c>
      <c r="I23" s="47" t="inlineStr">
        <is>
          <t>Negative</t>
        </is>
      </c>
    </row>
    <row r="24" ht="36" customHeight="1">
      <c r="A24" s="46" t="inlineStr">
        <is>
          <t>Validation</t>
        </is>
      </c>
      <c r="B24" s="47" t="inlineStr">
        <is>
          <t>TC-Callback-23</t>
        </is>
      </c>
      <c r="C24" s="46" t="inlineStr">
        <is>
          <t>Schema Validation</t>
        </is>
      </c>
      <c r="D24" s="47" t="inlineStr">
        <is>
          <t>Medium</t>
        </is>
      </c>
      <c r="E24" s="46" t="inlineStr">
        <is>
          <t>Pinned schema contract in place</t>
        </is>
      </c>
      <c r="F24" s="46" t="inlineStr">
        <is>
          <t>1. Submit a payload violating the pinned versioned schema or exceeding the size cap</t>
        </is>
      </c>
      <c r="G24" s="46" t="inlineStr">
        <is>
          <t>Malformed/invalid payload is rejected before canonical object binding; no partial object is created</t>
        </is>
      </c>
      <c r="H24" s="47" t="inlineStr">
        <is>
          <t>NA</t>
        </is>
      </c>
      <c r="I24" s="47" t="inlineStr">
        <is>
          <t>Negative</t>
        </is>
      </c>
    </row>
    <row r="25" ht="36" customHeight="1">
      <c r="A25" s="46" t="inlineStr">
        <is>
          <t>Validation</t>
        </is>
      </c>
      <c r="B25" s="47" t="inlineStr">
        <is>
          <t>TC-Callback-24</t>
        </is>
      </c>
      <c r="C25" s="46" t="inlineStr">
        <is>
          <t>Mandatory Field Validation</t>
        </is>
      </c>
      <c r="D25" s="47" t="inlineStr">
        <is>
          <t>High</t>
        </is>
      </c>
      <c r="E25" s="46" t="inlineStr">
        <is>
          <t>Ingestion endpoint available</t>
        </is>
      </c>
      <c r="F25" s="46" t="inlineStr">
        <is>
          <t>1. Submit a callback missing a mandatory canonical field (e.g. TerminalID, RRN/STAN, or Amount)</t>
        </is>
      </c>
      <c r="G25" s="46" t="inlineStr">
        <is>
          <t>Missing mandatory fields result in machine-readable terminal rejection; no booking occurs</t>
        </is>
      </c>
      <c r="H25" s="47" t="inlineStr">
        <is>
          <t>NA</t>
        </is>
      </c>
      <c r="I25" s="47" t="inlineStr">
        <is>
          <t>Negative</t>
        </is>
      </c>
    </row>
    <row r="26" ht="36" customHeight="1">
      <c r="A26" s="46" t="inlineStr">
        <is>
          <t>Validation</t>
        </is>
      </c>
      <c r="B26" s="47" t="inlineStr">
        <is>
          <t>TC-Callback-25</t>
        </is>
      </c>
      <c r="C26" s="46" t="inlineStr">
        <is>
          <t>Unknown Event / Message Type</t>
        </is>
      </c>
      <c r="D26" s="47" t="inlineStr">
        <is>
          <t>Medium</t>
        </is>
      </c>
      <c r="E26" s="46" t="inlineStr">
        <is>
          <t>Ingestion endpoint available</t>
        </is>
      </c>
      <c r="F26" s="46" t="inlineStr">
        <is>
          <t>1. Submit a callback with event_type outside PURCHASE/REFUND/VOID/REVERSAL, or an unregistered message type</t>
        </is>
      </c>
      <c r="G26" s="46" t="inlineStr">
        <is>
          <t>Unknown event_type or message type is terminally rejected and is not retried</t>
        </is>
      </c>
      <c r="H26" s="47" t="inlineStr">
        <is>
          <t>NA</t>
        </is>
      </c>
      <c r="I26" s="47" t="inlineStr">
        <is>
          <t>Negative</t>
        </is>
      </c>
    </row>
    <row r="27" ht="36" customHeight="1">
      <c r="A27" s="46" t="inlineStr">
        <is>
          <t>Validation</t>
        </is>
      </c>
      <c r="B27" s="47" t="inlineStr">
        <is>
          <t>TC-Callback-26</t>
        </is>
      </c>
      <c r="C27" s="46" t="inlineStr">
        <is>
          <t>Pinned Value Formats</t>
        </is>
      </c>
      <c r="D27" s="47" t="inlineStr">
        <is>
          <t>Medium</t>
        </is>
      </c>
      <c r="E27" s="46" t="inlineStr">
        <is>
          <t>Ingestion endpoint available</t>
        </is>
      </c>
      <c r="F27" s="46" t="inlineStr">
        <is>
          <t>1. Submit an amount in exponent notation (e.g. 1e2) or with a thousands separator
2. Submit a timestamp without a UTC offset</t>
        </is>
      </c>
      <c r="G27" s="46" t="inlineStr">
        <is>
          <t>Exponent notation, thousands separators, invalid numeric formats, or timestamps without UTC offset are rejected</t>
        </is>
      </c>
      <c r="H27" s="47" t="inlineStr">
        <is>
          <t>NA</t>
        </is>
      </c>
      <c r="I27" s="47" t="inlineStr">
        <is>
          <t>Negative</t>
        </is>
      </c>
    </row>
    <row r="28" ht="36" customHeight="1">
      <c r="A28" s="46" t="inlineStr">
        <is>
          <t>Validation</t>
        </is>
      </c>
      <c r="B28" s="47" t="inlineStr">
        <is>
          <t>TC-Callback-27</t>
        </is>
      </c>
      <c r="C28" s="46" t="inlineStr">
        <is>
          <t>Zero Amount</t>
        </is>
      </c>
      <c r="D28" s="47" t="inlineStr">
        <is>
          <t>Low</t>
        </is>
      </c>
      <c r="E28" s="46" t="inlineStr">
        <is>
          <t>Ingestion endpoint available</t>
        </is>
      </c>
      <c r="F28" s="46" t="inlineStr">
        <is>
          <t>1. Submit a callback with Amount = 0.00</t>
        </is>
      </c>
      <c r="G28" s="46" t="inlineStr">
        <is>
          <t>OPEN ITEM — behaviour undefined; clarify with the business whether zero-value / verification-only auths should be accepted or rejected</t>
        </is>
      </c>
      <c r="H28" s="47" t="inlineStr">
        <is>
          <t>NA</t>
        </is>
      </c>
      <c r="I28" s="47" t="inlineStr">
        <is>
          <t>Negative</t>
        </is>
      </c>
    </row>
    <row r="29" ht="36" customHeight="1">
      <c r="A29" s="46" t="inlineStr">
        <is>
          <t>Validation</t>
        </is>
      </c>
      <c r="B29" s="47" t="inlineStr">
        <is>
          <t>TC-Callback-28</t>
        </is>
      </c>
      <c r="C29" s="46" t="inlineStr">
        <is>
          <t>Structural Hardening</t>
        </is>
      </c>
      <c r="D29" s="47" t="inlineStr">
        <is>
          <t>Medium</t>
        </is>
      </c>
      <c r="E29" s="46" t="inlineStr">
        <is>
          <t>Ingestion endpoint available</t>
        </is>
      </c>
      <c r="F29" s="46" t="inlineStr">
        <is>
          <t>1. Submit an oversized payload or one with excessive nesting depth/field count</t>
        </is>
      </c>
      <c r="G29" s="46" t="inlineStr">
        <is>
          <t>Oversized payload / excessive nesting / excessive field count is rejected before excessive memory consumption</t>
        </is>
      </c>
      <c r="H29" s="47" t="inlineStr">
        <is>
          <t>NA</t>
        </is>
      </c>
      <c r="I29" s="47" t="inlineStr">
        <is>
          <t>Negative</t>
        </is>
      </c>
    </row>
    <row r="30" ht="36" customHeight="1">
      <c r="A30" s="46" t="inlineStr">
        <is>
          <t>Validation</t>
        </is>
      </c>
      <c r="B30" s="47" t="inlineStr">
        <is>
          <t>TC-Callback-29</t>
        </is>
      </c>
      <c r="C30" s="46" t="inlineStr">
        <is>
          <t>Unknown Optional Field</t>
        </is>
      </c>
      <c r="D30" s="47" t="inlineStr">
        <is>
          <t>Low</t>
        </is>
      </c>
      <c r="E30" s="46" t="inlineStr">
        <is>
          <t>Ingestion endpoint available</t>
        </is>
      </c>
      <c r="F30" s="46" t="inlineStr">
        <is>
          <t>1. Submit a known message type with an additional undocumented optional field</t>
        </is>
      </c>
      <c r="G30" s="46" t="inlineStr">
        <is>
          <t>Unknown optional field in a known message is accepted and archived without affecting processing</t>
        </is>
      </c>
      <c r="H30" s="47" t="inlineStr">
        <is>
          <t>NA</t>
        </is>
      </c>
      <c r="I30" s="47" t="inlineStr">
        <is>
          <t>Negative</t>
        </is>
      </c>
    </row>
    <row r="31" ht="36" customHeight="1">
      <c r="A31" s="46" t="inlineStr">
        <is>
          <t>Validation</t>
        </is>
      </c>
      <c r="B31" s="47" t="inlineStr">
        <is>
          <t>TC-Callback-30</t>
        </is>
      </c>
      <c r="C31" s="46" t="inlineStr">
        <is>
          <t>Contract Version Backward Compatibility</t>
        </is>
      </c>
      <c r="D31" s="47" t="inlineStr">
        <is>
          <t>Low</t>
        </is>
      </c>
      <c r="E31" s="46" t="inlineStr">
        <is>
          <t>The published contract has been version-bumped (e.g. a new optional field added)</t>
        </is>
      </c>
      <c r="F31" s="46" t="inlineStr">
        <is>
          <t>1. Submit a callback formatted to an older, still-supported contract version</t>
        </is>
      </c>
      <c r="G31" s="46" t="inlineStr">
        <is>
          <t>Older-version payload is still accepted per the version-addressable contract; in-flight terminals are not broken by the newer version</t>
        </is>
      </c>
      <c r="H31" s="47" t="inlineStr">
        <is>
          <t>NA</t>
        </is>
      </c>
      <c r="I31" s="47" t="inlineStr">
        <is>
          <t>Negative</t>
        </is>
      </c>
    </row>
    <row r="32" ht="36" customHeight="1">
      <c r="A32" s="46" t="inlineStr">
        <is>
          <t>Routing</t>
        </is>
      </c>
      <c r="B32" s="47" t="inlineStr">
        <is>
          <t>TC-Callback-31</t>
        </is>
      </c>
      <c r="C32" s="46" t="inlineStr">
        <is>
          <t>Unknown / Unregistered TID</t>
        </is>
      </c>
      <c r="D32" s="47" t="inlineStr">
        <is>
          <t>High</t>
        </is>
      </c>
      <c r="E32" s="46" t="inlineStr">
        <is>
          <t>TID not present in device/wallet registry</t>
        </is>
      </c>
      <c r="F32" s="46" t="inlineStr">
        <is>
          <t>1. Submit a valid callback for a TID with no wallet mapping</t>
        </is>
      </c>
      <c r="G32" s="46" t="inlineStr">
        <is>
          <t>Transaction is accepted and parked as UNMATCHED; Ops alarm generated; transaction is retained, not dropped, and no invalid booking is created</t>
        </is>
      </c>
      <c r="H32" s="47" t="inlineStr">
        <is>
          <t>NA</t>
        </is>
      </c>
      <c r="I32" s="47" t="inlineStr">
        <is>
          <t>Negative</t>
        </is>
      </c>
    </row>
    <row r="33" ht="36" customHeight="1">
      <c r="A33" s="46" t="inlineStr">
        <is>
          <t>Routing</t>
        </is>
      </c>
      <c r="B33" s="47" t="inlineStr">
        <is>
          <t>TC-Callback-32</t>
        </is>
      </c>
      <c r="C33" s="46" t="inlineStr">
        <is>
          <t>Suspended Wallet</t>
        </is>
      </c>
      <c r="D33" s="47" t="inlineStr">
        <is>
          <t>Medium</t>
        </is>
      </c>
      <c r="E33" s="46" t="inlineStr">
        <is>
          <t>TID resolves to a wallet currently suspended</t>
        </is>
      </c>
      <c r="F33" s="46" t="inlineStr">
        <is>
          <t>1. Submit a callback for a TID whose linked wallet is suspended</t>
        </is>
      </c>
      <c r="G33" s="46" t="inlineStr">
        <is>
          <t>Transaction is parked and not booked while the linked wallet is suspended</t>
        </is>
      </c>
      <c r="H33" s="47" t="inlineStr">
        <is>
          <t>NA</t>
        </is>
      </c>
      <c r="I33" s="47" t="inlineStr">
        <is>
          <t>Functional</t>
        </is>
      </c>
    </row>
    <row r="34" ht="36" customHeight="1">
      <c r="A34" s="46" t="inlineStr">
        <is>
          <t>Routing</t>
        </is>
      </c>
      <c r="B34" s="47" t="inlineStr">
        <is>
          <t>TC-Callback-33</t>
        </is>
      </c>
      <c r="C34" s="46" t="inlineStr">
        <is>
          <t>Reversal Before Purchase</t>
        </is>
      </c>
      <c r="D34" s="47" t="inlineStr">
        <is>
          <t>Medium</t>
        </is>
      </c>
      <c r="E34" s="46" t="inlineStr">
        <is>
          <t>No prior purchase booked for the referenced transaction</t>
        </is>
      </c>
      <c r="F34" s="46" t="inlineStr">
        <is>
          <t>1. Submit a REVERSAL event referencing a purchase not yet in the ledger</t>
        </is>
      </c>
      <c r="G34" s="46" t="inlineStr">
        <is>
          <t>Reversal is parked for up to 48h and automatically matched when the purchase arrives</t>
        </is>
      </c>
      <c r="H34" s="47" t="inlineStr">
        <is>
          <t>NA</t>
        </is>
      </c>
      <c r="I34" s="47" t="inlineStr">
        <is>
          <t>Functional</t>
        </is>
      </c>
    </row>
    <row r="35" ht="36" customHeight="1">
      <c r="A35" s="46" t="inlineStr">
        <is>
          <t>Routing</t>
        </is>
      </c>
      <c r="B35" s="47" t="inlineStr">
        <is>
          <t>TC-Callback-34</t>
        </is>
      </c>
      <c r="C35" s="46" t="inlineStr">
        <is>
          <t>48h Parking Expiry</t>
        </is>
      </c>
      <c r="D35" s="47" t="inlineStr">
        <is>
          <t>Medium</t>
        </is>
      </c>
      <c r="E35" s="46" t="inlineStr">
        <is>
          <t>A reversal is parked awaiting its purchase</t>
        </is>
      </c>
      <c r="F35" s="46" t="inlineStr">
        <is>
          <t>1. Advance/simulate time past the 48h parking window without the purchase arriving</t>
        </is>
      </c>
      <c r="G35" s="46" t="inlineStr">
        <is>
          <t>Unmatched reversal exceeding 48h triggers Ops escalation and is not silently dropped</t>
        </is>
      </c>
      <c r="H35" s="47" t="inlineStr">
        <is>
          <t>NA</t>
        </is>
      </c>
      <c r="I35" s="47" t="inlineStr">
        <is>
          <t>Functional</t>
        </is>
      </c>
    </row>
    <row r="36" ht="36" customHeight="1">
      <c r="A36" s="46" t="inlineStr">
        <is>
          <t>Routing</t>
        </is>
      </c>
      <c r="B36" s="47" t="inlineStr">
        <is>
          <t>TC-Callback-35</t>
        </is>
      </c>
      <c r="C36" s="46" t="inlineStr">
        <is>
          <t>Inactive (Registered but Disabled) TID</t>
        </is>
      </c>
      <c r="D36" s="47" t="inlineStr">
        <is>
          <t>Medium</t>
        </is>
      </c>
      <c r="E36" s="46" t="inlineStr">
        <is>
          <t>TID exists in the device/wallet registry but its status is inactive/disabled — distinct from an unregistered TID</t>
        </is>
      </c>
      <c r="F36" s="46" t="inlineStr">
        <is>
          <t>1. Submit a valid callback for a TID that is registered but marked inactive</t>
        </is>
      </c>
      <c r="G36" s="46" t="inlineStr">
        <is>
          <t>Transaction is accepted and parked UNMATCHED with Ops alarm, same treatment as an unregistered TID</t>
        </is>
      </c>
      <c r="H36" s="47" t="inlineStr">
        <is>
          <t>NA</t>
        </is>
      </c>
      <c r="I36" s="47" t="inlineStr">
        <is>
          <t>Functional</t>
        </is>
      </c>
    </row>
    <row r="37" ht="36" customHeight="1">
      <c r="A37" s="46" t="inlineStr">
        <is>
          <t>Idempotency</t>
        </is>
      </c>
      <c r="B37" s="47" t="inlineStr">
        <is>
          <t>TC-Callback-36</t>
        </is>
      </c>
      <c r="C37" s="46" t="inlineStr">
        <is>
          <t>Duplicate Transaction</t>
        </is>
      </c>
      <c r="D37" s="47" t="inlineStr">
        <is>
          <t>High</t>
        </is>
      </c>
      <c r="E37" s="46" t="inlineStr">
        <is>
          <t>A transaction with a given provider_txn_id already ACCEPTED</t>
        </is>
      </c>
      <c r="F37" s="46" t="inlineStr">
        <is>
          <t>1. Resend the identical provider_txn_id callback</t>
        </is>
      </c>
      <c r="G37" s="46" t="inlineStr">
        <is>
          <t>Same provider_txn_id returns the original response; only one transaction exists; no side effects</t>
        </is>
      </c>
      <c r="H37" s="47" t="inlineStr">
        <is>
          <t>NA</t>
        </is>
      </c>
      <c r="I37" s="47" t="inlineStr">
        <is>
          <t>Integration</t>
        </is>
      </c>
    </row>
    <row r="38" ht="36" customHeight="1">
      <c r="A38" s="46" t="inlineStr">
        <is>
          <t>Idempotency</t>
        </is>
      </c>
      <c r="B38" s="47" t="inlineStr">
        <is>
          <t>TC-Callback-37</t>
        </is>
      </c>
      <c r="C38" s="46" t="inlineStr">
        <is>
          <t>Fallback Idempotency Key</t>
        </is>
      </c>
      <c r="D38" s="47" t="inlineStr">
        <is>
          <t>Medium</t>
        </is>
      </c>
      <c r="E38" s="46" t="inlineStr">
        <is>
          <t>Message missing provider_txn_id, with rrn/stan, tid and date matching a prior message</t>
        </is>
      </c>
      <c r="F38" s="46" t="inlineStr">
        <is>
          <t>1. Submit a callback lacking provider_txn_id but with rrn/stan, tid and date matching a prior message</t>
        </is>
      </c>
      <c r="G38" s="46" t="inlineStr">
        <is>
          <t>System matches on tid+rrn+stan+date; a duplicate on this fallback key is treated identically to a primary-key duplicate</t>
        </is>
      </c>
      <c r="H38" s="47" t="inlineStr">
        <is>
          <t>NA</t>
        </is>
      </c>
      <c r="I38" s="47" t="inlineStr">
        <is>
          <t>Integration</t>
        </is>
      </c>
    </row>
    <row r="39" ht="36" customHeight="1">
      <c r="A39" s="46" t="inlineStr">
        <is>
          <t>Idempotency</t>
        </is>
      </c>
      <c r="B39" s="47" t="inlineStr">
        <is>
          <t>TC-Callback-38</t>
        </is>
      </c>
      <c r="C39" s="46" t="inlineStr">
        <is>
          <t>Concurrent Duplicate Requests</t>
        </is>
      </c>
      <c r="D39" s="47" t="inlineStr">
        <is>
          <t>High</t>
        </is>
      </c>
      <c r="E39" s="46" t="inlineStr">
        <is>
          <t>Same payload not yet persisted</t>
        </is>
      </c>
      <c r="F39" s="46" t="inlineStr">
        <is>
          <t>1. Fire two identical callback requests simultaneously</t>
        </is>
      </c>
      <c r="G39" s="46" t="inlineStr">
        <is>
          <t>Simultaneous identical requests are protected by the DB unique constraint; only one transaction is booked</t>
        </is>
      </c>
      <c r="H39" s="47" t="inlineStr">
        <is>
          <t>NA</t>
        </is>
      </c>
      <c r="I39" s="47" t="inlineStr">
        <is>
          <t>Integration</t>
        </is>
      </c>
    </row>
    <row r="40" ht="36" customHeight="1">
      <c r="A40" s="46" t="inlineStr">
        <is>
          <t>Idempotency</t>
        </is>
      </c>
      <c r="B40" s="47" t="inlineStr">
        <is>
          <t>TC-Callback-39</t>
        </is>
      </c>
      <c r="C40" s="46" t="inlineStr">
        <is>
          <t>Cross-Origin Callback After Backfill</t>
        </is>
      </c>
      <c r="D40" s="47" t="inlineStr">
        <is>
          <t>High</t>
        </is>
      </c>
      <c r="E40" s="46" t="inlineStr">
        <is>
          <t>Same transaction already booked via EMI-5991 backfill (origin=RECON_BACKFILL)</t>
        </is>
      </c>
      <c r="F40" s="46" t="inlineStr">
        <is>
          <t>1. Submit the original InterSoft callback for a transaction already backfilled
2. Query the resulting PosTransaction.origin field</t>
        </is>
      </c>
      <c r="G40" s="46" t="inlineStr">
        <is>
          <t>Callback for a transaction already created by RECON_BACKFILL is absorbed; no second transaction or double booking; origin remains RECON_BACKFILL, unchanged by the absorbed callback</t>
        </is>
      </c>
      <c r="H40" s="47" t="inlineStr">
        <is>
          <t>NA</t>
        </is>
      </c>
      <c r="I40" s="47" t="inlineStr">
        <is>
          <t>Integration</t>
        </is>
      </c>
    </row>
    <row r="41" ht="36" customHeight="1">
      <c r="A41" s="46" t="inlineStr">
        <is>
          <t>Reliability</t>
        </is>
      </c>
      <c r="B41" s="47" t="inlineStr">
        <is>
          <t>TC-Callback-40</t>
        </is>
      </c>
      <c r="C41" s="46" t="inlineStr">
        <is>
          <t>Database Unavailable</t>
        </is>
      </c>
      <c r="D41" s="47" t="inlineStr">
        <is>
          <t>High</t>
        </is>
      </c>
      <c r="E41" s="46" t="inlineStr">
        <is>
          <t>Simulate a database outage during the booking call</t>
        </is>
      </c>
      <c r="F41" s="46" t="inlineStr">
        <is>
          <t>1. Trigger a callback while the booking pipeline's database is unavailable</t>
        </is>
      </c>
      <c r="G41" s="46" t="inlineStr">
        <is>
          <t>Returns retryable failure; never terminal rejection; InterSoft can retry</t>
        </is>
      </c>
      <c r="H41" s="47" t="inlineStr">
        <is>
          <t>NA</t>
        </is>
      </c>
      <c r="I41" s="47" t="inlineStr">
        <is>
          <t>Negative</t>
        </is>
      </c>
    </row>
    <row r="42" ht="36" customHeight="1">
      <c r="A42" s="46" t="inlineStr">
        <is>
          <t>Reliability</t>
        </is>
      </c>
      <c r="B42" s="47" t="inlineStr">
        <is>
          <t>TC-Callback-41</t>
        </is>
      </c>
      <c r="C42" s="46" t="inlineStr">
        <is>
          <t>TID Registry Unavailable</t>
        </is>
      </c>
      <c r="D42" s="47" t="inlineStr">
        <is>
          <t>Medium</t>
        </is>
      </c>
      <c r="E42" s="46" t="inlineStr">
        <is>
          <t>Simulate TID-to-wallet registry/lookup service outage</t>
        </is>
      </c>
      <c r="F42" s="46" t="inlineStr">
        <is>
          <t>1. Submit a valid callback while the TID registry service is unreachable</t>
        </is>
      </c>
      <c r="G42" s="46" t="inlineStr">
        <is>
          <t>Fails safely to UNMATCHED/parking with Ops alarm; transaction is not lost</t>
        </is>
      </c>
      <c r="H42" s="47" t="inlineStr">
        <is>
          <t>NA</t>
        </is>
      </c>
      <c r="I42" s="47" t="inlineStr">
        <is>
          <t>Negative</t>
        </is>
      </c>
    </row>
    <row r="43" ht="36" customHeight="1">
      <c r="A43" s="46" t="inlineStr">
        <is>
          <t>Reliability</t>
        </is>
      </c>
      <c r="B43" s="47" t="inlineStr">
        <is>
          <t>TC-Callback-42</t>
        </is>
      </c>
      <c r="C43" s="46" t="inlineStr">
        <is>
          <t>Audit Log Completeness Across All State Transitions</t>
        </is>
      </c>
      <c r="D43" s="47" t="inlineStr">
        <is>
          <t>Medium</t>
        </is>
      </c>
      <c r="E43" s="46" t="inlineStr">
        <is>
          <t>Transactions exist in each lifecycle state: ACCEPTED, PARKED/UNMATCHED, COMPLIANCE_HOLD, TERMINAL_REJECTED, RETRYABLE_FAILURE</t>
        </is>
      </c>
      <c r="F43" s="46" t="inlineStr">
        <is>
          <t>1. For a transaction in each state, query the audit log for that transaction and its state-change history</t>
        </is>
      </c>
      <c r="G43" s="46" t="inlineStr">
        <is>
          <t>Every state change is captured in the audit log with timestamp, not just failed callbacks and the masked archive</t>
        </is>
      </c>
      <c r="H43" s="47" t="inlineStr">
        <is>
          <t>NA</t>
        </is>
      </c>
      <c r="I43" s="47" t="inlineStr">
        <is>
          <t>Functional</t>
        </is>
      </c>
    </row>
    <row r="44" ht="36" customHeight="1">
      <c r="A44" s="46" t="inlineStr">
        <is>
          <t>Compliance</t>
        </is>
      </c>
      <c r="B44" s="47" t="inlineStr">
        <is>
          <t>TC-Callback-43</t>
        </is>
      </c>
      <c r="C44" s="46" t="inlineStr">
        <is>
          <t>AML/Sanctions/SAMA Breach</t>
        </is>
      </c>
      <c r="D44" s="47" t="inlineStr">
        <is>
          <t>High</t>
        </is>
      </c>
      <c r="E44" s="46" t="inlineStr">
        <is>
          <t>Wallet under AML review, sanctions match, or SAMA limit breach configured</t>
        </is>
      </c>
      <c r="F44" s="46" t="inlineStr">
        <is>
          <t>1. Submit a callback for a wallet flagged for AML review / sanctions / SAMA limit breach</t>
        </is>
      </c>
      <c r="G44" s="46" t="inlineStr">
        <is>
          <t>Gate 1 produces COMPLIANCE_HOLD; no wallet ledger entries; required case/HOLD journal created</t>
        </is>
      </c>
      <c r="H44" s="47" t="inlineStr">
        <is>
          <t>NA</t>
        </is>
      </c>
      <c r="I44" s="47" t="inlineStr">
        <is>
          <t>Compliance</t>
        </is>
      </c>
    </row>
    <row r="45" ht="36" customHeight="1">
      <c r="A45" s="46" t="inlineStr">
        <is>
          <t>Compliance</t>
        </is>
      </c>
      <c r="B45" s="47" t="inlineStr">
        <is>
          <t>TC-Callback-44</t>
        </is>
      </c>
      <c r="C45" s="46" t="inlineStr">
        <is>
          <t>Gate 1 Timeout</t>
        </is>
      </c>
      <c r="D45" s="47" t="inlineStr">
        <is>
          <t>High</t>
        </is>
      </c>
      <c r="E45" s="46" t="inlineStr">
        <is>
          <t>Compliance check service made unresponsive</t>
        </is>
      </c>
      <c r="F45" s="46" t="inlineStr">
        <is>
          <t>1. Submit a valid callback while the Gate 1 check service times out</t>
        </is>
      </c>
      <c r="G45" s="46" t="inlineStr">
        <is>
          <t>Fail-safe to COMPLIANCE_HOLD; never fail-open to booking</t>
        </is>
      </c>
      <c r="H45" s="47" t="inlineStr">
        <is>
          <t>NA</t>
        </is>
      </c>
      <c r="I45" s="47" t="inlineStr">
        <is>
          <t>Compliance</t>
        </is>
      </c>
    </row>
    <row r="46" ht="36" customHeight="1">
      <c r="A46" s="46" t="inlineStr">
        <is>
          <t>Compliance</t>
        </is>
      </c>
      <c r="B46" s="47" t="inlineStr">
        <is>
          <t>TC-Callback-45</t>
        </is>
      </c>
      <c r="C46" s="46" t="inlineStr">
        <is>
          <t>Gate 1 Anomaly Signal Escalation (C09/C11)</t>
        </is>
      </c>
      <c r="D46" s="47" t="inlineStr">
        <is>
          <t>High</t>
        </is>
      </c>
      <c r="E46" s="46" t="inlineStr">
        <is>
          <t>Callback anomaly condition configured: a TID-link integrity mismatch (C09) or a spike in suspicious/malformed callbacks from one terminal (C11)</t>
        </is>
      </c>
      <c r="F46" s="46" t="inlineStr">
        <is>
          <t>1. Submit a pattern of callbacks that should trigger C09 or C11</t>
        </is>
      </c>
      <c r="G46" s="46" t="inlineStr">
        <is>
          <t>Anomaly is detected, RF-08 is raised, and an InterSoft terminal-suspension request (O13) is generated</t>
        </is>
      </c>
      <c r="H46" s="47" t="inlineStr">
        <is>
          <t>NA</t>
        </is>
      </c>
      <c r="I46" s="47" t="inlineStr">
        <is>
          <t>Compliance</t>
        </is>
      </c>
    </row>
    <row r="47" ht="36" customHeight="1">
      <c r="A47" s="46" t="inlineStr">
        <is>
          <t>Validation</t>
        </is>
      </c>
      <c r="B47" s="47" t="inlineStr">
        <is>
          <t>TC-Callback-46</t>
        </is>
      </c>
      <c r="C47" s="46" t="inlineStr">
        <is>
          <t>Mechanism-Specific Hardening Annex (O18-Conditional: XML/JSON/File)</t>
        </is>
      </c>
      <c r="D47" s="47" t="inlineStr">
        <is>
          <t>High</t>
        </is>
      </c>
      <c r="E47" s="46" t="inlineStr">
        <is>
          <t>O18 (integration mechanism: REST/JSON, SOAP/XML, or file/multipart upload) has been decided by the solution architect; BLOCKED until then — see EMI-5915 §B conditional annex</t>
        </is>
      </c>
      <c r="F47" s="46" t="inlineStr">
        <is>
          <t>1. Once O18 is decided, run the single matching annex test:
   - If XML/SOAP: submit payloads exercising XXE, billion-laughs entity expansion, and XML Signature Wrapping (T18)
   - If JSON/REST: submit payloads with duplicate keys, a 10,000-element array, and a 40-digit number (T19)
   - If file/multipart: submit a mislabelled content type, a compression bomb, and the same file uploaded twice (T20)</t>
        </is>
      </c>
      <c r="G47" s="46" t="inlineStr">
        <is>
          <t>Each attack/edge case is rejected per the pinned policy for the chosen mechanism (no file read, no network fetch, signature reference resolved correctly, no silent last-wins/precision loss, magic-byte check enforced, compression bomb rejected, duplicate upload absorbed by file-hash idempotency, as applicable). No candidate mechanism may introduce a second code path, a second idempotency key, or a Gate 1 bypass.</t>
        </is>
      </c>
      <c r="H47" s="47" t="inlineStr">
        <is>
          <t>NA</t>
        </is>
      </c>
      <c r="I47" s="47" t="inlineStr">
        <is>
          <t>Integration</t>
        </is>
      </c>
    </row>
    <row r="48" ht="36" customHeight="1">
      <c r="A48" s="46" t="inlineStr">
        <is>
          <t>Connectivity / Heartbeat</t>
        </is>
      </c>
      <c r="B48" s="47" t="inlineStr">
        <is>
          <t>TC-Callback-47</t>
        </is>
      </c>
      <c r="C48" s="46" t="inlineStr">
        <is>
          <t>Heartbeat/Callback Timeout</t>
        </is>
      </c>
      <c r="D48" s="47" t="inlineStr">
        <is>
          <t>High</t>
        </is>
      </c>
      <c r="E48" s="46" t="inlineStr">
        <is>
          <t>Active TID configured with heartbeat/inactivity monitoring window (e.g., 60 mins)</t>
        </is>
      </c>
      <c r="F48" s="46" t="inlineStr">
        <is>
          <t>1. Deploy an active TID.
2. Cease sending callbacks/heartbeats for &gt;60 mins.
3. Check Admin and Merchant terminal status view.</t>
        </is>
      </c>
      <c r="G48" s="46" t="inlineStr">
        <is>
          <t>If an Active TID sends no callbacks for a defined window (e.g., 60 mins), the system flags it as "Disconnected" in the Admin/Merchant view.</t>
        </is>
      </c>
      <c r="H48" s="47" t="inlineStr">
        <is>
          <t>NA</t>
        </is>
      </c>
      <c r="I48" s="47" t="inlineStr">
        <is>
          <t>Functional</t>
        </is>
      </c>
    </row>
    <row r="49" ht="36" customHeight="1">
      <c r="A49" s="46" t="inlineStr">
        <is>
          <t>UX / Observability</t>
        </is>
      </c>
      <c r="B49" s="47" t="inlineStr">
        <is>
          <t>TC-Callback-48</t>
        </is>
      </c>
      <c r="C49" s="46" t="inlineStr">
        <is>
          <t>"Last Seen" Visibility</t>
        </is>
      </c>
      <c r="D49" s="47" t="inlineStr">
        <is>
          <t>Medium</t>
        </is>
      </c>
      <c r="E49" s="46" t="inlineStr">
        <is>
          <t>TID has recorded at least one successful transaction or heartbeat callback</t>
        </is>
      </c>
      <c r="F49" s="46" t="inlineStr">
        <is>
          <t>1. Submit a valid callback for the TID.
2. Open the per-device detail view in Admin / Merchant app.
3. Verify timestamp.</t>
        </is>
      </c>
      <c r="G49" s="46" t="inlineStr">
        <is>
          <t>The per-device view displays a "Last Activity" timestamp derived from the most recent successful callback.</t>
        </is>
      </c>
      <c r="H49" s="47" t="inlineStr">
        <is>
          <t>NA</t>
        </is>
      </c>
      <c r="I49" s="47" t="inlineStr">
        <is>
          <t>Usability</t>
        </is>
      </c>
    </row>
    <row r="50" ht="36" customHeight="1">
      <c r="A50" s="46" t="inlineStr">
        <is>
          <t>Alerting / Operations</t>
        </is>
      </c>
      <c r="B50" s="47" t="inlineStr">
        <is>
          <t>TC-Callback-49</t>
        </is>
      </c>
      <c r="C50" s="46" t="inlineStr">
        <is>
          <t>Disconnection Alerting</t>
        </is>
      </c>
      <c r="D50" s="47" t="inlineStr">
        <is>
          <t>High</t>
        </is>
      </c>
      <c r="E50" s="46" t="inlineStr">
        <is>
          <t>Ops monitoring and alert rules configured for terminal connectivity</t>
        </is>
      </c>
      <c r="F50" s="46" t="inlineStr">
        <is>
          <t>1. Simulate sustained absence of callbacks from an active terminal past threshold.
2. Inspect monitoring/alerting pipeline.</t>
        </is>
      </c>
      <c r="G50" s="46" t="inlineStr">
        <is>
          <t>A sustained absence of callbacks from an active terminal triggers an Ops alarm to investigate potential hardware or network failure.</t>
        </is>
      </c>
      <c r="H50" s="47" t="inlineStr">
        <is>
          <t>NA</t>
        </is>
      </c>
      <c r="I50" s="47" t="inlineStr">
        <is>
          <t>Negative</t>
        </is>
      </c>
    </row>
    <row r="51" ht="36" customHeight="1">
      <c r="A51" s="46" t="inlineStr">
        <is>
          <t>Notifications / UX</t>
        </is>
      </c>
      <c r="B51" s="47" t="inlineStr">
        <is>
          <t>TC-Callback-50</t>
        </is>
      </c>
      <c r="C51" s="46" t="inlineStr">
        <is>
          <t>Merchant Notification</t>
        </is>
      </c>
      <c r="D51" s="47" t="inlineStr">
        <is>
          <t>Medium</t>
        </is>
      </c>
      <c r="E51" s="46" t="inlineStr">
        <is>
          <t>Merchant app notification channel active; terminal offline threshold reached</t>
        </is>
      </c>
      <c r="F51" s="46" t="inlineStr">
        <is>
          <t>1. Leave terminal offline beyond the notification threshold.
2. Check merchant mobile app notification inbox and push alerts.</t>
        </is>
      </c>
      <c r="G51" s="46" t="inlineStr">
        <is>
          <t>The merchant receives an in-app notification if their terminal has been offline for more than a specified threshold.</t>
        </is>
      </c>
      <c r="H51" s="47" t="inlineStr">
        <is>
          <t>NA</t>
        </is>
      </c>
      <c r="I51" s="47" t="inlineStr">
        <is>
          <t>Usability</t>
        </is>
      </c>
    </row>
    <row r="52" ht="36" customHeight="1">
      <c r="A52" s="46" t="inlineStr">
        <is>
          <t>Lifecycle / Registry</t>
        </is>
      </c>
      <c r="B52" s="47" t="inlineStr">
        <is>
          <t>TC-Callback-51</t>
        </is>
      </c>
      <c r="C52" s="46" t="inlineStr">
        <is>
          <t>Status Transition on Failure</t>
        </is>
      </c>
      <c r="D52" s="47" t="inlineStr">
        <is>
          <t>High</t>
        </is>
      </c>
      <c r="E52" s="46" t="inlineStr">
        <is>
          <t>Active TID in terminal registry; background connectivity evaluation job running</t>
        </is>
      </c>
      <c r="F52" s="46" t="inlineStr">
        <is>
          <t>1. Keep terminal disconnected for prolonged period (e.g. 24h).
2. Allow scheduled registry evaluation job to execute.
3. Inspect terminal record status.</t>
        </is>
      </c>
      <c r="G52" s="46" t="inlineStr">
        <is>
          <t>A terminal that fails to report for a prolonged period (e.g., 24h) is automatically moved to a "Connectivity Review" status in the registry.</t>
        </is>
      </c>
      <c r="H52" s="47" t="inlineStr">
        <is>
          <t>NA</t>
        </is>
      </c>
      <c r="I52" s="47" t="inlineStr">
        <is>
          <t>Negative</t>
        </is>
      </c>
    </row>
  </sheetData>
  <autoFilter ref="A1:I52"/>
  <conditionalFormatting sqref="H2:H52">
    <cfRule type="cellIs" priority="7" operator="equal" dxfId="54">
      <formula>"Passed"</formula>
    </cfRule>
    <cfRule type="cellIs" priority="8" operator="equal" dxfId="55">
      <formula>"Failed"</formula>
    </cfRule>
    <cfRule type="cellIs" priority="9" operator="equal" dxfId="56">
      <formula>"Partially Passed"</formula>
    </cfRule>
    <cfRule type="cellIs" priority="10" operator="equal" dxfId="57">
      <formula>"Not Tested"</formula>
    </cfRule>
    <cfRule type="cellIs" priority="11" operator="equal" dxfId="58">
      <formula>"Not Implemented"</formula>
    </cfRule>
    <cfRule type="cellIs" priority="12" operator="equal" dxfId="59">
      <formula>"NA"</formula>
    </cfRule>
  </conditionalFormatting>
  <dataValidations count="2">
    <dataValidation sqref="H2:H52" showDropDown="0" showInputMessage="0" showErrorMessage="0" allowBlank="1" errorTitle="Invalid Status" error="Your entry is not in the allowed list of statuses" promptTitle="Test Status" prompt="Select execution status" type="list">
      <formula1>"Passed,Failed,Partially Passed,Not Tested,Not Implemented,NA"</formula1>
    </dataValidation>
    <dataValidation sqref="H2:H52" showDropDown="0" showInputMessage="0" showErrorMessage="0" allowBlank="1" type="list">
      <formula1>"Passed,Failed,Partially Passed,Not Tested,Not Implemented,NA"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6"/>
  <sheetViews>
    <sheetView showGridLines="1" workbookViewId="0">
      <pane ySplit="1" topLeftCell="A2" activePane="bottomLeft" state="frozen"/>
      <selection pane="bottomLeft" activeCell="B1" sqref="B1:B1048576"/>
    </sheetView>
  </sheetViews>
  <sheetFormatPr baseColWidth="8" defaultRowHeight="14.4"/>
  <cols>
    <col width="20" customWidth="1" min="1" max="1"/>
    <col width="18" customWidth="1" min="2" max="2"/>
    <col width="36" customWidth="1" min="3" max="3"/>
    <col width="14" customWidth="1" min="4" max="4"/>
    <col width="38" customWidth="1" min="5" max="5"/>
    <col width="45" customWidth="1" min="6" max="7"/>
    <col width="45" customWidth="1" min="7" max="7"/>
    <col width="18" customWidth="1" min="8" max="8"/>
    <col width="20" customWidth="1" min="9" max="9"/>
  </cols>
  <sheetData>
    <row r="1" ht="28.05" customHeight="1" thickBot="1">
      <c r="A1" s="34" t="inlineStr">
        <is>
          <t>Subtopic / Category</t>
        </is>
      </c>
      <c r="B1" s="34" t="inlineStr">
        <is>
          <t>TC ID</t>
        </is>
      </c>
      <c r="C1" s="34" t="inlineStr">
        <is>
          <t>Title</t>
        </is>
      </c>
      <c r="D1" s="34" t="inlineStr">
        <is>
          <t>Priority</t>
        </is>
      </c>
      <c r="E1" s="34" t="inlineStr">
        <is>
          <t>Preconditions</t>
        </is>
      </c>
      <c r="F1" s="34" t="inlineStr">
        <is>
          <t>Steps</t>
        </is>
      </c>
      <c r="G1" s="34" t="inlineStr">
        <is>
          <t>Expected Result</t>
        </is>
      </c>
      <c r="H1" s="34" t="inlineStr">
        <is>
          <t>Status</t>
        </is>
      </c>
      <c r="I1" s="34" t="inlineStr">
        <is>
          <t>Test Type</t>
        </is>
      </c>
    </row>
    <row r="2" ht="36" customHeight="1">
      <c r="A2" s="46" t="inlineStr">
        <is>
          <t>Functional</t>
        </is>
      </c>
      <c r="B2" s="47" t="inlineStr">
        <is>
          <t>TC-Wallet-01</t>
        </is>
      </c>
      <c r="C2" s="46" t="inlineStr">
        <is>
          <t>Successful Callback – TID Activity</t>
        </is>
      </c>
      <c r="D2" s="47" t="inlineStr">
        <is>
          <t>High</t>
        </is>
      </c>
      <c r="E2" s="46" t="inlineStr">
        <is>
          <t>Valid accepted callback</t>
        </is>
      </c>
      <c r="F2" s="46" t="inlineStr">
        <is>
          <t>1. Submit successful callback
2. Open merchant TID view
3. Check wallet</t>
        </is>
      </c>
      <c r="G2" s="46" t="inlineStr">
        <is>
          <t>Transaction appears under the correct TID with settlement-eligible status; wallet balance remains unchanged; no pending or fee entry.</t>
        </is>
      </c>
      <c r="H2" s="47" t="inlineStr">
        <is>
          <t>NA</t>
        </is>
      </c>
      <c r="I2" s="47" t="inlineStr">
        <is>
          <t>Functional</t>
        </is>
      </c>
    </row>
    <row r="3" ht="36" customHeight="1">
      <c r="A3" s="46" t="inlineStr">
        <is>
          <t>Functional</t>
        </is>
      </c>
      <c r="B3" s="47" t="inlineStr">
        <is>
          <t>TC-Wallet-02</t>
        </is>
      </c>
      <c r="C3" s="46" t="inlineStr">
        <is>
          <t>Non-Settleable Transactions Visibility</t>
        </is>
      </c>
      <c r="D3" s="47" t="inlineStr">
        <is>
          <t>High</t>
        </is>
      </c>
      <c r="E3" s="46" t="inlineStr">
        <is>
          <t>Declined/failed callback exists</t>
        </is>
      </c>
      <c r="F3" s="46" t="inlineStr">
        <is>
          <t>1. Submit declined/failed transaction
2. Open TID view
3. Check money totals</t>
        </is>
      </c>
      <c r="G3" s="46" t="inlineStr">
        <is>
          <t>Transaction remains visible under the TID but is excluded from all money-looking totals.</t>
        </is>
      </c>
      <c r="H3" s="47" t="inlineStr">
        <is>
          <t>NA</t>
        </is>
      </c>
      <c r="I3" s="47" t="inlineStr">
        <is>
          <t>Negative</t>
        </is>
      </c>
    </row>
    <row r="4" ht="36" customHeight="1">
      <c r="A4" s="46" t="inlineStr">
        <is>
          <t>UX/Wording</t>
        </is>
      </c>
      <c r="B4" s="47" t="inlineStr">
        <is>
          <t>TC-Wallet-03</t>
        </is>
      </c>
      <c r="C4" s="46" t="inlineStr">
        <is>
          <t>Merchant-Facing Wording &amp; TID Activity</t>
        </is>
      </c>
      <c r="D4" s="47" t="inlineStr">
        <is>
          <t>Medium</t>
        </is>
      </c>
      <c r="E4" s="46" t="inlineStr">
        <is>
          <t>Per-device (TID) activity view accessible to the merchant</t>
        </is>
      </c>
      <c r="F4" s="46" t="inlineStr">
        <is>
          <t>1. Open per-device view
2. Compare displayed transaction values with wallet balance
3. Review exact copy/labels</t>
        </is>
      </c>
      <c r="G4" s="46" t="inlineStr">
        <is>
          <t>TID activity is clearly presented as recorded sales, never as spendable/pending funds. Labels unambiguously describe activity (e.g., "Recorded Sales").</t>
        </is>
      </c>
      <c r="H4" s="47" t="inlineStr">
        <is>
          <t>NA</t>
        </is>
      </c>
      <c r="I4" s="47" t="inlineStr">
        <is>
          <t>Usability</t>
        </is>
      </c>
    </row>
    <row r="5" ht="36" customHeight="1">
      <c r="A5" s="46" t="inlineStr">
        <is>
          <t>Functional</t>
        </is>
      </c>
      <c r="B5" s="47" t="inlineStr">
        <is>
          <t>TC-Wallet-04</t>
        </is>
      </c>
      <c r="C5" s="46" t="inlineStr">
        <is>
          <t>Settlement Group Creates One Pending Cash-In</t>
        </is>
      </c>
      <c r="D5" s="47" t="inlineStr">
        <is>
          <t>High</t>
        </is>
      </c>
      <c r="E5" s="46" t="inlineStr">
        <is>
          <t>EMI-5989 successfully creates a settlement group</t>
        </is>
      </c>
      <c r="F5" s="46" t="inlineStr">
        <is>
          <t>1. Complete grouping
2. Open merchant wallet</t>
        </is>
      </c>
      <c r="G5" s="46" t="inlineStr">
        <is>
          <t>Exactly one pending cash-in is created per settlement group; amount is not spendable.</t>
        </is>
      </c>
      <c r="H5" s="47" t="inlineStr">
        <is>
          <t>NA</t>
        </is>
      </c>
      <c r="I5" s="47" t="inlineStr">
        <is>
          <t>Edge / Boundary</t>
        </is>
      </c>
    </row>
    <row r="6" ht="36" customHeight="1">
      <c r="A6" s="46" t="inlineStr">
        <is>
          <t>Functional</t>
        </is>
      </c>
      <c r="B6" s="47" t="inlineStr">
        <is>
          <t>TC-Wallet-05</t>
        </is>
      </c>
      <c r="C6" s="46" t="inlineStr">
        <is>
          <t>Multiple Settlement Groups Produce Separate Credits</t>
        </is>
      </c>
      <c r="D6" s="47" t="inlineStr">
        <is>
          <t>High</t>
        </is>
      </c>
      <c r="E6" s="46" t="inlineStr">
        <is>
          <t>Merchant has transactions in multiple settlement groups</t>
        </is>
      </c>
      <c r="F6" s="46" t="inlineStr">
        <is>
          <t>1. Process three settlement groups
2. Complete clearing</t>
        </is>
      </c>
      <c r="G6" s="46" t="inlineStr">
        <is>
          <t>Each settlement group produces exactly one balance movement; 3 distinct credits visible, each traceable to its own device/group.</t>
        </is>
      </c>
      <c r="H6" s="47" t="inlineStr">
        <is>
          <t>NA</t>
        </is>
      </c>
      <c r="I6" s="47" t="inlineStr">
        <is>
          <t>Integration</t>
        </is>
      </c>
    </row>
    <row r="7" ht="36" customHeight="1">
      <c r="A7" s="46" t="inlineStr">
        <is>
          <t>Functional</t>
        </is>
      </c>
      <c r="B7" s="47" t="inlineStr">
        <is>
          <t>TC-Wallet-06</t>
        </is>
      </c>
      <c r="C7" s="46" t="inlineStr">
        <is>
          <t>Pending Cash-In Excluded From Available Balance</t>
        </is>
      </c>
      <c r="D7" s="47" t="inlineStr">
        <is>
          <t>High</t>
        </is>
      </c>
      <c r="E7" s="46" t="inlineStr">
        <is>
          <t>Pending cash-in exists</t>
        </is>
      </c>
      <c r="F7" s="46" t="inlineStr">
        <is>
          <t>1. Record Available balance
2. Check wallet after pending creation</t>
        </is>
      </c>
      <c r="G7" s="46" t="inlineStr">
        <is>
          <t>Pending amount is excluded from Available/spendable balance.</t>
        </is>
      </c>
      <c r="H7" s="47" t="inlineStr">
        <is>
          <t>NA</t>
        </is>
      </c>
      <c r="I7" s="47" t="inlineStr">
        <is>
          <t>Functional</t>
        </is>
      </c>
    </row>
    <row r="8" ht="36" customHeight="1">
      <c r="A8" s="46" t="inlineStr">
        <is>
          <t>Functional</t>
        </is>
      </c>
      <c r="B8" s="47" t="inlineStr">
        <is>
          <t>TC-Wallet-07</t>
        </is>
      </c>
      <c r="C8" s="46" t="inlineStr">
        <is>
          <t>Intraday Clearing Moves Group to Available</t>
        </is>
      </c>
      <c r="D8" s="47" t="inlineStr">
        <is>
          <t>Critical</t>
        </is>
      </c>
      <c r="E8" s="46" t="inlineStr">
        <is>
          <t>Valid pending group, matching intraday statement credit, wallet eligible</t>
        </is>
      </c>
      <c r="F8" s="46" t="inlineStr">
        <is>
          <t>1. Process EMI-5922 clearing using batch_ref
2. Run Gate 3
3. Check group and wallet</t>
        </is>
      </c>
      <c r="G8" s="46" t="inlineStr">
        <is>
          <t>Pending → Available; member TID entries → SETTLED; exactly one wallet credit. Gate 3 evaluates current state and passes.</t>
        </is>
      </c>
      <c r="H8" s="47" t="inlineStr">
        <is>
          <t>NA</t>
        </is>
      </c>
      <c r="I8" s="47" t="inlineStr">
        <is>
          <t>Edge / Boundary</t>
        </is>
      </c>
    </row>
    <row r="9" ht="36" customHeight="1">
      <c r="A9" s="46" t="inlineStr">
        <is>
          <t>Validation</t>
        </is>
      </c>
      <c r="B9" s="47" t="inlineStr">
        <is>
          <t>TC-Wallet-08</t>
        </is>
      </c>
      <c r="C9" s="46" t="inlineStr">
        <is>
          <t>Invalid batch_ref Does Not Trigger Settlement</t>
        </is>
      </c>
      <c r="D9" s="47" t="inlineStr">
        <is>
          <t>Critical</t>
        </is>
      </c>
      <c r="E9" s="46" t="inlineStr">
        <is>
          <t>Pending group exists</t>
        </is>
      </c>
      <c r="F9" s="46" t="inlineStr">
        <is>
          <t>1. Submit intraday credit with invalid/non-matching batch_ref</t>
        </is>
      </c>
      <c r="G9" s="46" t="inlineStr">
        <is>
          <t>Group is not credited or incorrectly settled.</t>
        </is>
      </c>
      <c r="H9" s="47" t="inlineStr">
        <is>
          <t>NA</t>
        </is>
      </c>
      <c r="I9" s="47" t="inlineStr">
        <is>
          <t>Negative</t>
        </is>
      </c>
    </row>
    <row r="10" ht="36" customHeight="1">
      <c r="A10" s="46" t="inlineStr">
        <is>
          <t>Compliance</t>
        </is>
      </c>
      <c r="B10" s="47" t="inlineStr">
        <is>
          <t>TC-Wallet-09</t>
        </is>
      </c>
      <c r="C10" s="46" t="inlineStr">
        <is>
          <t>Gate 3 Failure – SAMA Cap Breach</t>
        </is>
      </c>
      <c r="D10" s="47" t="inlineStr">
        <is>
          <t>Critical</t>
        </is>
      </c>
      <c r="E10" s="46" t="inlineStr">
        <is>
          <t>Credit would exceed SAMA balance cap</t>
        </is>
      </c>
      <c r="F10" s="46" t="inlineStr">
        <is>
          <t>1. Process intraday credit
2. Force cap failure</t>
        </is>
      </c>
      <c r="G10" s="46" t="inlineStr">
        <is>
          <t>Entire amount goes to COMPLIANCE_HOLD/suspense; no partial credit; neutral notification (no tipping-off).</t>
        </is>
      </c>
      <c r="H10" s="47" t="inlineStr">
        <is>
          <t>NA</t>
        </is>
      </c>
      <c r="I10" s="47" t="inlineStr">
        <is>
          <t>Security</t>
        </is>
      </c>
    </row>
    <row r="11" ht="36" customHeight="1">
      <c r="A11" s="46" t="inlineStr">
        <is>
          <t>Compliance</t>
        </is>
      </c>
      <c r="B11" s="47" t="inlineStr">
        <is>
          <t>TC-Wallet-10</t>
        </is>
      </c>
      <c r="C11" s="46" t="inlineStr">
        <is>
          <t>Wallet Becomes Ineligible Before Credit</t>
        </is>
      </c>
      <c r="D11" s="47" t="inlineStr">
        <is>
          <t>Critical</t>
        </is>
      </c>
      <c r="E11" s="46" t="inlineStr">
        <is>
          <t>Wallet eligible during grouping but becomes ineligible before clearing</t>
        </is>
      </c>
      <c r="F11" s="46" t="inlineStr">
        <is>
          <t>1. Create pending group
2. Change wallet eligibility
3. Process clearing</t>
        </is>
      </c>
      <c r="G11" s="46" t="inlineStr">
        <is>
          <t>Gate 3 evaluates the current state and holds the amount; proves Gate 3 occurs at credit time, not grouping time.</t>
        </is>
      </c>
      <c r="H11" s="47" t="inlineStr">
        <is>
          <t>NA</t>
        </is>
      </c>
      <c r="I11" s="47" t="inlineStr">
        <is>
          <t>Compliance</t>
        </is>
      </c>
    </row>
    <row r="12" ht="36" customHeight="1">
      <c r="A12" s="46" t="inlineStr">
        <is>
          <t>Compliance</t>
        </is>
      </c>
      <c r="B12" s="47" t="inlineStr">
        <is>
          <t>TC-Wallet-11</t>
        </is>
      </c>
      <c r="C12" s="46" t="inlineStr">
        <is>
          <t>Gate 3 Check-Service Timeout</t>
        </is>
      </c>
      <c r="D12" s="47" t="inlineStr">
        <is>
          <t>Critical</t>
        </is>
      </c>
      <c r="E12" s="46" t="inlineStr">
        <is>
          <t>Gate 3 (or its dependency, e.g. SAMA cap service) made unresponsive</t>
        </is>
      </c>
      <c r="F12" s="46" t="inlineStr">
        <is>
          <t>1. Process a valid intraday credit while the Gate 3 check service times out</t>
        </is>
      </c>
      <c r="G12" s="46" t="inlineStr">
        <is>
          <t>Fail-safe to COMPLIANCE_HOLD/suspense; never fail-open to Available.</t>
        </is>
      </c>
      <c r="H12" s="47" t="inlineStr">
        <is>
          <t>NA</t>
        </is>
      </c>
      <c r="I12" s="47" t="inlineStr">
        <is>
          <t>Compliance</t>
        </is>
      </c>
    </row>
    <row r="13" ht="36" customHeight="1">
      <c r="A13" s="46" t="inlineStr">
        <is>
          <t>Idempotency</t>
        </is>
      </c>
      <c r="B13" s="47" t="inlineStr">
        <is>
          <t>TC-Wallet-12</t>
        </is>
      </c>
      <c r="C13" s="46" t="inlineStr">
        <is>
          <t>Duplicate Intraday Credit</t>
        </is>
      </c>
      <c r="D13" s="47" t="inlineStr">
        <is>
          <t>Critical</t>
        </is>
      </c>
      <c r="E13" s="46" t="inlineStr">
        <is>
          <t>Settlement group already credited</t>
        </is>
      </c>
      <c r="F13" s="46" t="inlineStr">
        <is>
          <t>1. Process same credit again
2. Check wallet and ledger</t>
        </is>
      </c>
      <c r="G13" s="46" t="inlineStr">
        <is>
          <t>Idempotent: no second credit, no duplicate settlement, and original result is preserved.</t>
        </is>
      </c>
      <c r="H13" s="47" t="inlineStr">
        <is>
          <t>NA</t>
        </is>
      </c>
      <c r="I13" s="47" t="inlineStr">
        <is>
          <t>Integration</t>
        </is>
      </c>
    </row>
    <row r="14" ht="36" customHeight="1">
      <c r="A14" s="46" t="inlineStr">
        <is>
          <t>Idempotency</t>
        </is>
      </c>
      <c r="B14" s="47" t="inlineStr">
        <is>
          <t>TC-Wallet-13</t>
        </is>
      </c>
      <c r="C14" s="46" t="inlineStr">
        <is>
          <t>Concurrent Settlement Credit</t>
        </is>
      </c>
      <c r="D14" s="47" t="inlineStr">
        <is>
          <t>Critical</t>
        </is>
      </c>
      <c r="E14" s="46" t="inlineStr">
        <is>
          <t>Valid pending group exists</t>
        </is>
      </c>
      <c r="F14" s="46" t="inlineStr">
        <is>
          <t>1. Process same credit concurrently from two requests</t>
        </is>
      </c>
      <c r="G14" s="46" t="inlineStr">
        <is>
          <t>Only one credit is applied; no duplicate balance movement.</t>
        </is>
      </c>
      <c r="H14" s="47" t="inlineStr">
        <is>
          <t>NA</t>
        </is>
      </c>
      <c r="I14" s="47" t="inlineStr">
        <is>
          <t>Integration</t>
        </is>
      </c>
    </row>
    <row r="15" ht="36" customHeight="1">
      <c r="A15" s="46" t="inlineStr">
        <is>
          <t>Atomicity</t>
        </is>
      </c>
      <c r="B15" s="47" t="inlineStr">
        <is>
          <t>TC-Wallet-14</t>
        </is>
      </c>
      <c r="C15" s="46" t="inlineStr">
        <is>
          <t>Group Settlement Is Atomic</t>
        </is>
      </c>
      <c r="D15" s="47" t="inlineStr">
        <is>
          <t>Critical</t>
        </is>
      </c>
      <c r="E15" s="46" t="inlineStr">
        <is>
          <t>Valid pending settlement group</t>
        </is>
      </c>
      <c r="F15" s="46" t="inlineStr">
        <is>
          <t>1. Force failure during settlement processing
2. Inspect aggregate/member states</t>
        </is>
      </c>
      <c r="G15" s="46" t="inlineStr">
        <is>
          <t>No partial settlement; aggregate and member entries remain consistent.</t>
        </is>
      </c>
      <c r="H15" s="47" t="inlineStr">
        <is>
          <t>NA</t>
        </is>
      </c>
      <c r="I15" s="47" t="inlineStr">
        <is>
          <t>Negative</t>
        </is>
      </c>
    </row>
    <row r="16" ht="36" customHeight="1">
      <c r="A16" s="46" t="inlineStr">
        <is>
          <t>Conservation</t>
        </is>
      </c>
      <c r="B16" s="47" t="inlineStr">
        <is>
          <t>TC-Wallet-15</t>
        </is>
      </c>
      <c r="C16" s="46" t="inlineStr">
        <is>
          <t>Settlement Group Conservation – Match</t>
        </is>
      </c>
      <c r="D16" s="47" t="inlineStr">
        <is>
          <t>Critical</t>
        </is>
      </c>
      <c r="E16" s="46" t="inlineStr">
        <is>
          <t>Group contains multiple member transactions whose signed amounts sum to the aggregate net</t>
        </is>
      </c>
      <c r="F16" s="46" t="inlineStr">
        <is>
          <t>1. Calculate the group aggregate net
2. Sum the member entry amounts, respecting debit/credit direction
3. Compare the two figures
4. Allow clearing to proceed</t>
        </is>
      </c>
      <c r="G16" s="46" t="inlineStr">
        <is>
          <t>Aggregate net = Σ member entries exactly; conservation check passes, no alarm is raised, and the group is permitted to credit.</t>
        </is>
      </c>
      <c r="H16" s="47" t="inlineStr">
        <is>
          <t>NA</t>
        </is>
      </c>
      <c r="I16" s="47" t="inlineStr">
        <is>
          <t>Edge / Boundary</t>
        </is>
      </c>
    </row>
    <row r="17" ht="36" customHeight="1">
      <c r="A17" s="46" t="inlineStr">
        <is>
          <t>Conservation</t>
        </is>
      </c>
      <c r="B17" s="47" t="inlineStr">
        <is>
          <t>TC-Wallet-16</t>
        </is>
      </c>
      <c r="C17" s="46" t="inlineStr">
        <is>
          <t>Settlement Group Conservation – Mismatch</t>
        </is>
      </c>
      <c r="D17" s="47" t="inlineStr">
        <is>
          <t>Critical</t>
        </is>
      </c>
      <c r="E17" s="46" t="inlineStr">
        <is>
          <t>Group whose aggregate net does not equal the sum of its member entries (e.g. a member amount or direction corrupted), while the bank credit still matches the aggregate</t>
        </is>
      </c>
      <c r="F17" s="46" t="inlineStr">
        <is>
          <t>1. Introduce a discrepancy between the aggregate net and the signed member amounts
2. Process the intraday clearing with a bank credit matching the aggregate
3. Inspect wallet, group state and alarms</t>
        </is>
      </c>
      <c r="G17" s="46" t="inlineStr">
        <is>
          <t>Mismatch is detected and blocks the credit even though the bank credit matched the aggregate; an alarm is raised; no wallet credit and no partial settlement occurs; group is left in a state Ops can investigate.</t>
        </is>
      </c>
      <c r="H17" s="47" t="inlineStr">
        <is>
          <t>NA</t>
        </is>
      </c>
      <c r="I17" s="47" t="inlineStr">
        <is>
          <t>Functional</t>
        </is>
      </c>
    </row>
    <row r="18" ht="36" customHeight="1">
      <c r="A18" s="46" t="inlineStr">
        <is>
          <t>Conservation</t>
        </is>
      </c>
      <c r="B18" s="47" t="inlineStr">
        <is>
          <t>TC-Wallet-17</t>
        </is>
      </c>
      <c r="C18" s="46" t="inlineStr">
        <is>
          <t>Daily Wallet Conservation</t>
        </is>
      </c>
      <c r="D18" s="47" t="inlineStr">
        <is>
          <t>Critical</t>
        </is>
      </c>
      <c r="E18" s="46" t="inlineStr">
        <is>
          <t>Wallet has cleared, pending, held and suspense amounts</t>
        </is>
      </c>
      <c r="F18" s="46" t="inlineStr">
        <is>
          <t>1. Calculate received = cleared + pending-unfunded + held + suspense
2. Compare with omnibus received amount</t>
        </is>
      </c>
      <c r="G18" s="46" t="inlineStr">
        <is>
          <t>Values reconcile exactly to the halalah.</t>
        </is>
      </c>
      <c r="H18" s="47" t="inlineStr">
        <is>
          <t>NA</t>
        </is>
      </c>
      <c r="I18" s="47" t="inlineStr">
        <is>
          <t>Edge / Boundary</t>
        </is>
      </c>
    </row>
    <row r="19" ht="36" customHeight="1">
      <c r="A19" s="46" t="inlineStr">
        <is>
          <t>Reconciliation</t>
        </is>
      </c>
      <c r="B19" s="47" t="inlineStr">
        <is>
          <t>TC-Wallet-18</t>
        </is>
      </c>
      <c r="C19" s="46" t="inlineStr">
        <is>
          <t>Safeguarding Conservation Reconciliation</t>
        </is>
      </c>
      <c r="D19" s="47" t="inlineStr">
        <is>
          <t>High</t>
        </is>
      </c>
      <c r="E19" s="46" t="inlineStr">
        <is>
          <t>Daily conservation completed</t>
        </is>
      </c>
      <c r="F19" s="46" t="inlineStr">
        <is>
          <t>1. Compare result with EMI-5920 safeguarding line</t>
        </is>
      </c>
      <c r="G19" s="46" t="inlineStr">
        <is>
          <t>Conservation result agrees with EMI-5920.</t>
        </is>
      </c>
      <c r="H19" s="47" t="inlineStr">
        <is>
          <t>NA</t>
        </is>
      </c>
      <c r="I19" s="47" t="inlineStr">
        <is>
          <t>Functional</t>
        </is>
      </c>
    </row>
    <row r="20" ht="36" customHeight="1">
      <c r="A20" s="46" t="inlineStr">
        <is>
          <t>Reversal</t>
        </is>
      </c>
      <c r="B20" s="47" t="inlineStr">
        <is>
          <t>TC-Wallet-19</t>
        </is>
      </c>
      <c r="C20" s="46" t="inlineStr">
        <is>
          <t>Returned Transfer Creates Compensating Entry</t>
        </is>
      </c>
      <c r="D20" s="47" t="inlineStr">
        <is>
          <t>Critical</t>
        </is>
      </c>
      <c r="E20" s="46" t="inlineStr">
        <is>
          <t>Group has already been credited</t>
        </is>
      </c>
      <c r="F20" s="46" t="inlineStr">
        <is>
          <t>1. Process returned transfer
2. Inspect ledger and members</t>
        </is>
      </c>
      <c r="G20" s="46" t="inlineStr">
        <is>
          <t>New compensating entry is created with the same batch_ref; original entry remains intact; member entries return to prior state and group becomes re-openable.</t>
        </is>
      </c>
      <c r="H20" s="47" t="inlineStr">
        <is>
          <t>NA</t>
        </is>
      </c>
      <c r="I20" s="47" t="inlineStr">
        <is>
          <t>Negative</t>
        </is>
      </c>
    </row>
    <row r="21" ht="36" customHeight="1">
      <c r="A21" s="46" t="inlineStr">
        <is>
          <t>Integration</t>
        </is>
      </c>
      <c r="B21" s="47" t="inlineStr">
        <is>
          <t>TC-Wallet-20</t>
        </is>
      </c>
      <c r="C21" s="46" t="inlineStr">
        <is>
          <t>Commission Engine Applied After Clearing</t>
        </is>
      </c>
      <c r="D21" s="47" t="inlineStr">
        <is>
          <t>Medium</t>
        </is>
      </c>
      <c r="E21" s="46" t="inlineStr">
        <is>
          <t>Settlement successfully clears</t>
        </is>
      </c>
      <c r="F21" s="46" t="inlineStr">
        <is>
          <t>1. Complete clearing
2. Inspect commission-engine result</t>
        </is>
      </c>
      <c r="G21" s="46" t="inlineStr">
        <is>
          <t>Existing commission engine is applied to the cleared cash-in; no fee calculation occurs at callback stage.</t>
        </is>
      </c>
      <c r="H21" s="47" t="inlineStr">
        <is>
          <t>NA</t>
        </is>
      </c>
      <c r="I21" s="47" t="inlineStr">
        <is>
          <t>Integration</t>
        </is>
      </c>
    </row>
    <row r="22" ht="36" customHeight="1">
      <c r="A22" s="46" t="inlineStr">
        <is>
          <t>Integration</t>
        </is>
      </c>
      <c r="B22" s="47" t="inlineStr">
        <is>
          <t>TC-Wallet-21</t>
        </is>
      </c>
      <c r="C22" s="46" t="inlineStr">
        <is>
          <t>Generic VIBAN Cash-In Does Not Settle POS Group</t>
        </is>
      </c>
      <c r="D22" s="47" t="inlineStr">
        <is>
          <t>Critical</t>
        </is>
      </c>
      <c r="E22" s="46" t="inlineStr">
        <is>
          <t>Pending POS settlement group exists</t>
        </is>
      </c>
      <c r="F22" s="46" t="inlineStr">
        <is>
          <t>1. Perform unrelated generic VIBAN cash-in
2. Check POS group</t>
        </is>
      </c>
      <c r="G22" s="46" t="inlineStr">
        <is>
          <t>Generic cash-in does not settle the POS group.</t>
        </is>
      </c>
      <c r="H22" s="47" t="inlineStr">
        <is>
          <t>NA</t>
        </is>
      </c>
      <c r="I22" s="47" t="inlineStr">
        <is>
          <t>Integration</t>
        </is>
      </c>
    </row>
    <row r="23" ht="36" customHeight="1">
      <c r="A23" s="46" t="inlineStr">
        <is>
          <t>Integration</t>
        </is>
      </c>
      <c r="B23" s="47" t="inlineStr">
        <is>
          <t>TC-Wallet-22</t>
        </is>
      </c>
      <c r="C23" s="46" t="inlineStr">
        <is>
          <t>Only EMI-5922 Clearing Can Trigger Credit</t>
        </is>
      </c>
      <c r="D23" s="47" t="inlineStr">
        <is>
          <t>Critical</t>
        </is>
      </c>
      <c r="E23" s="46" t="inlineStr">
        <is>
          <t>Pending group exists</t>
        </is>
      </c>
      <c r="F23" s="46" t="inlineStr">
        <is>
          <t>1. Attempt credit through a non-EMI-5922 instruction
2. Check wallet</t>
        </is>
      </c>
      <c r="G23" s="46" t="inlineStr">
        <is>
          <t>No credit occurs; settlement is triggered only by the authorized intraday clearing.</t>
        </is>
      </c>
      <c r="H23" s="47" t="inlineStr">
        <is>
          <t>NA</t>
        </is>
      </c>
      <c r="I23" s="47" t="inlineStr">
        <is>
          <t>Integration</t>
        </is>
      </c>
    </row>
    <row r="24" ht="36" customHeight="1">
      <c r="A24" s="46" t="inlineStr">
        <is>
          <t>End-to-End</t>
        </is>
      </c>
      <c r="B24" s="47" t="inlineStr">
        <is>
          <t>TC-Wallet-23</t>
        </is>
      </c>
      <c r="C24" s="46" t="inlineStr">
        <is>
          <t>Complete Merchant Settlement Lifecycle</t>
        </is>
      </c>
      <c r="D24" s="47" t="inlineStr">
        <is>
          <t>High</t>
        </is>
      </c>
      <c r="E24" s="46" t="inlineStr">
        <is>
          <t>Valid POS transaction exists</t>
        </is>
      </c>
      <c r="F24" s="46" t="inlineStr">
        <is>
          <t>1. Receive callback
2. Group transaction
3. Create pending cash-in
4. Clear through EMI-5922
5. Run Gate 3
6. Check merchant view</t>
        </is>
      </c>
      <c r="G24" s="46" t="inlineStr">
        <is>
          <t>Complete lifecycle is traceable: TID activity → Pending → Available → SETTLED, with exactly one wallet credit and correct merchant-facing status.</t>
        </is>
      </c>
      <c r="H24" s="47" t="inlineStr">
        <is>
          <t>NA</t>
        </is>
      </c>
      <c r="I24" s="47" t="inlineStr">
        <is>
          <t>Integration</t>
        </is>
      </c>
    </row>
    <row r="25" ht="36" customHeight="1">
      <c r="A25" s="46" t="inlineStr">
        <is>
          <t>Gap Coverage</t>
        </is>
      </c>
      <c r="B25" s="47" t="inlineStr">
        <is>
          <t>TC-Wallet-24</t>
        </is>
      </c>
      <c r="C25" s="46" t="inlineStr">
        <is>
          <t>Void Before Settlement</t>
        </is>
      </c>
      <c r="D25" s="47" t="inlineStr">
        <is>
          <t>High</t>
        </is>
      </c>
      <c r="E25" s="46" t="inlineStr">
        <is>
          <t>Approved purchase later voided while status = AWAITING_SETTLEMENT</t>
        </is>
      </c>
      <c r="F25" s="46" t="inlineStr">
        <is>
          <t>1. Approve a purchase
2. Void it before the next settlement grouping run
3. Run grouping</t>
        </is>
      </c>
      <c r="G25" s="46" t="inlineStr">
        <is>
          <t>Voided transaction is correctly excluded from the next settlement group; not credited.</t>
        </is>
      </c>
      <c r="H25" s="47" t="inlineStr">
        <is>
          <t>NA</t>
        </is>
      </c>
      <c r="I25" s="47" t="inlineStr">
        <is>
          <t>Functional</t>
        </is>
      </c>
    </row>
    <row r="26" ht="36" customHeight="1">
      <c r="A26" s="46" t="inlineStr">
        <is>
          <t>Gap Coverage</t>
        </is>
      </c>
      <c r="B26" s="47" t="inlineStr">
        <is>
          <t>TC-Wallet-25</t>
        </is>
      </c>
      <c r="C26" s="46" t="inlineStr">
        <is>
          <t>Partial Approval Path</t>
        </is>
      </c>
      <c r="D26" s="47" t="inlineStr">
        <is>
          <t>High</t>
        </is>
      </c>
      <c r="E26" s="46" t="inlineStr">
        <is>
          <t>Acquirer returns a partial-approval amount for a purchase</t>
        </is>
      </c>
      <c r="F26" s="46" t="inlineStr">
        <is>
          <t>1. Submit a transaction carrying a partial-approval amount
2. Process grouping and clearing</t>
        </is>
      </c>
      <c r="G26" s="46" t="inlineStr">
        <is>
          <t>Partial-approval amount is handled correctly through grouping and clearing without breaking aggregate/daily conservation.</t>
        </is>
      </c>
      <c r="H26" s="47" t="inlineStr">
        <is>
          <t>NA</t>
        </is>
      </c>
      <c r="I26" s="47" t="inlineStr">
        <is>
          <t>Functional</t>
        </is>
      </c>
    </row>
    <row r="27" ht="36" customHeight="1">
      <c r="A27" s="46" t="inlineStr">
        <is>
          <t>Gap Coverage</t>
        </is>
      </c>
      <c r="B27" s="47" t="inlineStr">
        <is>
          <t>TC-Wallet-26</t>
        </is>
      </c>
      <c r="C27" s="46" t="inlineStr">
        <is>
          <t>COMPLIANCE_HOLD Recovery</t>
        </is>
      </c>
      <c r="D27" s="47" t="inlineStr">
        <is>
          <t>High</t>
        </is>
      </c>
      <c r="E27" s="46" t="inlineStr">
        <is>
          <t>A transaction is held via Gate 3 (COMPLIANCE_HOLD/suspense)</t>
        </is>
      </c>
      <c r="F27" s="46" t="inlineStr">
        <is>
          <t>1. Trigger a Gate 3 hold
2. Have Compliance manually release/approve the held transaction
3. Re-run crediting</t>
        </is>
      </c>
      <c r="G27" s="46" t="inlineStr">
        <is>
          <t>Happy path resumes correctly: held amount moves from suspense to Available; wallet and ledger consistent post-release.</t>
        </is>
      </c>
      <c r="H27" s="47" t="inlineStr">
        <is>
          <t>NA</t>
        </is>
      </c>
      <c r="I27" s="47" t="inlineStr">
        <is>
          <t>Functional</t>
        </is>
      </c>
    </row>
    <row r="28" ht="36" customHeight="1">
      <c r="A28" s="46" t="inlineStr">
        <is>
          <t>Ledger Integrity</t>
        </is>
      </c>
      <c r="B28" s="47" t="inlineStr">
        <is>
          <t>TC-Wallet-27</t>
        </is>
      </c>
      <c r="C28" s="46" t="inlineStr">
        <is>
          <t>Ledger Is Append-Only</t>
        </is>
      </c>
      <c r="D28" s="47" t="inlineStr">
        <is>
          <t>Critical</t>
        </is>
      </c>
      <c r="E28" s="46" t="inlineStr">
        <is>
          <t>Wallet ledger contains credited, held and reversed settlement entries</t>
        </is>
      </c>
      <c r="F28" s="46" t="inlineStr">
        <is>
          <t>1. Attempt to update an existing ledger entry's amount, direction or status directly
2. Attempt to delete a ledger entry
3. Perform a correction via each supported path (returned transfer, COMPLIANCE_HOLD release, adjustment)
4. Inspect the ledger entry set and row identifiers before and after</t>
        </is>
      </c>
      <c r="G28" s="46" t="inlineStr">
        <is>
          <t>No ledger entry is ever mutated or removed — update/delete attempts are rejected. Every correction appears as a new appended entry with the original preserved, so the full history is reconstructable.</t>
        </is>
      </c>
      <c r="H28" s="47" t="inlineStr">
        <is>
          <t>NA</t>
        </is>
      </c>
      <c r="I28" s="47" t="inlineStr">
        <is>
          <t>Negative</t>
        </is>
      </c>
    </row>
    <row r="29" ht="36" customHeight="1">
      <c r="A29" s="46" t="inlineStr">
        <is>
          <t>Conservation</t>
        </is>
      </c>
      <c r="B29" s="47" t="inlineStr">
        <is>
          <t>TC-Wallet-28</t>
        </is>
      </c>
      <c r="C29" s="46" t="inlineStr">
        <is>
          <t>Daily Wallet Conservation – Mismatch Alarms and Blocks</t>
        </is>
      </c>
      <c r="D29" s="47" t="inlineStr">
        <is>
          <t>Critical</t>
        </is>
      </c>
      <c r="E29" s="46" t="inlineStr">
        <is>
          <t>Wallet with cleared, pending-unfunded, held and suspense amounts, deliberately made not to reconcile against the omnibus received amount</t>
        </is>
      </c>
      <c r="F29" s="46" t="inlineStr">
        <is>
          <t>1. Introduce a halalah-level discrepancy between the wallet components and the omnibus received amount
2. Let the daily conservation check run
3. Inspect alarms and whether downstream crediting/settlement is permitted to continue</t>
        </is>
      </c>
      <c r="G29" s="46" t="inlineStr">
        <is>
          <t>Mismatch raises an alarm and acts as a control — downstream crediting is blocked or escalated for the affected wallet, not merely logged in a report. Discrepancy is surfaced to Ops with the failing components identified.</t>
        </is>
      </c>
      <c r="H29" s="47" t="inlineStr">
        <is>
          <t>NA</t>
        </is>
      </c>
      <c r="I29" s="47" t="inlineStr">
        <is>
          <t>Functional</t>
        </is>
      </c>
    </row>
    <row r="30" ht="36" customHeight="1">
      <c r="A30" s="46" t="inlineStr">
        <is>
          <t>Conservation</t>
        </is>
      </c>
      <c r="B30" s="47" t="inlineStr">
        <is>
          <t>TC-Wallet-29</t>
        </is>
      </c>
      <c r="C30" s="46" t="inlineStr">
        <is>
          <t>Conservation Checks Run Automatically</t>
        </is>
      </c>
      <c r="D30" s="47" t="inlineStr">
        <is>
          <t>High</t>
        </is>
      </c>
      <c r="E30" s="46" t="inlineStr">
        <is>
          <t>Conservation checks configured with their scheduled/event trigger; no manual invocation performed</t>
        </is>
      </c>
      <c r="F30" s="46" t="inlineStr">
        <is>
          <t>1. Allow the group and daily conservation checks to reach their trigger point without any manual invocation
2. Confirm both executed and recorded a result
3. Suppress/disable the trigger and let the window pass
4. Inspect whether the missed run is detected</t>
        </is>
      </c>
      <c r="G30" s="46" t="inlineStr">
        <is>
          <t>Both conservation checks execute automatically at their trigger point and persist a pass/fail result each run. A skipped or failed-to-run check is itself detected and alarmed, so silence is never read as success.</t>
        </is>
      </c>
      <c r="H30" s="47" t="inlineStr">
        <is>
          <t>NA</t>
        </is>
      </c>
      <c r="I30" s="47" t="inlineStr">
        <is>
          <t>Functional</t>
        </is>
      </c>
    </row>
    <row r="31" ht="36" customHeight="1">
      <c r="A31" s="46" t="inlineStr">
        <is>
          <t>Consistency</t>
        </is>
      </c>
      <c r="B31" s="47" t="inlineStr">
        <is>
          <t>TC-Wallet-30</t>
        </is>
      </c>
      <c r="C31" s="46" t="inlineStr">
        <is>
          <t>Merchant Figures Derive From a Single Source</t>
        </is>
      </c>
      <c r="D31" s="47" t="inlineStr">
        <is>
          <t>High</t>
        </is>
      </c>
      <c r="E31" s="46" t="inlineStr">
        <is>
          <t>Merchant wallet and per-device (TID) activity view both accessible; transactions spanning pending, held, reversed and partially-approved states</t>
        </is>
      </c>
      <c r="F31" s="46" t="inlineStr">
        <is>
          <t>1. Read the per-device view totals and the wallet balance for the same merchant
2. Drive the merchant through a hold, a reversal and a partial approval
3. Re-read both surfaces after each event and compare
4. Trace both figures back to their underlying data source</t>
        </is>
      </c>
      <c r="G31" s="46" t="inlineStr">
        <is>
          <t>Both surfaces resolve to the same single source and never diverge across any state transition; the per-device view and wallet balance are not computed by two independent paths.</t>
        </is>
      </c>
      <c r="H31" s="47" t="inlineStr">
        <is>
          <t>NA</t>
        </is>
      </c>
      <c r="I31" s="47" t="inlineStr">
        <is>
          <t>Integration</t>
        </is>
      </c>
    </row>
    <row r="32" ht="36" customHeight="1">
      <c r="A32" s="46" t="inlineStr">
        <is>
          <t>Conservation</t>
        </is>
      </c>
      <c r="B32" s="47" t="inlineStr">
        <is>
          <t>TC-Wallet-31</t>
        </is>
      </c>
      <c r="C32" s="46" t="inlineStr">
        <is>
          <t>Rounding Residual Absorbed at Destination Leg</t>
        </is>
      </c>
      <c r="D32" s="47" t="inlineStr">
        <is>
          <t>Medium</t>
        </is>
      </c>
      <c r="E32" s="46" t="inlineStr">
        <is>
          <t>Commission engine produces a rounding residual (e.g. halalah-level remainder) when applying commission/VAT to a cleared cash-in</t>
        </is>
      </c>
      <c r="F32" s="46" t="inlineStr">
        <is>
          <t>1. Process a settlement credit where the commission-engine calculation leaves a rounding residual
2. Inspect the destination-leg entries
3. Check for any unattributed amount</t>
        </is>
      </c>
      <c r="G32" s="46" t="inlineStr">
        <is>
          <t>The residual is absorbed into the destination leg; no unattributed/orphaned amount remains anywhere in the ledger; daily conservation still reconciles to the halalah.</t>
        </is>
      </c>
      <c r="H32" s="47" t="inlineStr">
        <is>
          <t>NA</t>
        </is>
      </c>
      <c r="I32" s="47" t="inlineStr">
        <is>
          <t>Functional</t>
        </is>
      </c>
    </row>
    <row r="33" ht="36" customHeight="1">
      <c r="A33" s="46" t="inlineStr">
        <is>
          <t>Integration/UX</t>
        </is>
      </c>
      <c r="B33" s="47" t="inlineStr">
        <is>
          <t>TC-Wallet-32</t>
        </is>
      </c>
      <c r="C33" s="46" t="inlineStr">
        <is>
          <t>Merchant Notified on Successful Crediting</t>
        </is>
      </c>
      <c r="D33" s="47" t="inlineStr">
        <is>
          <t>Medium</t>
        </is>
      </c>
      <c r="E33" s="46" t="inlineStr">
        <is>
          <t>Settlement group clears successfully (pending → available)</t>
        </is>
      </c>
      <c r="F33" s="46" t="inlineStr">
        <is>
          <t>1. Complete a successful intraday clearing for a group
2. Check for a merchant notification
3. Review notification content</t>
        </is>
      </c>
      <c r="G33" s="46" t="inlineStr">
        <is>
          <t>Merchant receives a notification of the credit; content correctly identifies the settlement group/device and is distinct from the neutral copy used for held items.</t>
        </is>
      </c>
      <c r="H33" s="47" t="inlineStr">
        <is>
          <t>NA</t>
        </is>
      </c>
      <c r="I33" s="47" t="inlineStr">
        <is>
          <t>Usability</t>
        </is>
      </c>
    </row>
    <row r="34" ht="36" customHeight="1">
      <c r="A34" s="46" t="inlineStr">
        <is>
          <t>Conservation</t>
        </is>
      </c>
      <c r="B34" s="47" t="inlineStr">
        <is>
          <t>TC-Wallet-33</t>
        </is>
      </c>
      <c r="C34" s="46" t="inlineStr">
        <is>
          <t>Group Conservation Checked at Grouping Time, Not Only at Crediting</t>
        </is>
      </c>
      <c r="D34" s="47" t="inlineStr">
        <is>
          <t>High</t>
        </is>
      </c>
      <c r="E34" s="46" t="inlineStr">
        <is>
          <t>New settlement group about to be created by EMI-5989</t>
        </is>
      </c>
      <c r="F34" s="46" t="inlineStr">
        <is>
          <t>1. Create a settlement group where aggregate net would mismatch member sum
2. Observe whether the mismatch is caught at grouping time, before any crediting attempt
3. Separately confirm the same group is re-checked again at crediting time</t>
        </is>
      </c>
      <c r="G34" s="46" t="inlineStr">
        <is>
          <t>Conservation is evaluated at both checkpoints independently, per AC-D; a mismatch introduced after grouping is still caught at crediting even if grouping's check passed.</t>
        </is>
      </c>
      <c r="H34" s="47" t="inlineStr">
        <is>
          <t>NA</t>
        </is>
      </c>
      <c r="I34" s="47" t="inlineStr">
        <is>
          <t>Functional</t>
        </is>
      </c>
    </row>
    <row r="35" ht="36" customHeight="1">
      <c r="A35" s="46" t="inlineStr">
        <is>
          <t>Functional/Security</t>
        </is>
      </c>
      <c r="B35" s="47" t="inlineStr">
        <is>
          <t>TC-Wallet-34</t>
        </is>
      </c>
      <c r="C35" s="46" t="inlineStr">
        <is>
          <t>Valid batch_ref for a Different Group Does Not Cross-Credit</t>
        </is>
      </c>
      <c r="D35" s="47" t="inlineStr">
        <is>
          <t>Critical</t>
        </is>
      </c>
      <c r="E35" s="46" t="inlineStr">
        <is>
          <t>Two distinct pending settlement groups exist (Group A, Group B)</t>
        </is>
      </c>
      <c r="F35" s="46" t="inlineStr">
        <is>
          <t>1. Submit a valid, correctly-formatted intraday credit whose batch_ref belongs to Group A
2. Attempt to apply it against Group B
3. Check both groups' states</t>
        </is>
      </c>
      <c r="G35" s="46" t="inlineStr">
        <is>
          <t>Only Group A is credited; Group B remains pending and unaffected.</t>
        </is>
      </c>
      <c r="H35" s="47" t="inlineStr">
        <is>
          <t>NA</t>
        </is>
      </c>
      <c r="I35" s="47" t="inlineStr">
        <is>
          <t>Security</t>
        </is>
      </c>
    </row>
    <row r="36" ht="36" customHeight="1">
      <c r="A36" s="46" t="inlineStr">
        <is>
          <t>Compliance/UX</t>
        </is>
      </c>
      <c r="B36" s="47" t="inlineStr">
        <is>
          <t>TC-Wallet-35</t>
        </is>
      </c>
      <c r="C36" s="46" t="inlineStr">
        <is>
          <t>Finance-Facing Held-Funds / Suspense Position View</t>
        </is>
      </c>
      <c r="D36" s="47" t="inlineStr">
        <is>
          <t>Medium</t>
        </is>
      </c>
      <c r="E36" s="46" t="inlineStr">
        <is>
          <t>One or more wallets hold amounts in COMPLIANCE_HOLD/suspense</t>
        </is>
      </c>
      <c r="F36" s="46" t="inlineStr">
        <is>
          <t>1. Open the Finance-facing held-funds/suspense view
2. Compare totals against the wallet-level suspense entries
3. Confirm traceability to individual held transactions</t>
        </is>
      </c>
      <c r="G36" s="46" t="inlineStr">
        <is>
          <t>Finance can see an accurate, traceable picture of all held/suspense funds; the total agrees with the underlying ledger entries.</t>
        </is>
      </c>
      <c r="H36" s="47" t="inlineStr">
        <is>
          <t>NA</t>
        </is>
      </c>
      <c r="I36" s="47" t="inlineStr">
        <is>
          <t>Integration</t>
        </is>
      </c>
    </row>
  </sheetData>
  <autoFilter ref="A1:I36"/>
  <conditionalFormatting sqref="H2:H36">
    <cfRule type="cellIs" priority="7" operator="equal" dxfId="54">
      <formula>"Passed"</formula>
    </cfRule>
    <cfRule type="cellIs" priority="8" operator="equal" dxfId="55">
      <formula>"Failed"</formula>
    </cfRule>
    <cfRule type="cellIs" priority="9" operator="equal" dxfId="56">
      <formula>"Partially Passed"</formula>
    </cfRule>
    <cfRule type="cellIs" priority="10" operator="equal" dxfId="57">
      <formula>"Not Tested"</formula>
    </cfRule>
    <cfRule type="cellIs" priority="11" operator="equal" dxfId="58">
      <formula>"Not Implemented"</formula>
    </cfRule>
    <cfRule type="cellIs" priority="12" operator="equal" dxfId="59">
      <formula>"NA"</formula>
    </cfRule>
  </conditionalFormatting>
  <dataValidations count="2">
    <dataValidation sqref="H2:H52" showDropDown="0" showInputMessage="0" showErrorMessage="0" allowBlank="1" errorTitle="Invalid Status" error="Your entry is not in the allowed list of statuses" promptTitle="Test Status" prompt="Select execution status" type="list">
      <formula1>"Passed,Failed,Partially Passed,Not Tested,Not Implemented,NA"</formula1>
    </dataValidation>
    <dataValidation sqref="H2:H36" showDropDown="0" showInputMessage="0" showErrorMessage="0" allowBlank="1" type="list">
      <formula1>"Passed,Failed,Partially Passed,Not Tested,Not Implemented,NA"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3"/>
  <sheetViews>
    <sheetView showGridLines="1" workbookViewId="0">
      <pane ySplit="1" topLeftCell="A2" activePane="bottomLeft" state="frozen"/>
      <selection pane="bottomLeft" activeCell="A1" sqref="A1"/>
    </sheetView>
  </sheetViews>
  <sheetFormatPr baseColWidth="8" defaultRowHeight="15"/>
  <cols>
    <col width="20" customWidth="1" min="1" max="1"/>
    <col width="18" customWidth="1" min="2" max="2"/>
    <col width="36" customWidth="1" min="3" max="3"/>
    <col width="14" customWidth="1" min="4" max="4"/>
    <col width="38" customWidth="1" min="5" max="5"/>
    <col width="45" customWidth="1" min="6" max="6"/>
    <col width="45" customWidth="1" min="7" max="7"/>
    <col width="18" customWidth="1" min="8" max="8"/>
    <col width="20" customWidth="1" min="9" max="9"/>
  </cols>
  <sheetData>
    <row r="1" ht="28.05" customHeight="1">
      <c r="A1" s="34" t="inlineStr">
        <is>
          <t>Subtopic / Category</t>
        </is>
      </c>
      <c r="B1" s="34" t="inlineStr">
        <is>
          <t>TC ID</t>
        </is>
      </c>
      <c r="C1" s="34" t="inlineStr">
        <is>
          <t>Title</t>
        </is>
      </c>
      <c r="D1" s="34" t="inlineStr">
        <is>
          <t>Priority</t>
        </is>
      </c>
      <c r="E1" s="34" t="inlineStr">
        <is>
          <t>Preconditions</t>
        </is>
      </c>
      <c r="F1" s="34" t="inlineStr">
        <is>
          <t>Steps</t>
        </is>
      </c>
      <c r="G1" s="34" t="inlineStr">
        <is>
          <t>Expected Result</t>
        </is>
      </c>
      <c r="H1" s="34" t="inlineStr">
        <is>
          <t>Status</t>
        </is>
      </c>
      <c r="I1" s="34" t="inlineStr">
        <is>
          <t>Test Type</t>
        </is>
      </c>
    </row>
    <row r="2" ht="36" customHeight="1">
      <c r="A2" s="46" t="inlineStr">
        <is>
          <t>Functional</t>
        </is>
      </c>
      <c r="B2" s="47" t="inlineStr">
        <is>
          <t>TC-WalletPay-01</t>
        </is>
      </c>
      <c r="C2" s="46" t="inlineStr">
        <is>
          <t>Happy Path - Dynamic QR Approval</t>
        </is>
      </c>
      <c r="D2" s="47" t="inlineStr">
        <is>
          <t>High</t>
        </is>
      </c>
      <c r="E2" s="46" t="inlineStr">
        <is>
          <t>Customer wallet funded above the sale amount; merchant wallet active and fully compliant; terminal online and linked to the merchant wallet</t>
        </is>
      </c>
      <c r="F2" s="46" t="inlineStr">
        <is>
          <t>1. Merchant enters the amount on the terminal
2. Terminal displays the dynamic QR
3. Customer scans the QR in the MJD Pay app
4. Customer approves with PIN or biometric</t>
        </is>
      </c>
      <c r="G2" s="46" t="inlineStr">
        <is>
          <t>Authorization approved inside the 10 s end-to-end budget; customer wallet debited; merchant wallet credited; merchant funds spendable at once; commission priced by the commission engine</t>
        </is>
      </c>
      <c r="H2" s="47" t="inlineStr">
        <is>
          <t>Not Tested</t>
        </is>
      </c>
      <c r="I2" s="47" t="inlineStr">
        <is>
          <t>Functional</t>
        </is>
      </c>
    </row>
    <row r="3" ht="36" customHeight="1">
      <c r="A3" s="46" t="inlineStr">
        <is>
          <t>Functional</t>
        </is>
      </c>
      <c r="B3" s="47" t="inlineStr">
        <is>
          <t>TC-WalletPay-02</t>
        </is>
      </c>
      <c r="C3" s="46" t="inlineStr">
        <is>
          <t>Customer-Presented Code Fallback Uses the Same Authorization API</t>
        </is>
      </c>
      <c r="D3" s="47" t="inlineStr">
        <is>
          <t>High</t>
        </is>
      </c>
      <c r="E3" s="46" t="inlineStr">
        <is>
          <t>Customer-presented mode enabled; customer wallet funded</t>
        </is>
      </c>
      <c r="F3" s="46" t="inlineStr">
        <is>
          <t>1. Customer displays their code in the app
2. Merchant scans it at the terminal
3. Trace the request path to the authorization endpoint
4. Customer approves</t>
        </is>
      </c>
      <c r="G3" s="46" t="inlineStr">
        <is>
          <t>Payment succeeds through the same single authorization API as the QR flow; no second money path exists; the method is switchable by configuration without touching the money path</t>
        </is>
      </c>
      <c r="H3" s="47" t="inlineStr">
        <is>
          <t>Not Tested</t>
        </is>
      </c>
      <c r="I3" s="47" t="inlineStr">
        <is>
          <t>Integration</t>
        </is>
      </c>
    </row>
    <row r="4" ht="36" customHeight="1">
      <c r="A4" s="46" t="inlineStr">
        <is>
          <t>Functional</t>
        </is>
      </c>
      <c r="B4" s="47" t="inlineStr">
        <is>
          <t>TC-WalletPay-03</t>
        </is>
      </c>
      <c r="C4" s="46" t="inlineStr">
        <is>
          <t>Terminal Resolves to the Correct Merchant Wallet</t>
        </is>
      </c>
      <c r="D4" s="47" t="inlineStr">
        <is>
          <t>Medium</t>
        </is>
      </c>
      <c r="E4" s="46" t="inlineStr">
        <is>
          <t>Terminal (TID) linked to a known merchant wallet</t>
        </is>
      </c>
      <c r="F4" s="46" t="inlineStr">
        <is>
          <t>1. Submit an authorization for that terminal
2. Inspect the resolved merchant wallet on the authorization record</t>
        </is>
      </c>
      <c r="G4" s="46" t="inlineStr">
        <is>
          <t>Terminal resolves to its linked merchant wallet; the credit lands on that wallet and no other</t>
        </is>
      </c>
      <c r="H4" s="47" t="inlineStr">
        <is>
          <t>Not Tested</t>
        </is>
      </c>
      <c r="I4" s="47" t="inlineStr">
        <is>
          <t>Functional</t>
        </is>
      </c>
    </row>
    <row r="5" ht="36" customHeight="1">
      <c r="A5" s="46" t="inlineStr">
        <is>
          <t>Functional</t>
        </is>
      </c>
      <c r="B5" s="47" t="inlineStr">
        <is>
          <t>TC-WalletPay-04</t>
        </is>
      </c>
      <c r="C5" s="46" t="inlineStr">
        <is>
          <t>Scanned Reference Resolves to the Correct Customer Wallet</t>
        </is>
      </c>
      <c r="D5" s="47" t="inlineStr">
        <is>
          <t>Medium</t>
        </is>
      </c>
      <c r="E5" s="46" t="inlineStr">
        <is>
          <t>Customer wallet active and funded</t>
        </is>
      </c>
      <c r="F5" s="46" t="inlineStr">
        <is>
          <t>1. Customer scans the terminal QR
2. Inspect the resolved customer wallet on the authorization record</t>
        </is>
      </c>
      <c r="G5" s="46" t="inlineStr">
        <is>
          <t>The scanned reference resolves to the scanning customer's wallet; the debit lands on that wallet and no other</t>
        </is>
      </c>
      <c r="H5" s="47" t="inlineStr">
        <is>
          <t>Not Tested</t>
        </is>
      </c>
      <c r="I5" s="47" t="inlineStr">
        <is>
          <t>Functional</t>
        </is>
      </c>
    </row>
    <row r="6" ht="36" customHeight="1">
      <c r="A6" s="46" t="inlineStr">
        <is>
          <t>Functional</t>
        </is>
      </c>
      <c r="B6" s="47" t="inlineStr">
        <is>
          <t>TC-WalletPay-05</t>
        </is>
      </c>
      <c r="C6" s="46" t="inlineStr">
        <is>
          <t>Merchant Funds Are Spendable Immediately</t>
        </is>
      </c>
      <c r="D6" s="47" t="inlineStr">
        <is>
          <t>High</t>
        </is>
      </c>
      <c r="E6" s="46" t="inlineStr">
        <is>
          <t>A wallet payment has just been approved at the terminal</t>
        </is>
      </c>
      <c r="F6" s="46" t="inlineStr">
        <is>
          <t>1. Read the merchant's available (spendable) balance immediately after approval
2. Attempt to spend the credited amount straight away</t>
        </is>
      </c>
      <c r="G6" s="46" t="inlineStr">
        <is>
          <t>Credited amount is immediately available and spendable; it is never presented as pending, cleared-later or provisional</t>
        </is>
      </c>
      <c r="H6" s="47" t="inlineStr">
        <is>
          <t>Not Tested</t>
        </is>
      </c>
      <c r="I6" s="47" t="inlineStr">
        <is>
          <t>Functional</t>
        </is>
      </c>
    </row>
    <row r="7" ht="36" customHeight="1">
      <c r="A7" s="46" t="inlineStr">
        <is>
          <t>Functional</t>
        </is>
      </c>
      <c r="B7" s="47" t="inlineStr">
        <is>
          <t>TC-WalletPay-06</t>
        </is>
      </c>
      <c r="C7" s="46" t="inlineStr">
        <is>
          <t>Commission Priced by the Existing Engine on TXN Type + Platform</t>
        </is>
      </c>
      <c r="D7" s="47" t="inlineStr">
        <is>
          <t>High</t>
        </is>
      </c>
      <c r="E7" s="46" t="inlineStr">
        <is>
          <t>PoS commission scheme configured per EMI-5921; customer wallet funded</t>
        </is>
      </c>
      <c r="F7" s="46" t="inlineStr">
        <is>
          <t>1. Complete a wallet payment at the terminal
2. Inspect the fee entries and the pricing call that was made</t>
        </is>
      </c>
      <c r="G7" s="46" t="inlineStr">
        <is>
          <t>Commission is resolved and priced solely by the existing commission engine on TXN type + Platform; no rate is held or computed inside this story</t>
        </is>
      </c>
      <c r="H7" s="47" t="inlineStr">
        <is>
          <t>Not Tested</t>
        </is>
      </c>
      <c r="I7" s="47" t="inlineStr">
        <is>
          <t>Functional</t>
        </is>
      </c>
    </row>
    <row r="8" ht="36" customHeight="1">
      <c r="A8" s="46" t="inlineStr">
        <is>
          <t>Functional</t>
        </is>
      </c>
      <c r="B8" s="47" t="inlineStr">
        <is>
          <t>TC-WalletPay-07</t>
        </is>
      </c>
      <c r="C8" s="46" t="inlineStr">
        <is>
          <t>Customer In-App Receipt Content</t>
        </is>
      </c>
      <c r="D8" s="47" t="inlineStr">
        <is>
          <t>Medium</t>
        </is>
      </c>
      <c r="E8" s="46" t="inlineStr">
        <is>
          <t>A wallet payment has been approved</t>
        </is>
      </c>
      <c r="F8" s="46" t="inlineStr">
        <is>
          <t>1. Open the receipt in the customer app</t>
        </is>
      </c>
      <c r="G8" s="46" t="inlineStr">
        <is>
          <t>Receipt shows merchant name, amount, any fee and the transaction reference</t>
        </is>
      </c>
      <c r="H8" s="47" t="inlineStr">
        <is>
          <t>Not Tested</t>
        </is>
      </c>
      <c r="I8" s="47" t="inlineStr">
        <is>
          <t>Functional</t>
        </is>
      </c>
    </row>
    <row r="9" ht="36" customHeight="1">
      <c r="A9" s="46" t="inlineStr">
        <is>
          <t>Functional</t>
        </is>
      </c>
      <c r="B9" s="47" t="inlineStr">
        <is>
          <t>TC-WalletPay-08</t>
        </is>
      </c>
      <c r="C9" s="46" t="inlineStr">
        <is>
          <t>Merchant Notification and Wallet Activity Entry</t>
        </is>
      </c>
      <c r="D9" s="47" t="inlineStr">
        <is>
          <t>Medium</t>
        </is>
      </c>
      <c r="E9" s="46" t="inlineStr">
        <is>
          <t>A wallet payment has been approved; merchant push notifications enabled</t>
        </is>
      </c>
      <c r="F9" s="46" t="inlineStr">
        <is>
          <t>1. Observe the merchant app after approval
2. Open the merchant wallet activity list</t>
        </is>
      </c>
      <c r="G9" s="46" t="inlineStr">
        <is>
          <t>Merchant receives a push notification and an activity entry for the payment, shown as immediately spendable</t>
        </is>
      </c>
      <c r="H9" s="47" t="inlineStr">
        <is>
          <t>Not Tested</t>
        </is>
      </c>
      <c r="I9" s="47" t="inlineStr">
        <is>
          <t>Functional</t>
        </is>
      </c>
    </row>
    <row r="10" ht="36" customHeight="1">
      <c r="A10" s="46" t="inlineStr">
        <is>
          <t>Functional</t>
        </is>
      </c>
      <c r="B10" s="47" t="inlineStr">
        <is>
          <t>TC-WalletPay-09</t>
        </is>
      </c>
      <c r="C10" s="46" t="inlineStr">
        <is>
          <t>Wallet View Distinguishes Instant Payment from Card Settlement Credit</t>
        </is>
      </c>
      <c r="D10" s="47" t="inlineStr">
        <is>
          <t>Medium</t>
        </is>
      </c>
      <c r="E10" s="46" t="inlineStr">
        <is>
          <t>Merchant wallet holds both a terminal wallet payment and a card settlement batch credit</t>
        </is>
      </c>
      <c r="F10" s="46" t="inlineStr">
        <is>
          <t>1. Open the merchant wallet activity view
2. Compare how the two credits are presented</t>
        </is>
      </c>
      <c r="G10" s="46" t="inlineStr">
        <is>
          <t>The instant wallet payment is visually and semantically distinct from a card settlement credit that lands days later per batch; the merchant can tell them apart without opening details</t>
        </is>
      </c>
      <c r="H10" s="47" t="inlineStr">
        <is>
          <t>Not Tested</t>
        </is>
      </c>
      <c r="I10" s="47" t="inlineStr">
        <is>
          <t>Functional</t>
        </is>
      </c>
    </row>
    <row r="11" ht="36" customHeight="1">
      <c r="A11" s="46" t="inlineStr">
        <is>
          <t>Negative</t>
        </is>
      </c>
      <c r="B11" s="47" t="inlineStr">
        <is>
          <t>TC-WalletPay-10</t>
        </is>
      </c>
      <c r="C11" s="46" t="inlineStr">
        <is>
          <t>Insufficient Customer Balance Declines Before Any Prompt</t>
        </is>
      </c>
      <c r="D11" s="47" t="inlineStr">
        <is>
          <t>High</t>
        </is>
      </c>
      <c r="E11" s="46" t="inlineStr">
        <is>
          <t>Customer wallet balance below the sale amount</t>
        </is>
      </c>
      <c r="F11" s="46" t="inlineStr">
        <is>
          <t>1. Submit an authorization for an amount above the customer's balance
2. Observe the customer app throughout</t>
        </is>
      </c>
      <c r="G11" s="46" t="inlineStr">
        <is>
          <t>Synchronous decline returned to the terminal; the customer is never prompted for PIN or biometric; nothing moves; no partial payment and no hold is created</t>
        </is>
      </c>
      <c r="H11" s="47" t="inlineStr">
        <is>
          <t>Not Tested</t>
        </is>
      </c>
      <c r="I11" s="47" t="inlineStr">
        <is>
          <t>Negative</t>
        </is>
      </c>
    </row>
    <row r="12" ht="36" customHeight="1">
      <c r="A12" s="46" t="inlineStr">
        <is>
          <t>Negative</t>
        </is>
      </c>
      <c r="B12" s="47" t="inlineStr">
        <is>
          <t>TC-WalletPay-11</t>
        </is>
      </c>
      <c r="C12" s="46" t="inlineStr">
        <is>
          <t>Customer Never Approves - 90 Second Timeout</t>
        </is>
      </c>
      <c r="D12" s="47" t="inlineStr">
        <is>
          <t>High</t>
        </is>
      </c>
      <c r="E12" s="46" t="inlineStr">
        <is>
          <t>Customer wallet funded; all checks pass so the prompt is raised</t>
        </is>
      </c>
      <c r="F12" s="46" t="inlineStr">
        <is>
          <t>1. Submit an authorization
2. Leave the customer prompt untouched past the configured window (default 90 s)</t>
        </is>
      </c>
      <c r="G12" s="46" t="inlineStr">
        <is>
          <t>Authorization declines at the timeout; terminal shows declined; all balances unchanged</t>
        </is>
      </c>
      <c r="H12" s="47" t="inlineStr">
        <is>
          <t>Not Tested</t>
        </is>
      </c>
      <c r="I12" s="47" t="inlineStr">
        <is>
          <t>Negative</t>
        </is>
      </c>
    </row>
    <row r="13" ht="36" customHeight="1">
      <c r="A13" s="46" t="inlineStr">
        <is>
          <t>Negative</t>
        </is>
      </c>
      <c r="B13" s="47" t="inlineStr">
        <is>
          <t>TC-WalletPay-12</t>
        </is>
      </c>
      <c r="C13" s="46" t="inlineStr">
        <is>
          <t>Customer Explicitly Rejects the Prompt</t>
        </is>
      </c>
      <c r="D13" s="47" t="inlineStr">
        <is>
          <t>Medium</t>
        </is>
      </c>
      <c r="E13" s="46" t="inlineStr">
        <is>
          <t>Customer wallet funded; prompt raised</t>
        </is>
      </c>
      <c r="F13" s="46" t="inlineStr">
        <is>
          <t>1. Customer taps reject on the approval screen</t>
        </is>
      </c>
      <c r="G13" s="46" t="inlineStr">
        <is>
          <t>Decline returned to the terminal; nothing moves; no reserve or hold remains</t>
        </is>
      </c>
      <c r="H13" s="47" t="inlineStr">
        <is>
          <t>Not Tested</t>
        </is>
      </c>
      <c r="I13" s="47" t="inlineStr">
        <is>
          <t>Negative</t>
        </is>
      </c>
    </row>
    <row r="14" ht="36" customHeight="1">
      <c r="A14" s="46" t="inlineStr">
        <is>
          <t>Configuration</t>
        </is>
      </c>
      <c r="B14" s="47" t="inlineStr">
        <is>
          <t>TC-WalletPay-13</t>
        </is>
      </c>
      <c r="C14" s="46" t="inlineStr">
        <is>
          <t>Customer Approval Window Is Configurable</t>
        </is>
      </c>
      <c r="D14" s="47" t="inlineStr">
        <is>
          <t>Medium</t>
        </is>
      </c>
      <c r="E14" s="46" t="inlineStr">
        <is>
          <t>Access to the approval-window configuration</t>
        </is>
      </c>
      <c r="F14" s="46" t="inlineStr">
        <is>
          <t>1. Change the customer approval window from the 90 s default to another value
2. Run an authorization and let it time out</t>
        </is>
      </c>
      <c r="G14" s="46" t="inlineStr">
        <is>
          <t>The new window takes effect without a release; the decline fires at the configured value</t>
        </is>
      </c>
      <c r="H14" s="47" t="inlineStr">
        <is>
          <t>Not Tested</t>
        </is>
      </c>
      <c r="I14" s="47" t="inlineStr">
        <is>
          <t>Configuration</t>
        </is>
      </c>
    </row>
    <row r="15" ht="36" customHeight="1">
      <c r="A15" s="46" t="inlineStr">
        <is>
          <t>Compliance</t>
        </is>
      </c>
      <c r="B15" s="47" t="inlineStr">
        <is>
          <t>TC-WalletPay-14</t>
        </is>
      </c>
      <c r="C15" s="46" t="inlineStr">
        <is>
          <t>Merchant Under AML Review - Decline Before Prompt</t>
        </is>
      </c>
      <c r="D15" s="47" t="inlineStr">
        <is>
          <t>High</t>
        </is>
      </c>
      <c r="E15" s="46" t="inlineStr">
        <is>
          <t>Merchant wallet flagged under AML review; customer wallet funded</t>
        </is>
      </c>
      <c r="F15" s="46" t="inlineStr">
        <is>
          <t>1. Submit an authorization for that merchant's terminal
2. Observe the customer app and the terminal response</t>
        </is>
      </c>
      <c r="G15" s="46" t="inlineStr">
        <is>
          <t>Synchronous terminal decline with a neutral reason code; the customer is never prompted; nothing moves; the merchant's review state is not inferable from any surface</t>
        </is>
      </c>
      <c r="H15" s="47" t="inlineStr">
        <is>
          <t>Not Tested</t>
        </is>
      </c>
      <c r="I15" s="47" t="inlineStr">
        <is>
          <t>Compliance</t>
        </is>
      </c>
    </row>
    <row r="16" ht="36" customHeight="1">
      <c r="A16" s="46" t="inlineStr">
        <is>
          <t>Compliance</t>
        </is>
      </c>
      <c r="B16" s="47" t="inlineStr">
        <is>
          <t>TC-WalletPay-15</t>
        </is>
      </c>
      <c r="C16" s="46" t="inlineStr">
        <is>
          <t>Merchant Sanctions or UBO Screening Hit</t>
        </is>
      </c>
      <c r="D16" s="47" t="inlineStr">
        <is>
          <t>High</t>
        </is>
      </c>
      <c r="E16" s="46" t="inlineStr">
        <is>
          <t>Merchant carries an unresolved sanctions or UBO screening hit</t>
        </is>
      </c>
      <c r="F16" s="46" t="inlineStr">
        <is>
          <t>1. Submit an authorization for that merchant's terminal</t>
        </is>
      </c>
      <c r="G16" s="46" t="inlineStr">
        <is>
          <t>Synchronous decline with a neutral reason code; customer never prompted; nothing moves</t>
        </is>
      </c>
      <c r="H16" s="47" t="inlineStr">
        <is>
          <t>Not Tested</t>
        </is>
      </c>
      <c r="I16" s="47" t="inlineStr">
        <is>
          <t>Compliance</t>
        </is>
      </c>
    </row>
    <row r="17" ht="36" customHeight="1">
      <c r="A17" s="46" t="inlineStr">
        <is>
          <t>Compliance</t>
        </is>
      </c>
      <c r="B17" s="47" t="inlineStr">
        <is>
          <t>TC-WalletPay-16</t>
        </is>
      </c>
      <c r="C17" s="46" t="inlineStr">
        <is>
          <t>Merchant KYC/KYB Invalid or Expired</t>
        </is>
      </c>
      <c r="D17" s="47" t="inlineStr">
        <is>
          <t>High</t>
        </is>
      </c>
      <c r="E17" s="46" t="inlineStr">
        <is>
          <t>Merchant KYB documents expired or KYC invalid</t>
        </is>
      </c>
      <c r="F17" s="46" t="inlineStr">
        <is>
          <t>1. Submit an authorization for that merchant's terminal</t>
        </is>
      </c>
      <c r="G17" s="46" t="inlineStr">
        <is>
          <t>Synchronous decline with a neutral reason code; customer never prompted; nothing moves</t>
        </is>
      </c>
      <c r="H17" s="47" t="inlineStr">
        <is>
          <t>Not Tested</t>
        </is>
      </c>
      <c r="I17" s="47" t="inlineStr">
        <is>
          <t>Negative</t>
        </is>
      </c>
    </row>
    <row r="18" ht="36" customHeight="1">
      <c r="A18" s="46" t="inlineStr">
        <is>
          <t>Compliance</t>
        </is>
      </c>
      <c r="B18" s="47" t="inlineStr">
        <is>
          <t>TC-WalletPay-17</t>
        </is>
      </c>
      <c r="C18" s="46" t="inlineStr">
        <is>
          <t>Merchant Wallet Not Active</t>
        </is>
      </c>
      <c r="D18" s="47" t="inlineStr">
        <is>
          <t>Medium</t>
        </is>
      </c>
      <c r="E18" s="46" t="inlineStr">
        <is>
          <t>Merchant wallet suspended, frozen or closed</t>
        </is>
      </c>
      <c r="F18" s="46" t="inlineStr">
        <is>
          <t>1. Submit an authorization for that merchant's terminal</t>
        </is>
      </c>
      <c r="G18" s="46" t="inlineStr">
        <is>
          <t>Synchronous decline with a neutral reason code; customer never prompted; nothing moves</t>
        </is>
      </c>
      <c r="H18" s="47" t="inlineStr">
        <is>
          <t>Not Tested</t>
        </is>
      </c>
      <c r="I18" s="47" t="inlineStr">
        <is>
          <t>Compliance</t>
        </is>
      </c>
    </row>
    <row r="19" ht="36" customHeight="1">
      <c r="A19" s="46" t="inlineStr">
        <is>
          <t>Compliance</t>
        </is>
      </c>
      <c r="B19" s="47" t="inlineStr">
        <is>
          <t>TC-WalletPay-18</t>
        </is>
      </c>
      <c r="C19" s="46" t="inlineStr">
        <is>
          <t>Merchant Fraud Score Breach</t>
        </is>
      </c>
      <c r="D19" s="47" t="inlineStr">
        <is>
          <t>Medium</t>
        </is>
      </c>
      <c r="E19" s="46" t="inlineStr">
        <is>
          <t>Merchant fraud score above the configured decline threshold</t>
        </is>
      </c>
      <c r="F19" s="46" t="inlineStr">
        <is>
          <t>1. Submit an authorization for that merchant's terminal</t>
        </is>
      </c>
      <c r="G19" s="46" t="inlineStr">
        <is>
          <t>Synchronous decline with a neutral reason code; customer never prompted; nothing moves</t>
        </is>
      </c>
      <c r="H19" s="47" t="inlineStr">
        <is>
          <t>Not Tested</t>
        </is>
      </c>
      <c r="I19" s="47" t="inlineStr">
        <is>
          <t>Compliance</t>
        </is>
      </c>
    </row>
    <row r="20" ht="36" customHeight="1">
      <c r="A20" s="46" t="inlineStr">
        <is>
          <t>Compliance</t>
        </is>
      </c>
      <c r="B20" s="47" t="inlineStr">
        <is>
          <t>TC-WalletPay-19</t>
        </is>
      </c>
      <c r="C20" s="46" t="inlineStr">
        <is>
          <t>Customer Screening Hit</t>
        </is>
      </c>
      <c r="D20" s="47" t="inlineStr">
        <is>
          <t>High</t>
        </is>
      </c>
      <c r="E20" s="46" t="inlineStr">
        <is>
          <t>Customer carries an unresolved screening hit; wallet funded</t>
        </is>
      </c>
      <c r="F20" s="46" t="inlineStr">
        <is>
          <t>1. Customer scans and the authorization is submitted</t>
        </is>
      </c>
      <c r="G20" s="46" t="inlineStr">
        <is>
          <t>Synchronous decline with a neutral reason code; nothing moves; no compliance detail is exposed to either party</t>
        </is>
      </c>
      <c r="H20" s="47" t="inlineStr">
        <is>
          <t>Not Tested</t>
        </is>
      </c>
      <c r="I20" s="47" t="inlineStr">
        <is>
          <t>Compliance</t>
        </is>
      </c>
    </row>
    <row r="21" ht="36" customHeight="1">
      <c r="A21" s="46" t="inlineStr">
        <is>
          <t>Compliance</t>
        </is>
      </c>
      <c r="B21" s="47" t="inlineStr">
        <is>
          <t>TC-WalletPay-20</t>
        </is>
      </c>
      <c r="C21" s="46" t="inlineStr">
        <is>
          <t>Customer Wallet Not Active</t>
        </is>
      </c>
      <c r="D21" s="47" t="inlineStr">
        <is>
          <t>Medium</t>
        </is>
      </c>
      <c r="E21" s="46" t="inlineStr">
        <is>
          <t>Customer wallet suspended or frozen</t>
        </is>
      </c>
      <c r="F21" s="46" t="inlineStr">
        <is>
          <t>1. Customer scans and the authorization is submitted</t>
        </is>
      </c>
      <c r="G21" s="46" t="inlineStr">
        <is>
          <t>Synchronous decline with a neutral reason code; nothing moves</t>
        </is>
      </c>
      <c r="H21" s="47" t="inlineStr">
        <is>
          <t>Not Tested</t>
        </is>
      </c>
      <c r="I21" s="47" t="inlineStr">
        <is>
          <t>Compliance</t>
        </is>
      </c>
    </row>
    <row r="22" ht="36" customHeight="1">
      <c r="A22" s="46" t="inlineStr">
        <is>
          <t>Limits</t>
        </is>
      </c>
      <c r="B22" s="47" t="inlineStr">
        <is>
          <t>TC-WalletPay-21</t>
        </is>
      </c>
      <c r="C22" s="46" t="inlineStr">
        <is>
          <t>Merchant SAMA Balance Cap Would Be Breached</t>
        </is>
      </c>
      <c r="D22" s="47" t="inlineStr">
        <is>
          <t>High</t>
        </is>
      </c>
      <c r="E22" s="46" t="inlineStr">
        <is>
          <t>Merchant wallet close enough to its SAMA balance cap that this credit would breach it</t>
        </is>
      </c>
      <c r="F22" s="46" t="inlineStr">
        <is>
          <t>1. Submit an authorization that would take the merchant above the cap
2. Query for any held or suspense position afterwards</t>
        </is>
      </c>
      <c r="G22" s="46" t="inlineStr">
        <is>
          <t>Synchronous decline before the prompt; no held funds, no suspense entry and no compliance hold exist anywhere on this rail</t>
        </is>
      </c>
      <c r="H22" s="47" t="inlineStr">
        <is>
          <t>Not Tested</t>
        </is>
      </c>
      <c r="I22" s="47" t="inlineStr">
        <is>
          <t>Edge / Boundary</t>
        </is>
      </c>
    </row>
    <row r="23" ht="36" customHeight="1">
      <c r="A23" s="46" t="inlineStr">
        <is>
          <t>Limits</t>
        </is>
      </c>
      <c r="B23" s="47" t="inlineStr">
        <is>
          <t>TC-WalletPay-22</t>
        </is>
      </c>
      <c r="C23" s="46" t="inlineStr">
        <is>
          <t>Merchant Turnover Limit Would Be Breached</t>
        </is>
      </c>
      <c r="D23" s="47" t="inlineStr">
        <is>
          <t>High</t>
        </is>
      </c>
      <c r="E23" s="46" t="inlineStr">
        <is>
          <t>Merchant near its configured turnover limit for the period</t>
        </is>
      </c>
      <c r="F23" s="46" t="inlineStr">
        <is>
          <t>1. Submit an authorization that would breach the turnover limit</t>
        </is>
      </c>
      <c r="G23" s="46" t="inlineStr">
        <is>
          <t>Synchronous decline before the prompt with a neutral reason code; nothing moves</t>
        </is>
      </c>
      <c r="H23" s="47" t="inlineStr">
        <is>
          <t>Not Tested</t>
        </is>
      </c>
      <c r="I23" s="47" t="inlineStr">
        <is>
          <t>Edge / Boundary</t>
        </is>
      </c>
    </row>
    <row r="24" ht="36" customHeight="1">
      <c r="A24" s="46" t="inlineStr">
        <is>
          <t>Limits</t>
        </is>
      </c>
      <c r="B24" s="47" t="inlineStr">
        <is>
          <t>TC-WalletPay-23</t>
        </is>
      </c>
      <c r="C24" s="46" t="inlineStr">
        <is>
          <t>Customer at Their Own SAMA Limit</t>
        </is>
      </c>
      <c r="D24" s="47" t="inlineStr">
        <is>
          <t>High</t>
        </is>
      </c>
      <c r="E24" s="46" t="inlineStr">
        <is>
          <t>Customer at or would breach their SAMA limit with this payment</t>
        </is>
      </c>
      <c r="F24" s="46" t="inlineStr">
        <is>
          <t>1. Customer scans and the authorization is submitted</t>
        </is>
      </c>
      <c r="G24" s="46" t="inlineStr">
        <is>
          <t>Synchronous decline with a neutral reason code; the customer is not prompted; nothing moves</t>
        </is>
      </c>
      <c r="H24" s="47" t="inlineStr">
        <is>
          <t>Not Tested</t>
        </is>
      </c>
      <c r="I24" s="47" t="inlineStr">
        <is>
          <t>Edge / Boundary</t>
        </is>
      </c>
    </row>
    <row r="25" ht="36" customHeight="1">
      <c r="A25" s="46" t="inlineStr">
        <is>
          <t>Limits</t>
        </is>
      </c>
      <c r="B25" s="47" t="inlineStr">
        <is>
          <t>TC-WalletPay-24</t>
        </is>
      </c>
      <c r="C25" s="46" t="inlineStr">
        <is>
          <t>Limits Are Checked Pre-Prompt, Not Deferred to Gate 3</t>
        </is>
      </c>
      <c r="D25" s="47" t="inlineStr">
        <is>
          <t>High</t>
        </is>
      </c>
      <c r="E25" s="46" t="inlineStr">
        <is>
          <t>Instrumentation available on the check sequence</t>
        </is>
      </c>
      <c r="F25" s="46" t="inlineStr">
        <is>
          <t>1. Submit an authorization that breaches a limit
2. Trace when the limit evaluation occurs relative to the customer prompt
3. Confirm no Gate 3 evaluation is scheduled for this rail</t>
        </is>
      </c>
      <c r="G25" s="46" t="inlineStr">
        <is>
          <t>Limits are evaluated synchronously before the prompt, against the same position the payment would affect; the epic's Gate 3 deferral is deliberately not applied to this rail</t>
        </is>
      </c>
      <c r="H25" s="47" t="inlineStr">
        <is>
          <t>Not Tested</t>
        </is>
      </c>
      <c r="I25" s="47" t="inlineStr">
        <is>
          <t>Integration</t>
        </is>
      </c>
    </row>
    <row r="26" ht="36" customHeight="1">
      <c r="A26" s="46" t="inlineStr">
        <is>
          <t>Negative</t>
        </is>
      </c>
      <c r="B26" s="47" t="inlineStr">
        <is>
          <t>TC-WalletPay-25</t>
        </is>
      </c>
      <c r="C26" s="46" t="inlineStr">
        <is>
          <t>Full Check Set Completes Before the Customer Is Prompted</t>
        </is>
      </c>
      <c r="D26" s="47" t="inlineStr">
        <is>
          <t>High</t>
        </is>
      </c>
      <c r="E26" s="46" t="inlineStr">
        <is>
          <t>Instrumentation available on the check sequence</t>
        </is>
      </c>
      <c r="F26" s="46" t="inlineStr">
        <is>
          <t>1. Submit an authorization that passes all checks
2. Trace the order of merchant checks, customer checks and the prompt</t>
        </is>
      </c>
      <c r="G26" s="46" t="inlineStr">
        <is>
          <t>Every merchant check (status, AML flag, sanctions/UBO, KYC/KYB, fraud score, balance cap, turnover) and every customer check (status, SAMA limits, fraud score, screening, sufficient balance) completes before the prompt is raised</t>
        </is>
      </c>
      <c r="H26" s="47" t="inlineStr">
        <is>
          <t>Not Tested</t>
        </is>
      </c>
      <c r="I26" s="47" t="inlineStr">
        <is>
          <t>Integration</t>
        </is>
      </c>
    </row>
    <row r="27" ht="36" customHeight="1">
      <c r="A27" s="46" t="inlineStr">
        <is>
          <t>Security</t>
        </is>
      </c>
      <c r="B27" s="47" t="inlineStr">
        <is>
          <t>TC-WalletPay-26</t>
        </is>
      </c>
      <c r="C27" s="46" t="inlineStr">
        <is>
          <t>Decline Reason Codes Are Neutral and Identical Across Causes</t>
        </is>
      </c>
      <c r="D27" s="47" t="inlineStr">
        <is>
          <t>High</t>
        </is>
      </c>
      <c r="E27" s="46" t="inlineStr">
        <is>
          <t>Ability to trigger merchant-compliance, merchant-limit and customer-limit declines</t>
        </is>
      </c>
      <c r="F27" s="46" t="inlineStr">
        <is>
          <t>1. Trigger a merchant AML decline, a merchant cap decline and a customer limit decline
2. Compare the reason code and wording on the terminal, the customer app and the merchant app</t>
        </is>
      </c>
      <c r="G27" s="46" t="inlineStr">
        <is>
          <t>All three produce identical neutral wording and reason codes on every surface; neither party can distinguish the cause; no compliance detail leaks</t>
        </is>
      </c>
      <c r="H27" s="47" t="inlineStr">
        <is>
          <t>Not Tested</t>
        </is>
      </c>
      <c r="I27" s="47" t="inlineStr">
        <is>
          <t>Security</t>
        </is>
      </c>
    </row>
    <row r="28" ht="36" customHeight="1">
      <c r="A28" s="46" t="inlineStr">
        <is>
          <t>Security</t>
        </is>
      </c>
      <c r="B28" s="47" t="inlineStr">
        <is>
          <t>TC-WalletPay-27</t>
        </is>
      </c>
      <c r="C28" s="46" t="inlineStr">
        <is>
          <t>Customer's Own Insufficient Balance Is the Only Non-Neutral Decline</t>
        </is>
      </c>
      <c r="D28" s="47" t="inlineStr">
        <is>
          <t>Medium</t>
        </is>
      </c>
      <c r="E28" s="46" t="inlineStr">
        <is>
          <t>Customer balance below the amount</t>
        </is>
      </c>
      <c r="F28" s="46" t="inlineStr">
        <is>
          <t>1. Trigger an insufficient-balance decline
2. Compare its customer-facing copy with a compliance decline</t>
        </is>
      </c>
      <c r="G28" s="46" t="inlineStr">
        <is>
          <t>The customer is told their balance is insufficient so they can act on it; the merchant-facing surface stays neutral; no other decline cause is disclosed to anyone</t>
        </is>
      </c>
      <c r="H28" s="47" t="inlineStr">
        <is>
          <t>Not Tested</t>
        </is>
      </c>
      <c r="I28" s="47" t="inlineStr">
        <is>
          <t>Security</t>
        </is>
      </c>
    </row>
    <row r="29" ht="36" customHeight="1">
      <c r="A29" s="46" t="inlineStr">
        <is>
          <t>Reversal</t>
        </is>
      </c>
      <c r="B29" s="47" t="inlineStr">
        <is>
          <t>TC-WalletPay-28</t>
        </is>
      </c>
      <c r="C29" s="46" t="inlineStr">
        <is>
          <t>No Confirmation Callback Within 15 Minutes - Auto Reversal</t>
        </is>
      </c>
      <c r="D29" s="47" t="inlineStr">
        <is>
          <t>High</t>
        </is>
      </c>
      <c r="E29" s="46" t="inlineStr">
        <is>
          <t>A wallet payment approved; InterSoft confirmation callback suppressed</t>
        </is>
      </c>
      <c r="F29" s="46" t="inlineStr">
        <is>
          <t>1. Approve a payment and record both starting balances
2. Withhold the confirmation callback
3. Wait past the 15-minute window</t>
        </is>
      </c>
      <c r="G29" s="46" t="inlineStr">
        <is>
          <t>Payment is auto-reversed; customer and merchant balances return exactly to their starting positions; the reversal is recorded and observable</t>
        </is>
      </c>
      <c r="H29" s="47" t="inlineStr">
        <is>
          <t>Not Tested</t>
        </is>
      </c>
      <c r="I29" s="47" t="inlineStr">
        <is>
          <t>Edge / Boundary</t>
        </is>
      </c>
    </row>
    <row r="30" ht="36" customHeight="1">
      <c r="A30" s="46" t="inlineStr">
        <is>
          <t>Reversal</t>
        </is>
      </c>
      <c r="B30" s="47" t="inlineStr">
        <is>
          <t>TC-WalletPay-29</t>
        </is>
      </c>
      <c r="C30" s="46" t="inlineStr">
        <is>
          <t>Confirmation Amount Mismatch - Auto Reversal and Alarm</t>
        </is>
      </c>
      <c r="D30" s="47" t="inlineStr">
        <is>
          <t>High</t>
        </is>
      </c>
      <c r="E30" s="46" t="inlineStr">
        <is>
          <t>A wallet payment approved for a known amount</t>
        </is>
      </c>
      <c r="F30" s="46" t="inlineStr">
        <is>
          <t>1. Send a confirmation callback with a different amount
2. Inspect the stored transaction and the alarm channel</t>
        </is>
      </c>
      <c r="G30" s="46" t="inlineStr">
        <is>
          <t>Payment is auto-reversed and an alarm is raised; our record is never adjusted to match the terminal's amount; both positions return to start</t>
        </is>
      </c>
      <c r="H30" s="47" t="inlineStr">
        <is>
          <t>Not Tested</t>
        </is>
      </c>
      <c r="I30" s="47" t="inlineStr">
        <is>
          <t>Negative</t>
        </is>
      </c>
    </row>
    <row r="31" ht="36" customHeight="1">
      <c r="A31" s="46" t="inlineStr">
        <is>
          <t>Reversal</t>
        </is>
      </c>
      <c r="B31" s="47" t="inlineStr">
        <is>
          <t>TC-WalletPay-30</t>
        </is>
      </c>
      <c r="C31" s="46" t="inlineStr">
        <is>
          <t>Confirmation Reference Mismatch - Auto Reversal and Alarm</t>
        </is>
      </c>
      <c r="D31" s="47" t="inlineStr">
        <is>
          <t>High</t>
        </is>
      </c>
      <c r="E31" s="46" t="inlineStr">
        <is>
          <t>A wallet payment approved with a known reference</t>
        </is>
      </c>
      <c r="F31" s="46" t="inlineStr">
        <is>
          <t>1. Send a confirmation callback carrying a reference that does not match the authorization</t>
        </is>
      </c>
      <c r="G31" s="46" t="inlineStr">
        <is>
          <t>Confirmation does not match on reference; payment is auto-reversed and alarmed; no record is silently re-pointed</t>
        </is>
      </c>
      <c r="H31" s="47" t="inlineStr">
        <is>
          <t>Not Tested</t>
        </is>
      </c>
      <c r="I31" s="47" t="inlineStr">
        <is>
          <t>Negative</t>
        </is>
      </c>
    </row>
    <row r="32" ht="36" customHeight="1">
      <c r="A32" s="46" t="inlineStr">
        <is>
          <t>Reversal</t>
        </is>
      </c>
      <c r="B32" s="47" t="inlineStr">
        <is>
          <t>TC-WalletPay-31</t>
        </is>
      </c>
      <c r="C32" s="46" t="inlineStr">
        <is>
          <t>Late Confirmation After a Reversal Is Never Re-Applied</t>
        </is>
      </c>
      <c r="D32" s="47" t="inlineStr">
        <is>
          <t>High</t>
        </is>
      </c>
      <c r="E32" s="46" t="inlineStr">
        <is>
          <t>A payment already auto-reversed after the 15-minute window</t>
        </is>
      </c>
      <c r="F32" s="46" t="inlineStr">
        <is>
          <t>1. Send the confirmation callback after the reversal has run
2. Inspect balances and the alarm channel</t>
        </is>
      </c>
      <c r="G32" s="46" t="inlineStr">
        <is>
          <t>The late confirmation is recorded and alarmed; it is never re-applied; balances stay at their post-reversal position</t>
        </is>
      </c>
      <c r="H32" s="47" t="inlineStr">
        <is>
          <t>Not Tested</t>
        </is>
      </c>
      <c r="I32" s="47" t="inlineStr">
        <is>
          <t>Negative</t>
        </is>
      </c>
    </row>
    <row r="33" ht="36" customHeight="1">
      <c r="A33" s="46" t="inlineStr">
        <is>
          <t>Reversal</t>
        </is>
      </c>
      <c r="B33" s="47" t="inlineStr">
        <is>
          <t>TC-WalletPay-32</t>
        </is>
      </c>
      <c r="C33" s="46" t="inlineStr">
        <is>
          <t>Reversal Job Is Idempotent and Re-Runnable</t>
        </is>
      </c>
      <c r="D33" s="47" t="inlineStr">
        <is>
          <t>High</t>
        </is>
      </c>
      <c r="E33" s="46" t="inlineStr">
        <is>
          <t>A payment eligible for reversal</t>
        </is>
      </c>
      <c r="F33" s="46" t="inlineStr">
        <is>
          <t>1. Run the reversal job
2. Run it again over the same window</t>
        </is>
      </c>
      <c r="G33" s="46" t="inlineStr">
        <is>
          <t>The second run makes no further change; exactly one reversal exists; balances are unchanged by the re-run</t>
        </is>
      </c>
      <c r="H33" s="47" t="inlineStr">
        <is>
          <t>Not Tested</t>
        </is>
      </c>
      <c r="I33" s="47" t="inlineStr">
        <is>
          <t>Integration</t>
        </is>
      </c>
    </row>
    <row r="34" ht="36" customHeight="1">
      <c r="A34" s="46" t="inlineStr">
        <is>
          <t>Idempotency</t>
        </is>
      </c>
      <c r="B34" s="47" t="inlineStr">
        <is>
          <t>TC-WalletPay-33</t>
        </is>
      </c>
      <c r="C34" s="46" t="inlineStr">
        <is>
          <t>Duplicate Authorization Request for the Same QR</t>
        </is>
      </c>
      <c r="D34" s="47" t="inlineStr">
        <is>
          <t>High</t>
        </is>
      </c>
      <c r="E34" s="46" t="inlineStr">
        <is>
          <t>A dynamic QR displayed on the terminal</t>
        </is>
      </c>
      <c r="F34" s="46" t="inlineStr">
        <is>
          <t>1. Submit the same authorization request twice for the same QR reference
2. Inspect payments and receipts</t>
        </is>
      </c>
      <c r="G34" s="46" t="inlineStr">
        <is>
          <t>Exactly one payment and one receipt exist; the duplicate is absorbed idempotently; the customer is charged once</t>
        </is>
      </c>
      <c r="H34" s="47" t="inlineStr">
        <is>
          <t>Not Tested</t>
        </is>
      </c>
      <c r="I34" s="47" t="inlineStr">
        <is>
          <t>Integration</t>
        </is>
      </c>
    </row>
    <row r="35" ht="36" customHeight="1">
      <c r="A35" s="46" t="inlineStr">
        <is>
          <t>Isolation</t>
        </is>
      </c>
      <c r="B35" s="47" t="inlineStr">
        <is>
          <t>TC-WalletPay-34</t>
        </is>
      </c>
      <c r="C35" s="46" t="inlineStr">
        <is>
          <t>No Pending, Suspense or Compliance Hold Can Exist on This Rail</t>
        </is>
      </c>
      <c r="D35" s="47" t="inlineStr">
        <is>
          <t>High</t>
        </is>
      </c>
      <c r="E35" s="46" t="inlineStr">
        <is>
          <t>Ability to exercise every failure and success path on this rail</t>
        </is>
      </c>
      <c r="F35" s="46" t="inlineStr">
        <is>
          <t>1. Run the happy path, each compliance decline, each limit decline, the timeout and the reversal
2. After each, query for any pending, suspense or compliance-hold position for either party</t>
        </is>
      </c>
      <c r="G35" s="46" t="inlineStr">
        <is>
          <t>No pending, suspense or held position is ever created on this rail; every failure is a decline before movement. Any such position found is a defect</t>
        </is>
      </c>
      <c r="H35" s="47" t="inlineStr">
        <is>
          <t>Not Tested</t>
        </is>
      </c>
      <c r="I35" s="47" t="inlineStr">
        <is>
          <t>Negative</t>
        </is>
      </c>
    </row>
    <row r="36" ht="36" customHeight="1">
      <c r="A36" s="46" t="inlineStr">
        <is>
          <t>Isolation</t>
        </is>
      </c>
      <c r="B36" s="47" t="inlineStr">
        <is>
          <t>TC-WalletPay-35</t>
        </is>
      </c>
      <c r="C36" s="46" t="inlineStr">
        <is>
          <t>Rail Never Enters the Card Settlement Chain</t>
        </is>
      </c>
      <c r="D36" s="47" t="inlineStr">
        <is>
          <t>High</t>
        </is>
      </c>
      <c r="E36" s="46" t="inlineStr">
        <is>
          <t>A completed wallet payment at a terminal</t>
        </is>
      </c>
      <c r="F36" s="46" t="inlineStr">
        <is>
          <t>1. Search the settlement batches (EMI-5989), PTS settlement report rows (EMI-5991), reconciliation candidate sets (EMI-5920) and ACH/VIBAN items (EMI-5922) for this payment
2. Check whether Gate 3 was evaluated</t>
        </is>
      </c>
      <c r="G36" s="46" t="inlineStr">
        <is>
          <t>The payment appears in none of them; no batch, no PTS row, no ACH item and no Gate 3 evaluation exists for this rail</t>
        </is>
      </c>
      <c r="H36" s="47" t="inlineStr">
        <is>
          <t>Not Tested</t>
        </is>
      </c>
      <c r="I36" s="47" t="inlineStr">
        <is>
          <t>Integration</t>
        </is>
      </c>
    </row>
    <row r="37" ht="36" customHeight="1">
      <c r="A37" s="46" t="inlineStr">
        <is>
          <t>Isolation</t>
        </is>
      </c>
      <c r="B37" s="47" t="inlineStr">
        <is>
          <t>TC-WalletPay-36</t>
        </is>
      </c>
      <c r="C37" s="46" t="inlineStr">
        <is>
          <t>No Commission Rate Is Held Inside This Story</t>
        </is>
      </c>
      <c r="D37" s="47" t="inlineStr">
        <is>
          <t>Medium</t>
        </is>
      </c>
      <c r="E37" s="46" t="inlineStr">
        <is>
          <t>Access to this story's configuration and code paths</t>
        </is>
      </c>
      <c r="F37" s="46" t="inlineStr">
        <is>
          <t>1. Search this rail's configuration and pricing path for any hardcoded or locally stored rate</t>
        </is>
      </c>
      <c r="G37" s="46" t="inlineStr">
        <is>
          <t>No rate exists in this story; pricing comes only from the commission engine on TXN type + Platform</t>
        </is>
      </c>
      <c r="H37" s="47" t="inlineStr">
        <is>
          <t>Not Tested</t>
        </is>
      </c>
      <c r="I37" s="47" t="inlineStr">
        <is>
          <t>Integration</t>
        </is>
      </c>
    </row>
    <row r="38" ht="36" customHeight="1">
      <c r="A38" s="46" t="inlineStr">
        <is>
          <t>Non-Functional</t>
        </is>
      </c>
      <c r="B38" s="47" t="inlineStr">
        <is>
          <t>TC-WalletPay-37</t>
        </is>
      </c>
      <c r="C38" s="46" t="inlineStr">
        <is>
          <t>Authorization p99 Under 2 Seconds Excluding Think-Time</t>
        </is>
      </c>
      <c r="D38" s="47" t="inlineStr">
        <is>
          <t>High</t>
        </is>
      </c>
      <c r="E38" s="46" t="inlineStr">
        <is>
          <t>Load profile representative of peak terminal traffic</t>
        </is>
      </c>
      <c r="F38" s="46" t="inlineStr">
        <is>
          <t>1. Drive sustained authorization load including the full merchant and customer check sets
2. Measure server-side authorization latency excluding customer think-time</t>
        </is>
      </c>
      <c r="G38" s="46" t="inlineStr">
        <is>
          <t>p99 authorization latency stays under 2 s with the full check set running</t>
        </is>
      </c>
      <c r="H38" s="47" t="inlineStr">
        <is>
          <t>Not Tested</t>
        </is>
      </c>
      <c r="I38" s="47" t="inlineStr">
        <is>
          <t>Performance / NFR</t>
        </is>
      </c>
    </row>
    <row r="39" ht="36" customHeight="1">
      <c r="A39" s="46" t="inlineStr">
        <is>
          <t>Non-Functional</t>
        </is>
      </c>
      <c r="B39" s="47" t="inlineStr">
        <is>
          <t>TC-WalletPay-38</t>
        </is>
      </c>
      <c r="C39" s="46" t="inlineStr">
        <is>
          <t>End-to-End Budget of 10 Seconds Including Think-Time</t>
        </is>
      </c>
      <c r="D39" s="47" t="inlineStr">
        <is>
          <t>High</t>
        </is>
      </c>
      <c r="E39" s="46" t="inlineStr">
        <is>
          <t>Terminal integration available end to end</t>
        </is>
      </c>
      <c r="F39" s="46" t="inlineStr">
        <is>
          <t>1. Run authorizations with realistic customer approval delays
2. Measure terminal request to terminal response</t>
        </is>
      </c>
      <c r="G39" s="46" t="inlineStr">
        <is>
          <t>End-to-end time stays inside the 10 s contract with InterSoft; slower cases decline rather than hang the terminal</t>
        </is>
      </c>
      <c r="H39" s="47" t="inlineStr">
        <is>
          <t>Not Tested</t>
        </is>
      </c>
      <c r="I39" s="47" t="inlineStr">
        <is>
          <t>Performance / NFR</t>
        </is>
      </c>
    </row>
    <row r="40" ht="36" customHeight="1">
      <c r="A40" s="46" t="inlineStr">
        <is>
          <t>Audit</t>
        </is>
      </c>
      <c r="B40" s="47" t="inlineStr">
        <is>
          <t>TC-WalletPay-39</t>
        </is>
      </c>
      <c r="C40" s="46" t="inlineStr">
        <is>
          <t>Every Authorization, Decline and Reversal Is Audit-Logged</t>
        </is>
      </c>
      <c r="D40" s="47" t="inlineStr">
        <is>
          <t>Medium</t>
        </is>
      </c>
      <c r="E40" s="46" t="inlineStr">
        <is>
          <t>Audit log accessible</t>
        </is>
      </c>
      <c r="F40" s="46" t="inlineStr">
        <is>
          <t>1. Run an approval, a decline and a reversal
2. Inspect the audit log for each</t>
        </is>
      </c>
      <c r="G40" s="46" t="inlineStr">
        <is>
          <t>Each carries actor, reference and outcome; the log is complete enough to reconstruct the decision without compliance detail leaking to either party</t>
        </is>
      </c>
      <c r="H40" s="47" t="inlineStr">
        <is>
          <t>Not Tested</t>
        </is>
      </c>
      <c r="I40" s="47" t="inlineStr">
        <is>
          <t>Security</t>
        </is>
      </c>
    </row>
    <row r="41" ht="36" customHeight="1">
      <c r="A41" s="46" t="inlineStr">
        <is>
          <t>UX</t>
        </is>
      </c>
      <c r="B41" s="47" t="inlineStr">
        <is>
          <t>TC-WalletPay-40</t>
        </is>
      </c>
      <c r="C41" s="46" t="inlineStr">
        <is>
          <t>Approval Screen Shows Merchant, Amount, Fee and a Visible Countdown</t>
        </is>
      </c>
      <c r="D41" s="47" t="inlineStr">
        <is>
          <t>Medium</t>
        </is>
      </c>
      <c r="E41" s="46" t="inlineStr">
        <is>
          <t>Customer prompted for approval</t>
        </is>
      </c>
      <c r="F41" s="46" t="inlineStr">
        <is>
          <t>1. Observe the approval screen from prompt to timeout</t>
        </is>
      </c>
      <c r="G41" s="46" t="inlineStr">
        <is>
          <t>Screen shows merchant name, amount and any fee, offers PIN or biometric, and displays a visible countdown against the configured approval window</t>
        </is>
      </c>
      <c r="H41" s="47" t="inlineStr">
        <is>
          <t>Not Tested</t>
        </is>
      </c>
      <c r="I41" s="47" t="inlineStr">
        <is>
          <t>Usability</t>
        </is>
      </c>
    </row>
    <row r="42" ht="36" customHeight="1">
      <c r="A42" s="46" t="inlineStr">
        <is>
          <t>Compliance</t>
        </is>
      </c>
      <c r="B42" s="47" t="inlineStr">
        <is>
          <t>TC-WalletPay-41</t>
        </is>
      </c>
      <c r="C42" s="46" t="inlineStr">
        <is>
          <t>Customer-Side Compliance Fail Exercised Independently of the Merchant Side</t>
        </is>
      </c>
      <c r="D42" s="47" t="inlineStr">
        <is>
          <t>High</t>
        </is>
      </c>
      <c r="E42" s="46" t="inlineStr">
        <is>
          <t>Merchant fully compliant; customer carries the compliance condition</t>
        </is>
      </c>
      <c r="F42" s="46" t="inlineStr">
        <is>
          <t>1. Run an authorization where only the customer-side check set fails
2. Compare the outcome and wording with an equivalent merchant-side failure</t>
        </is>
      </c>
      <c r="G42" s="46" t="inlineStr">
        <is>
          <t>Customer-side failure produces the same synchronous neutral decline before the prompt as a merchant-side failure; both check sets are exercised independently, as the acceptance criteria list them separately</t>
        </is>
      </c>
      <c r="H42" s="47" t="inlineStr">
        <is>
          <t>Not Tested</t>
        </is>
      </c>
      <c r="I42" s="47" t="inlineStr">
        <is>
          <t>Negative</t>
        </is>
      </c>
    </row>
    <row r="43" ht="36" customHeight="1">
      <c r="A43" s="46" t="inlineStr">
        <is>
          <t>Reversal</t>
        </is>
      </c>
      <c r="B43" s="47" t="inlineStr">
        <is>
          <t>TC-WalletPay-42</t>
        </is>
      </c>
      <c r="C43" s="46" t="inlineStr">
        <is>
          <t>Reversal Releases No Pending or Reserved Position, Because None Exists</t>
        </is>
      </c>
      <c r="D43" s="47" t="inlineStr">
        <is>
          <t>High</t>
        </is>
      </c>
      <c r="E43" s="46" t="inlineStr">
        <is>
          <t>A wallet payment reversed after the 15-minute window</t>
        </is>
      </c>
      <c r="F43" s="46" t="inlineStr">
        <is>
          <t>1. Reverse a payment
2. Inspect what the reversal actually released for each party
3. Query for any pending-credit or reserved position at any point in the payment's life</t>
        </is>
      </c>
      <c r="G43" s="46" t="inlineStr">
        <is>
          <t>The reversal restores both parties by unwinding a completed internal movement; no pending credit or reserved position is released because none is ever created on this rail. Any pending or reserve found is a defect (cross-check with TC-WalletPay-34)</t>
        </is>
      </c>
      <c r="H43" s="47" t="inlineStr">
        <is>
          <t>Not Tested</t>
        </is>
      </c>
      <c r="I43" s="47" t="inlineStr">
        <is>
          <t>Negative</t>
        </is>
      </c>
    </row>
  </sheetData>
  <autoFilter ref="A1:I43"/>
  <conditionalFormatting sqref="H2:H43">
    <cfRule type="cellIs" priority="1" operator="equal" dxfId="54">
      <formula>"Passed"</formula>
    </cfRule>
    <cfRule type="cellIs" priority="2" operator="equal" dxfId="55">
      <formula>"Failed"</formula>
    </cfRule>
    <cfRule type="cellIs" priority="3" operator="equal" dxfId="56">
      <formula>"Partially Passed"</formula>
    </cfRule>
    <cfRule type="cellIs" priority="4" operator="equal" dxfId="57">
      <formula>"Not Tested"</formula>
    </cfRule>
    <cfRule type="cellIs" priority="5" operator="equal" dxfId="58">
      <formula>"Not Implemented"</formula>
    </cfRule>
    <cfRule type="cellIs" priority="6" operator="equal" dxfId="59">
      <formula>"NA"</formula>
    </cfRule>
  </conditionalFormatting>
  <dataValidations count="2">
    <dataValidation sqref="H2:H41" showDropDown="0" showInputMessage="0" showErrorMessage="0" allowBlank="1" type="list">
      <formula1>"Passed,Failed,Partially Passed,Not Tested,Not Implemented,NA"</formula1>
    </dataValidation>
    <dataValidation sqref="H2:H43" showDropDown="0" showInputMessage="0" showErrorMessage="0" allowBlank="1" type="list">
      <formula1>"Passed,Failed,Partially Passed,Not Tested,Not Implemented,NA"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1"/>
  <sheetViews>
    <sheetView showGridLines="1" workbookViewId="0">
      <pane ySplit="1" topLeftCell="A2" activePane="bottomLeft" state="frozen"/>
      <selection pane="bottomLeft" activeCell="A1" sqref="A1"/>
    </sheetView>
  </sheetViews>
  <sheetFormatPr baseColWidth="8" defaultRowHeight="15"/>
  <cols>
    <col width="20" customWidth="1" min="1" max="1"/>
    <col width="18" customWidth="1" min="2" max="2"/>
    <col width="36" customWidth="1" min="3" max="3"/>
    <col width="14" customWidth="1" min="4" max="4"/>
    <col width="38" customWidth="1" min="5" max="5"/>
    <col width="45" customWidth="1" min="6" max="6"/>
    <col width="45" customWidth="1" min="7" max="7"/>
    <col width="18" customWidth="1" min="8" max="8"/>
    <col width="20" customWidth="1" min="9" max="9"/>
  </cols>
  <sheetData>
    <row r="1" ht="28.05" customHeight="1">
      <c r="A1" s="34" t="inlineStr">
        <is>
          <t>Subtopic / Category</t>
        </is>
      </c>
      <c r="B1" s="34" t="inlineStr">
        <is>
          <t>TC ID</t>
        </is>
      </c>
      <c r="C1" s="34" t="inlineStr">
        <is>
          <t>Title</t>
        </is>
      </c>
      <c r="D1" s="34" t="inlineStr">
        <is>
          <t>Priority</t>
        </is>
      </c>
      <c r="E1" s="34" t="inlineStr">
        <is>
          <t>Preconditions</t>
        </is>
      </c>
      <c r="F1" s="34" t="inlineStr">
        <is>
          <t>Steps</t>
        </is>
      </c>
      <c r="G1" s="34" t="inlineStr">
        <is>
          <t>Expected Result</t>
        </is>
      </c>
      <c r="H1" s="34" t="inlineStr">
        <is>
          <t>Status</t>
        </is>
      </c>
      <c r="I1" s="34" t="inlineStr">
        <is>
          <t>Test Type</t>
        </is>
      </c>
    </row>
    <row r="2" ht="36" customHeight="1">
      <c r="A2" s="46" t="inlineStr">
        <is>
          <t>Functional</t>
        </is>
      </c>
      <c r="B2" s="47" t="inlineStr">
        <is>
          <t>TC-Refund-01</t>
        </is>
      </c>
      <c r="C2" s="46" t="inlineStr">
        <is>
          <t>Refund Captured Against a Known Settled Original</t>
        </is>
      </c>
      <c r="D2" s="47" t="inlineStr">
        <is>
          <t>High</t>
        </is>
      </c>
      <c r="E2" s="46" t="inlineStr">
        <is>
          <t>A PURCHASE for the same terminal has been captured and settled; refund endpoint reachable</t>
        </is>
      </c>
      <c r="F2" s="46" t="inlineStr">
        <is>
          <t>1. Submit a REFUND event referencing the settled original
2. Inspect the per-TID ledger, the original record and the merchant wallet balance</t>
        </is>
      </c>
      <c r="G2" s="46" t="inlineStr">
        <is>
          <t>Refund written to the terminal's per-TID ledger with full detail and its terminal-reported status; original flagged refunded; merchant wallet balance unchanged</t>
        </is>
      </c>
      <c r="H2" s="47" t="inlineStr">
        <is>
          <t>Not Tested</t>
        </is>
      </c>
      <c r="I2" s="47" t="inlineStr">
        <is>
          <t>Functional</t>
        </is>
      </c>
    </row>
    <row r="3" ht="36" customHeight="1">
      <c r="A3" s="46" t="inlineStr">
        <is>
          <t>Functional</t>
        </is>
      </c>
      <c r="B3" s="47" t="inlineStr">
        <is>
          <t>TC-Refund-02</t>
        </is>
      </c>
      <c r="C3" s="46" t="inlineStr">
        <is>
          <t>Refund Arrives Through the EMI-5915 Entry Point Only</t>
        </is>
      </c>
      <c r="D3" s="47" t="inlineStr">
        <is>
          <t>High</t>
        </is>
      </c>
      <c r="E3" s="46" t="inlineStr">
        <is>
          <t>Refund capture available</t>
        </is>
      </c>
      <c r="F3" s="46" t="inlineStr">
        <is>
          <t>1. Trace the transport, authentication, hardening and idempotency handling of a REFUND event
2. Search for any refund-specific ingestion endpoint</t>
        </is>
      </c>
      <c r="G3" s="46" t="inlineStr">
        <is>
          <t>The refund uses EMI-5915's single entry point with event_type = REFUND; no separate ingestion path or second code path exists</t>
        </is>
      </c>
      <c r="H3" s="47" t="inlineStr">
        <is>
          <t>Not Tested</t>
        </is>
      </c>
      <c r="I3" s="47" t="inlineStr">
        <is>
          <t>Integration</t>
        </is>
      </c>
    </row>
    <row r="4" ht="36" customHeight="1">
      <c r="A4" s="46" t="inlineStr">
        <is>
          <t>Functional</t>
        </is>
      </c>
      <c r="B4" s="47" t="inlineStr">
        <is>
          <t>TC-Refund-03</t>
        </is>
      </c>
      <c r="C4" s="46" t="inlineStr">
        <is>
          <t>No Wallet Entry, Pending, Fee or Balance Movement on Capture</t>
        </is>
      </c>
      <c r="D4" s="47" t="inlineStr">
        <is>
          <t>High</t>
        </is>
      </c>
      <c r="E4" s="46" t="inlineStr">
        <is>
          <t>Merchant wallet with a known balance</t>
        </is>
      </c>
      <c r="F4" s="46" t="inlineStr">
        <is>
          <t>1. Capture a refund for that merchant
2. Query wallet entries, pending positions, fee entries and the balance</t>
        </is>
      </c>
      <c r="G4" s="46" t="inlineStr">
        <is>
          <t>No wallet entry, no pending, no fee and no balance movement is created; the ledger entry is the only artefact</t>
        </is>
      </c>
      <c r="H4" s="47" t="inlineStr">
        <is>
          <t>Not Tested</t>
        </is>
      </c>
      <c r="I4" s="47" t="inlineStr">
        <is>
          <t>Functional</t>
        </is>
      </c>
    </row>
    <row r="5" ht="36" customHeight="1">
      <c r="A5" s="46" t="inlineStr">
        <is>
          <t>Functional</t>
        </is>
      </c>
      <c r="B5" s="47" t="inlineStr">
        <is>
          <t>TC-Refund-04</t>
        </is>
      </c>
      <c r="C5" s="46" t="inlineStr">
        <is>
          <t>settlement_expected Is Derived False at Capture</t>
        </is>
      </c>
      <c r="D5" s="47" t="inlineStr">
        <is>
          <t>High</t>
        </is>
      </c>
      <c r="E5" s="46" t="inlineStr">
        <is>
          <t>Refund capture available</t>
        </is>
      </c>
      <c r="F5" s="46" t="inlineStr">
        <is>
          <t>1. Capture a refund
2. Read settlement_expected on the stored record</t>
        </is>
      </c>
      <c r="G5" s="46" t="inlineStr">
        <is>
          <t>settlement_expected is derived as false at capture time, per EMI-5915 section H</t>
        </is>
      </c>
      <c r="H5" s="47" t="inlineStr">
        <is>
          <t>Not Tested</t>
        </is>
      </c>
      <c r="I5" s="47" t="inlineStr">
        <is>
          <t>Functional</t>
        </is>
      </c>
    </row>
    <row r="6" ht="36" customHeight="1">
      <c r="A6" s="46" t="inlineStr">
        <is>
          <t>Functional</t>
        </is>
      </c>
      <c r="B6" s="47" t="inlineStr">
        <is>
          <t>TC-Refund-05</t>
        </is>
      </c>
      <c r="C6" s="46" t="inlineStr">
        <is>
          <t>settlement_expected Is Immutable After Capture</t>
        </is>
      </c>
      <c r="D6" s="47" t="inlineStr">
        <is>
          <t>Medium</t>
        </is>
      </c>
      <c r="E6" s="46" t="inlineStr">
        <is>
          <t>A captured refund with settlement_expected = false</t>
        </is>
      </c>
      <c r="F6" s="46" t="inlineStr">
        <is>
          <t>1. Attempt to update settlement_expected on the stored refund through every available path</t>
        </is>
      </c>
      <c r="G6" s="46" t="inlineStr">
        <is>
          <t>The field cannot be changed after capture; attempts are rejected and recorded</t>
        </is>
      </c>
      <c r="H6" s="47" t="inlineStr">
        <is>
          <t>Not Tested</t>
        </is>
      </c>
      <c r="I6" s="47" t="inlineStr">
        <is>
          <t>Negative</t>
        </is>
      </c>
    </row>
    <row r="7" ht="36" customHeight="1">
      <c r="A7" s="46" t="inlineStr">
        <is>
          <t>Reconciliation</t>
        </is>
      </c>
      <c r="B7" s="47" t="inlineStr">
        <is>
          <t>TC-Refund-06</t>
        </is>
      </c>
      <c r="C7" s="46" t="inlineStr">
        <is>
          <t>Refund Never Enters the E13 Candidate Set</t>
        </is>
      </c>
      <c r="D7" s="47" t="inlineStr">
        <is>
          <t>High</t>
        </is>
      </c>
      <c r="E7" s="46" t="inlineStr">
        <is>
          <t>A captured refund and a reconciliation run for the same date</t>
        </is>
      </c>
      <c r="F7" s="46" t="inlineStr">
        <is>
          <t>1. Run reconciliation (EMI-5920) for the date
2. Inspect the E13 candidate set and the discrepancy queue</t>
        </is>
      </c>
      <c r="G7" s="46" t="inlineStr">
        <is>
          <t>The refund is absent from the E13 candidate set and from the discrepancy queue; it is never reported as money the bank failed to settle</t>
        </is>
      </c>
      <c r="H7" s="47" t="inlineStr">
        <is>
          <t>Not Tested</t>
        </is>
      </c>
      <c r="I7" s="47" t="inlineStr">
        <is>
          <t>Functional</t>
        </is>
      </c>
    </row>
    <row r="8" ht="36" customHeight="1">
      <c r="A8" s="46" t="inlineStr">
        <is>
          <t>Reconciliation</t>
        </is>
      </c>
      <c r="B8" s="47" t="inlineStr">
        <is>
          <t>TC-Refund-07</t>
        </is>
      </c>
      <c r="C8" s="46" t="inlineStr">
        <is>
          <t>Refund Searched For in the Settlement Report</t>
        </is>
      </c>
      <c r="D8" s="47" t="inlineStr">
        <is>
          <t>High</t>
        </is>
      </c>
      <c r="E8" s="46" t="inlineStr">
        <is>
          <t>A captured refund and the corresponding ANB settlement report</t>
        </is>
      </c>
      <c r="F8" s="46" t="inlineStr">
        <is>
          <t>1. Search the settlement report for the refund</t>
        </is>
      </c>
      <c r="G8" s="46" t="inlineStr">
        <is>
          <t>The refund is absent by ANB's settled-only contract; its absence raises no exception and creates no reconciliation discrepancy</t>
        </is>
      </c>
      <c r="H8" s="47" t="inlineStr">
        <is>
          <t>Not Tested</t>
        </is>
      </c>
      <c r="I8" s="47" t="inlineStr">
        <is>
          <t>Functional</t>
        </is>
      </c>
    </row>
    <row r="9" ht="36" customHeight="1">
      <c r="A9" s="46" t="inlineStr">
        <is>
          <t>Validation</t>
        </is>
      </c>
      <c r="B9" s="47" t="inlineStr">
        <is>
          <t>TC-Refund-08</t>
        </is>
      </c>
      <c r="C9" s="46" t="inlineStr">
        <is>
          <t>Mandatory Field Validation on Capture</t>
        </is>
      </c>
      <c r="D9" s="47" t="inlineStr">
        <is>
          <t>High</t>
        </is>
      </c>
      <c r="E9" s="46" t="inlineStr">
        <is>
          <t>Refund capture available</t>
        </is>
      </c>
      <c r="F9" s="46" t="inlineStr">
        <is>
          <t>1. Submit refunds each missing one of rrn, amount, occurred_at, original_provider_txn_id</t>
        </is>
      </c>
      <c r="G9" s="46" t="inlineStr">
        <is>
          <t>Each is rejected with a clear validation reason and alarmed; capture rejections are never silent</t>
        </is>
      </c>
      <c r="H9" s="47" t="inlineStr">
        <is>
          <t>Not Tested</t>
        </is>
      </c>
      <c r="I9" s="47" t="inlineStr">
        <is>
          <t>Negative</t>
        </is>
      </c>
    </row>
    <row r="10" ht="36" customHeight="1">
      <c r="A10" s="46" t="inlineStr">
        <is>
          <t>Validation</t>
        </is>
      </c>
      <c r="B10" s="47" t="inlineStr">
        <is>
          <t>TC-Refund-09</t>
        </is>
      </c>
      <c r="C10" s="46" t="inlineStr">
        <is>
          <t>occurred_at Precision Is Preserved in Full</t>
        </is>
      </c>
      <c r="D10" s="47" t="inlineStr">
        <is>
          <t>Medium</t>
        </is>
      </c>
      <c r="E10" s="46" t="inlineStr">
        <is>
          <t>Refund carrying a high-precision timestamp</t>
        </is>
      </c>
      <c r="F10" s="46" t="inlineStr">
        <is>
          <t>1. Submit the refund
2. Read occurred_at back from storage and compare with the source</t>
        </is>
      </c>
      <c r="G10" s="46" t="inlineStr">
        <is>
          <t>occurred_at is stored at full source precision with no truncation or rounding; amount and rrn likewise match the source exactly</t>
        </is>
      </c>
      <c r="H10" s="47" t="inlineStr">
        <is>
          <t>Not Tested</t>
        </is>
      </c>
      <c r="I10" s="47" t="inlineStr">
        <is>
          <t>Edge / Boundary</t>
        </is>
      </c>
    </row>
    <row r="11" ht="36" customHeight="1">
      <c r="A11" s="46" t="inlineStr">
        <is>
          <t>Linkage</t>
        </is>
      </c>
      <c r="B11" s="47" t="inlineStr">
        <is>
          <t>TC-Refund-10</t>
        </is>
      </c>
      <c r="C11" s="46" t="inlineStr">
        <is>
          <t>Refund Is Linked to Its Original Sale</t>
        </is>
      </c>
      <c r="D11" s="47" t="inlineStr">
        <is>
          <t>High</t>
        </is>
      </c>
      <c r="E11" s="46" t="inlineStr">
        <is>
          <t>A captured original PURCHASE</t>
        </is>
      </c>
      <c r="F11" s="46" t="inlineStr">
        <is>
          <t>1. Capture a refund carrying original_provider_txn_id
2. Inspect the linkage on both records</t>
        </is>
      </c>
      <c r="G11" s="46" t="inlineStr">
        <is>
          <t>The refund resolves to and is linked with its original sale; the link is navigable from either side</t>
        </is>
      </c>
      <c r="H11" s="47" t="inlineStr">
        <is>
          <t>Not Tested</t>
        </is>
      </c>
      <c r="I11" s="47" t="inlineStr">
        <is>
          <t>Functional</t>
        </is>
      </c>
    </row>
    <row r="12" ht="36" customHeight="1">
      <c r="A12" s="46" t="inlineStr">
        <is>
          <t>Linkage</t>
        </is>
      </c>
      <c r="B12" s="47" t="inlineStr">
        <is>
          <t>TC-Refund-11</t>
        </is>
      </c>
      <c r="C12" s="46" t="inlineStr">
        <is>
          <t>Linkage Is Enforced at Database Level</t>
        </is>
      </c>
      <c r="D12" s="47" t="inlineStr">
        <is>
          <t>High</t>
        </is>
      </c>
      <c r="E12" s="46" t="inlineStr">
        <is>
          <t>Direct database access available</t>
        </is>
      </c>
      <c r="F12" s="46" t="inlineStr">
        <is>
          <t>1. Attempt to insert a refund row with an original reference that does not exist, bypassing the application</t>
        </is>
      </c>
      <c r="G12" s="46" t="inlineStr">
        <is>
          <t>The database rejects the write; linkage is enforced by constraint, not by application code alone</t>
        </is>
      </c>
      <c r="H12" s="47" t="inlineStr">
        <is>
          <t>Not Tested</t>
        </is>
      </c>
      <c r="I12" s="47" t="inlineStr">
        <is>
          <t>Functional</t>
        </is>
      </c>
    </row>
    <row r="13" ht="36" customHeight="1">
      <c r="A13" s="46" t="inlineStr">
        <is>
          <t>Linkage</t>
        </is>
      </c>
      <c r="B13" s="47" t="inlineStr">
        <is>
          <t>TC-Refund-12</t>
        </is>
      </c>
      <c r="C13" s="46" t="inlineStr">
        <is>
          <t>Original Flagged refunded on a Full Refund</t>
        </is>
      </c>
      <c r="D13" s="47" t="inlineStr">
        <is>
          <t>Medium</t>
        </is>
      </c>
      <c r="E13" s="46" t="inlineStr">
        <is>
          <t>A captured original with no prior refunds</t>
        </is>
      </c>
      <c r="F13" s="46" t="inlineStr">
        <is>
          <t>1. Capture a refund for the original's full gross amount
2. Read the original's flag</t>
        </is>
      </c>
      <c r="G13" s="46" t="inlineStr">
        <is>
          <t>The original is flagged refunded</t>
        </is>
      </c>
      <c r="H13" s="47" t="inlineStr">
        <is>
          <t>Not Tested</t>
        </is>
      </c>
      <c r="I13" s="47" t="inlineStr">
        <is>
          <t>Functional</t>
        </is>
      </c>
    </row>
    <row r="14" ht="36" customHeight="1">
      <c r="A14" s="46" t="inlineStr">
        <is>
          <t>Linkage</t>
        </is>
      </c>
      <c r="B14" s="47" t="inlineStr">
        <is>
          <t>TC-Refund-13</t>
        </is>
      </c>
      <c r="C14" s="46" t="inlineStr">
        <is>
          <t>Original Flagged partially_refunded on a Partial Refund</t>
        </is>
      </c>
      <c r="D14" s="47" t="inlineStr">
        <is>
          <t>Medium</t>
        </is>
      </c>
      <c r="E14" s="46" t="inlineStr">
        <is>
          <t>A captured original with no prior refunds</t>
        </is>
      </c>
      <c r="F14" s="46" t="inlineStr">
        <is>
          <t>1. Capture a refund for part of the original's gross
2. Read the original's flag</t>
        </is>
      </c>
      <c r="G14" s="46" t="inlineStr">
        <is>
          <t>The original is flagged partially_refunded</t>
        </is>
      </c>
      <c r="H14" s="47" t="inlineStr">
        <is>
          <t>Not Tested</t>
        </is>
      </c>
      <c r="I14" s="47" t="inlineStr">
        <is>
          <t>Functional</t>
        </is>
      </c>
    </row>
    <row r="15" ht="36" customHeight="1">
      <c r="A15" s="46" t="inlineStr">
        <is>
          <t>Integrity</t>
        </is>
      </c>
      <c r="B15" s="47" t="inlineStr">
        <is>
          <t>TC-Refund-14</t>
        </is>
      </c>
      <c r="C15" s="46" t="inlineStr">
        <is>
          <t>Cumulative Refunds May Not Exceed the Original Gross</t>
        </is>
      </c>
      <c r="D15" s="47" t="inlineStr">
        <is>
          <t>High</t>
        </is>
      </c>
      <c r="E15" s="46" t="inlineStr">
        <is>
          <t>A captured original with one partial refund already applied</t>
        </is>
      </c>
      <c r="F15" s="46" t="inlineStr">
        <is>
          <t>1. Capture a second refund that would take the cumulative total above the original's gross</t>
        </is>
      </c>
      <c r="G15" s="46" t="inlineStr">
        <is>
          <t>The second refund is rejected at database level by constraint and alarmed as a feed-integrity defect; the exposure figure is not inflated</t>
        </is>
      </c>
      <c r="H15" s="47" t="inlineStr">
        <is>
          <t>Not Tested</t>
        </is>
      </c>
      <c r="I15" s="47" t="inlineStr">
        <is>
          <t>Negative</t>
        </is>
      </c>
    </row>
    <row r="16" ht="36" customHeight="1">
      <c r="A16" s="46" t="inlineStr">
        <is>
          <t>Integrity</t>
        </is>
      </c>
      <c r="B16" s="47" t="inlineStr">
        <is>
          <t>TC-Refund-15</t>
        </is>
      </c>
      <c r="C16" s="46" t="inlineStr">
        <is>
          <t>Cap Breach Is Alarmed as a Feed-Integrity Defect</t>
        </is>
      </c>
      <c r="D16" s="47" t="inlineStr">
        <is>
          <t>Medium</t>
        </is>
      </c>
      <c r="E16" s="46" t="inlineStr">
        <is>
          <t>Ability to trigger a cumulative cap breach</t>
        </is>
      </c>
      <c r="F16" s="46" t="inlineStr">
        <is>
          <t>1. Trigger a cap breach
2. Inspect the alarm channel and its classification</t>
        </is>
      </c>
      <c r="G16" s="46" t="inlineStr">
        <is>
          <t>The breach is alarmed and classified as a feed-integrity defect, not as a business rejection; the raw record is retained for Ops</t>
        </is>
      </c>
      <c r="H16" s="47" t="inlineStr">
        <is>
          <t>Not Tested</t>
        </is>
      </c>
      <c r="I16" s="47" t="inlineStr">
        <is>
          <t>Negative</t>
        </is>
      </c>
    </row>
    <row r="17" ht="36" customHeight="1">
      <c r="A17" s="46" t="inlineStr">
        <is>
          <t>Parking</t>
        </is>
      </c>
      <c r="B17" s="47" t="inlineStr">
        <is>
          <t>TC-Refund-16</t>
        </is>
      </c>
      <c r="C17" s="46" t="inlineStr">
        <is>
          <t>Refund Arriving Before Its Original Is Parked, Not Rejected</t>
        </is>
      </c>
      <c r="D17" s="47" t="inlineStr">
        <is>
          <t>High</t>
        </is>
      </c>
      <c r="E17" s="46" t="inlineStr">
        <is>
          <t>No original present for the reference</t>
        </is>
      </c>
      <c r="F17" s="46" t="inlineStr">
        <is>
          <t>1. Capture a refund whose original has not yet arrived
2. Inspect its state</t>
        </is>
      </c>
      <c r="G17" s="46" t="inlineStr">
        <is>
          <t>The refund is parked, not rejected; out-of-order arrival is treated as normal</t>
        </is>
      </c>
      <c r="H17" s="47" t="inlineStr">
        <is>
          <t>Not Tested</t>
        </is>
      </c>
      <c r="I17" s="47" t="inlineStr">
        <is>
          <t>Negative</t>
        </is>
      </c>
    </row>
    <row r="18" ht="36" customHeight="1">
      <c r="A18" s="46" t="inlineStr">
        <is>
          <t>Parking</t>
        </is>
      </c>
      <c r="B18" s="47" t="inlineStr">
        <is>
          <t>TC-Refund-17</t>
        </is>
      </c>
      <c r="C18" s="46" t="inlineStr">
        <is>
          <t>Parked Refund Is Retried on Each Subsequent Arrival</t>
        </is>
      </c>
      <c r="D18" s="47" t="inlineStr">
        <is>
          <t>Medium</t>
        </is>
      </c>
      <c r="E18" s="46" t="inlineStr">
        <is>
          <t>A parked refund awaiting its original</t>
        </is>
      </c>
      <c r="F18" s="46" t="inlineStr">
        <is>
          <t>1. Capture the original
2. Observe the parked refund</t>
        </is>
      </c>
      <c r="G18" s="46" t="inlineStr">
        <is>
          <t>The parked refund is retried on the arrival and links successfully; the original is flagged accordingly</t>
        </is>
      </c>
      <c r="H18" s="47" t="inlineStr">
        <is>
          <t>Not Tested</t>
        </is>
      </c>
      <c r="I18" s="47" t="inlineStr">
        <is>
          <t>Negative</t>
        </is>
      </c>
    </row>
    <row r="19" ht="36" customHeight="1">
      <c r="A19" s="46" t="inlineStr">
        <is>
          <t>Parking</t>
        </is>
      </c>
      <c r="B19" s="47" t="inlineStr">
        <is>
          <t>TC-Refund-18</t>
        </is>
      </c>
      <c r="C19" s="46" t="inlineStr">
        <is>
          <t>Parked Refund Escalates After 48 Hours</t>
        </is>
      </c>
      <c r="D19" s="47" t="inlineStr">
        <is>
          <t>Medium</t>
        </is>
      </c>
      <c r="E19" s="46" t="inlineStr">
        <is>
          <t>A parked refund whose original never arrives</t>
        </is>
      </c>
      <c r="F19" s="46" t="inlineStr">
        <is>
          <t>1. Leave the refund parked past the 48 h window
2. Inspect the Ops queue and escalation</t>
        </is>
      </c>
      <c r="G19" s="46" t="inlineStr">
        <is>
          <t>The refund escalates at 48 h; it is never auto-rejected or discarded</t>
        </is>
      </c>
      <c r="H19" s="47" t="inlineStr">
        <is>
          <t>Not Tested</t>
        </is>
      </c>
      <c r="I19" s="47" t="inlineStr">
        <is>
          <t>Negative</t>
        </is>
      </c>
    </row>
    <row r="20" ht="36" customHeight="1">
      <c r="A20" s="46" t="inlineStr">
        <is>
          <t>Parking</t>
        </is>
      </c>
      <c r="B20" s="47" t="inlineStr">
        <is>
          <t>TC-Refund-19</t>
        </is>
      </c>
      <c r="C20" s="46" t="inlineStr">
        <is>
          <t>Ops Parked-Refund Queue Shows Time Remaining</t>
        </is>
      </c>
      <c r="D20" s="47" t="inlineStr">
        <is>
          <t>Medium</t>
        </is>
      </c>
      <c r="E20" s="46" t="inlineStr">
        <is>
          <t>One or more parked refunds of differing ages</t>
        </is>
      </c>
      <c r="F20" s="46" t="inlineStr">
        <is>
          <t>1. Open the Ops parked-refund queue</t>
        </is>
      </c>
      <c r="G20" s="46" t="inlineStr">
        <is>
          <t>Parked refunds are listed with the 48 h window shown as time remaining and aged; cap breaches and window rejections are listed with the raw record</t>
        </is>
      </c>
      <c r="H20" s="47" t="inlineStr">
        <is>
          <t>Not Tested</t>
        </is>
      </c>
      <c r="I20" s="47" t="inlineStr">
        <is>
          <t>Negative</t>
        </is>
      </c>
    </row>
    <row r="21" ht="36" customHeight="1">
      <c r="A21" s="46" t="inlineStr">
        <is>
          <t>Validation</t>
        </is>
      </c>
      <c r="B21" s="47" t="inlineStr">
        <is>
          <t>TC-Refund-20</t>
        </is>
      </c>
      <c r="C21" s="46" t="inlineStr">
        <is>
          <t>Refund Outside the Configured Window Is Rejected</t>
        </is>
      </c>
      <c r="D21" s="47" t="inlineStr">
        <is>
          <t>Medium</t>
        </is>
      </c>
      <c r="E21" s="46" t="inlineStr">
        <is>
          <t>An original older than the configured refund window</t>
        </is>
      </c>
      <c r="F21" s="46" t="inlineStr">
        <is>
          <t>1. Capture a refund against it</t>
        </is>
      </c>
      <c r="G21" s="46" t="inlineStr">
        <is>
          <t>Rejected with a clear reason and alarmed</t>
        </is>
      </c>
      <c r="H21" s="47" t="inlineStr">
        <is>
          <t>Not Tested</t>
        </is>
      </c>
      <c r="I21" s="47" t="inlineStr">
        <is>
          <t>Negative</t>
        </is>
      </c>
    </row>
    <row r="22" ht="36" customHeight="1">
      <c r="A22" s="46" t="inlineStr">
        <is>
          <t>Configuration</t>
        </is>
      </c>
      <c r="B22" s="47" t="inlineStr">
        <is>
          <t>TC-Refund-21</t>
        </is>
      </c>
      <c r="C22" s="46" t="inlineStr">
        <is>
          <t>Refund Window Is Configurable, Default 180 Days</t>
        </is>
      </c>
      <c r="D22" s="47" t="inlineStr">
        <is>
          <t>Medium</t>
        </is>
      </c>
      <c r="E22" s="46" t="inlineStr">
        <is>
          <t>Access to the refund-window configuration</t>
        </is>
      </c>
      <c r="F22" s="46" t="inlineStr">
        <is>
          <t>1. Confirm the default is 180 days
2. Change it and capture a refund on either side of the new boundary</t>
        </is>
      </c>
      <c r="G22" s="46" t="inlineStr">
        <is>
          <t>The default is 180 days; the new value takes effect without a release and is applied at capture</t>
        </is>
      </c>
      <c r="H22" s="47" t="inlineStr">
        <is>
          <t>Not Tested</t>
        </is>
      </c>
      <c r="I22" s="47" t="inlineStr">
        <is>
          <t>Edge / Boundary</t>
        </is>
      </c>
    </row>
    <row r="23" ht="36" customHeight="1">
      <c r="A23" s="46" t="inlineStr">
        <is>
          <t>Negative</t>
        </is>
      </c>
      <c r="B23" s="47" t="inlineStr">
        <is>
          <t>TC-Refund-22</t>
        </is>
      </c>
      <c r="C23" s="46" t="inlineStr">
        <is>
          <t>Refund on a Merchant With Zero or Low Wallet Balance</t>
        </is>
      </c>
      <c r="D23" s="47" t="inlineStr">
        <is>
          <t>High</t>
        </is>
      </c>
      <c r="E23" s="46" t="inlineStr">
        <is>
          <t>Merchant wallet at or near zero balance</t>
        </is>
      </c>
      <c r="F23" s="46" t="inlineStr">
        <is>
          <t>1. Capture a refund for that merchant
2. Inspect the outcome and the wallet</t>
        </is>
      </c>
      <c r="G23" s="46" t="inlineStr">
        <is>
          <t>The refund is captured normally with no rejection; no balance is touched so there is nothing to check; no insufficient-balance error is possible here</t>
        </is>
      </c>
      <c r="H23" s="47" t="inlineStr">
        <is>
          <t>Not Tested</t>
        </is>
      </c>
      <c r="I23" s="47" t="inlineStr">
        <is>
          <t>Edge / Boundary</t>
        </is>
      </c>
    </row>
    <row r="24" ht="36" customHeight="1">
      <c r="A24" s="46" t="inlineStr">
        <is>
          <t>Isolation</t>
        </is>
      </c>
      <c r="B24" s="47" t="inlineStr">
        <is>
          <t>TC-Refund-23</t>
        </is>
      </c>
      <c r="C24" s="46" t="inlineStr">
        <is>
          <t>No Wallet Debit Is Raised for a Refund</t>
        </is>
      </c>
      <c r="D24" s="47" t="inlineStr">
        <is>
          <t>High</t>
        </is>
      </c>
      <c r="E24" s="46" t="inlineStr">
        <is>
          <t>A merchant wallet with a recorded starting balance</t>
        </is>
      </c>
      <c r="F24" s="46" t="inlineStr">
        <is>
          <t>1. Capture refunds across settled, unsettled and partially refunded originals
2. Run the settlement, reconciliation and ACH cycles
3. Compare the merchant wallet balance with its starting value</t>
        </is>
      </c>
      <c r="G24" s="46" t="inlineStr">
        <is>
          <t>No wallet debit is raised at any point - not immediate, not deferred, not on settlement; the merchant balance is untouched. Any debit found is a defect</t>
        </is>
      </c>
      <c r="H24" s="47" t="inlineStr">
        <is>
          <t>Not Tested</t>
        </is>
      </c>
      <c r="I24" s="47" t="inlineStr">
        <is>
          <t>Integration</t>
        </is>
      </c>
    </row>
    <row r="25" ht="36" customHeight="1">
      <c r="A25" s="46" t="inlineStr">
        <is>
          <t>Isolation</t>
        </is>
      </c>
      <c r="B25" s="47" t="inlineStr">
        <is>
          <t>TC-Refund-24</t>
        </is>
      </c>
      <c r="C25" s="46" t="inlineStr">
        <is>
          <t>No Reserve, Hold or Balance Guard Is Created</t>
        </is>
      </c>
      <c r="D25" s="47" t="inlineStr">
        <is>
          <t>High</t>
        </is>
      </c>
      <c r="E25" s="46" t="inlineStr">
        <is>
          <t>A merchant wallet with a recorded starting position</t>
        </is>
      </c>
      <c r="F25" s="46" t="inlineStr">
        <is>
          <t>1. Capture a refund
2. Query for reserves, holds and balance guards on the merchant</t>
        </is>
      </c>
      <c r="G25" s="46" t="inlineStr">
        <is>
          <t>None exist; there is nothing to reserve against because nothing will be taken</t>
        </is>
      </c>
      <c r="H25" s="47" t="inlineStr">
        <is>
          <t>Not Tested</t>
        </is>
      </c>
      <c r="I25" s="47" t="inlineStr">
        <is>
          <t>Integration</t>
        </is>
      </c>
    </row>
    <row r="26" ht="36" customHeight="1">
      <c r="A26" s="46" t="inlineStr">
        <is>
          <t>Isolation</t>
        </is>
      </c>
      <c r="B26" s="47" t="inlineStr">
        <is>
          <t>TC-Refund-25</t>
        </is>
      </c>
      <c r="C26" s="46" t="inlineStr">
        <is>
          <t>No Netting Into Any Settlement Batch</t>
        </is>
      </c>
      <c r="D26" s="47" t="inlineStr">
        <is>
          <t>High</t>
        </is>
      </c>
      <c r="E26" s="46" t="inlineStr">
        <is>
          <t>A captured refund and a settlement batch for the same terminal and period</t>
        </is>
      </c>
      <c r="F26" s="46" t="inlineStr">
        <is>
          <t>1. Run settlement grouping (EMI-5989)
2. Inspect the batch members and the aggregate amount for any refund contribution</t>
        </is>
      </c>
      <c r="G26" s="46" t="inlineStr">
        <is>
          <t>No refund is netted into the batch; the aggregate reflects settled sales only</t>
        </is>
      </c>
      <c r="H26" s="47" t="inlineStr">
        <is>
          <t>Not Tested</t>
        </is>
      </c>
      <c r="I26" s="47" t="inlineStr">
        <is>
          <t>Integration</t>
        </is>
      </c>
    </row>
    <row r="27" ht="36" customHeight="1">
      <c r="A27" s="46" t="inlineStr">
        <is>
          <t>Isolation</t>
        </is>
      </c>
      <c r="B27" s="47" t="inlineStr">
        <is>
          <t>TC-Refund-26</t>
        </is>
      </c>
      <c r="C27" s="46" t="inlineStr">
        <is>
          <t>No Card-Scheme Refund Leg Is Produced by Us</t>
        </is>
      </c>
      <c r="D27" s="47" t="inlineStr">
        <is>
          <t>Medium</t>
        </is>
      </c>
      <c r="E27" s="46" t="inlineStr">
        <is>
          <t>A captured refund</t>
        </is>
      </c>
      <c r="F27" s="46" t="inlineStr">
        <is>
          <t>1. Inspect all outbound integrations after capture</t>
        </is>
      </c>
      <c r="G27" s="46" t="inlineStr">
        <is>
          <t>We produce no card-scheme refund leg; the merchant refunds the customer through the terminal and the scheme, and we are not in that path</t>
        </is>
      </c>
      <c r="H27" s="47" t="inlineStr">
        <is>
          <t>Not Tested</t>
        </is>
      </c>
      <c r="I27" s="47" t="inlineStr">
        <is>
          <t>Integration</t>
        </is>
      </c>
    </row>
    <row r="28" ht="36" customHeight="1">
      <c r="A28" s="46" t="inlineStr">
        <is>
          <t>Compliance</t>
        </is>
      </c>
      <c r="B28" s="47" t="inlineStr">
        <is>
          <t>TC-Refund-27</t>
        </is>
      </c>
      <c r="C28" s="46" t="inlineStr">
        <is>
          <t>Gate 1 Runs on Party State for Refund Events</t>
        </is>
      </c>
      <c r="D28" s="47" t="inlineStr">
        <is>
          <t>Medium</t>
        </is>
      </c>
      <c r="E28" s="46" t="inlineStr">
        <is>
          <t>Merchant under a compliance condition that Gate 1 evaluates</t>
        </is>
      </c>
      <c r="F28" s="46" t="inlineStr">
        <is>
          <t>1. Capture a refund for that merchant
2. Inspect the Gate 1 evaluation on the ledger entry</t>
        </is>
      </c>
      <c r="G28" s="46" t="inlineStr">
        <is>
          <t>Gate 1 runs on party state exactly as it does for any other captured event; the outcome is recorded on the entry</t>
        </is>
      </c>
      <c r="H28" s="47" t="inlineStr">
        <is>
          <t>Not Tested</t>
        </is>
      </c>
      <c r="I28" s="47" t="inlineStr">
        <is>
          <t>Edge / Boundary</t>
        </is>
      </c>
    </row>
    <row r="29" ht="36" customHeight="1">
      <c r="A29" s="46" t="inlineStr">
        <is>
          <t>Idempotency</t>
        </is>
      </c>
      <c r="B29" s="47" t="inlineStr">
        <is>
          <t>TC-Refund-28</t>
        </is>
      </c>
      <c r="C29" s="46" t="inlineStr">
        <is>
          <t>Duplicate Refund Event Delivered Twice</t>
        </is>
      </c>
      <c r="D29" s="47" t="inlineStr">
        <is>
          <t>High</t>
        </is>
      </c>
      <c r="E29" s="46" t="inlineStr">
        <is>
          <t>Refund capture available</t>
        </is>
      </c>
      <c r="F29" s="46" t="inlineStr">
        <is>
          <t>1. Deliver the same refund event twice with the same idempotency key
2. Inspect records and the exposure total</t>
        </is>
      </c>
      <c r="G29" s="46" t="inlineStr">
        <is>
          <t>The duplicate is absorbed; a single record exists; the exposure is counted exactly once</t>
        </is>
      </c>
      <c r="H29" s="47" t="inlineStr">
        <is>
          <t>Not Tested</t>
        </is>
      </c>
      <c r="I29" s="47" t="inlineStr">
        <is>
          <t>Integration</t>
        </is>
      </c>
    </row>
    <row r="30" ht="36" customHeight="1">
      <c r="A30" s="46" t="inlineStr">
        <is>
          <t>Exposure</t>
        </is>
      </c>
      <c r="B30" s="47" t="inlineStr">
        <is>
          <t>TC-Refund-29</t>
        </is>
      </c>
      <c r="C30" s="46" t="inlineStr">
        <is>
          <t>Captured Refund Contributes to the E34 Exposure Total</t>
        </is>
      </c>
      <c r="D30" s="47" t="inlineStr">
        <is>
          <t>High</t>
        </is>
      </c>
      <c r="E30" s="46" t="inlineStr">
        <is>
          <t>One or more captured refunds with no settlement counterpart</t>
        </is>
      </c>
      <c r="F30" s="46" t="inlineStr">
        <is>
          <t>1. Capture refunds for several merchants
2. Compute the day's exposure</t>
        </is>
      </c>
      <c r="G30" s="46" t="inlineStr">
        <is>
          <t>Each refund is included in the E34 total, reported per merchant, per wallet and in total</t>
        </is>
      </c>
      <c r="H30" s="47" t="inlineStr">
        <is>
          <t>Not Tested</t>
        </is>
      </c>
      <c r="I30" s="47" t="inlineStr">
        <is>
          <t>Reporting</t>
        </is>
      </c>
    </row>
    <row r="31" ht="36" customHeight="1">
      <c r="A31" s="46" t="inlineStr">
        <is>
          <t>Exposure</t>
        </is>
      </c>
      <c r="B31" s="47" t="inlineStr">
        <is>
          <t>TC-Refund-30</t>
        </is>
      </c>
      <c r="C31" s="46" t="inlineStr">
        <is>
          <t>Exposure Is Aged and Recomputable From the Ledger</t>
        </is>
      </c>
      <c r="D31" s="47" t="inlineStr">
        <is>
          <t>Medium</t>
        </is>
      </c>
      <c r="E31" s="46" t="inlineStr">
        <is>
          <t>A ledger holding refunds of varying ages</t>
        </is>
      </c>
      <c r="F31" s="46" t="inlineStr">
        <is>
          <t>1. Recompute exposure from the ledger at an arbitrary point
2. Compare with the stored figure and check the ageing buckets</t>
        </is>
      </c>
      <c r="G31" s="46" t="inlineStr">
        <is>
          <t>Exposure is recomputable at any time and matches; ageing is reported per merchant, per wallet and in total</t>
        </is>
      </c>
      <c r="H31" s="47" t="inlineStr">
        <is>
          <t>Not Tested</t>
        </is>
      </c>
      <c r="I31" s="47" t="inlineStr">
        <is>
          <t>Reporting</t>
        </is>
      </c>
    </row>
    <row r="32" ht="36" customHeight="1">
      <c r="A32" s="46" t="inlineStr">
        <is>
          <t>Exposure</t>
        </is>
      </c>
      <c r="B32" s="47" t="inlineStr">
        <is>
          <t>TC-Refund-31</t>
        </is>
      </c>
      <c r="C32" s="46" t="inlineStr">
        <is>
          <t>Exposure Over a Month of Trading Rises and Is Shown as a Trend</t>
        </is>
      </c>
      <c r="D32" s="47" t="inlineStr">
        <is>
          <t>High</t>
        </is>
      </c>
      <c r="E32" s="46" t="inlineStr">
        <is>
          <t>A month of refund activity with no settlement counterpart</t>
        </is>
      </c>
      <c r="F32" s="46" t="inlineStr">
        <is>
          <t>1. Capture refunds across a month
2. Open the Finance exposure view</t>
        </is>
      </c>
      <c r="G32" s="46" t="inlineStr">
        <is>
          <t>The exposure rises monotonically and the trend is the primary display, not the daily number; this is the evidence for closing O43</t>
        </is>
      </c>
      <c r="H32" s="47" t="inlineStr">
        <is>
          <t>Not Tested</t>
        </is>
      </c>
      <c r="I32" s="47" t="inlineStr">
        <is>
          <t>Reporting</t>
        </is>
      </c>
    </row>
    <row r="33" ht="36" customHeight="1">
      <c r="A33" s="46" t="inlineStr">
        <is>
          <t>Exposure</t>
        </is>
      </c>
      <c r="B33" s="47" t="inlineStr">
        <is>
          <t>TC-Refund-32</t>
        </is>
      </c>
      <c r="C33" s="46" t="inlineStr">
        <is>
          <t>Exposure Is a Memo Line Outside the Reconciling Total</t>
        </is>
      </c>
      <c r="D33" s="47" t="inlineStr">
        <is>
          <t>High</t>
        </is>
      </c>
      <c r="E33" s="46" t="inlineStr">
        <is>
          <t>Refunds present for the reporting period</t>
        </is>
      </c>
      <c r="F33" s="46" t="inlineStr">
        <is>
          <t>1. Generate the Finance safeguarding report</t>
        </is>
      </c>
      <c r="G33" s="46" t="inlineStr">
        <is>
          <t>Exposure appears as a memo line outside the reconciling total; the reconciling line still reconciles with the exposure excluded</t>
        </is>
      </c>
      <c r="H33" s="47" t="inlineStr">
        <is>
          <t>Not Tested</t>
        </is>
      </c>
      <c r="I33" s="47" t="inlineStr">
        <is>
          <t>Reporting</t>
        </is>
      </c>
    </row>
    <row r="34" ht="36" customHeight="1">
      <c r="A34" s="46" t="inlineStr">
        <is>
          <t>Exposure</t>
        </is>
      </c>
      <c r="B34" s="47" t="inlineStr">
        <is>
          <t>TC-Refund-33</t>
        </is>
      </c>
      <c r="C34" s="46" t="inlineStr">
        <is>
          <t>Finance Exposure View Drills Into Individual Refunds</t>
        </is>
      </c>
      <c r="D34" s="47" t="inlineStr">
        <is>
          <t>Medium</t>
        </is>
      </c>
      <c r="E34" s="46" t="inlineStr">
        <is>
          <t>A non-zero exposure total</t>
        </is>
      </c>
      <c r="F34" s="46" t="inlineStr">
        <is>
          <t>1. Open the Finance exposure view and drill from the total</t>
        </is>
      </c>
      <c r="G34" s="46" t="inlineStr">
        <is>
          <t>The view drills into the individual refunds and their originals, per merchant and per wallet, and is legible to someone who has not read the epic</t>
        </is>
      </c>
      <c r="H34" s="47" t="inlineStr">
        <is>
          <t>Not Tested</t>
        </is>
      </c>
      <c r="I34" s="47" t="inlineStr">
        <is>
          <t>Reporting</t>
        </is>
      </c>
    </row>
    <row r="35" ht="36" customHeight="1">
      <c r="A35" s="46" t="inlineStr">
        <is>
          <t>Functional</t>
        </is>
      </c>
      <c r="B35" s="47" t="inlineStr">
        <is>
          <t>TC-Refund-34</t>
        </is>
      </c>
      <c r="C35" s="46" t="inlineStr">
        <is>
          <t>Refund Against an Original That Was Never Settled</t>
        </is>
      </c>
      <c r="D35" s="47" t="inlineStr">
        <is>
          <t>Medium</t>
        </is>
      </c>
      <c r="E35" s="46" t="inlineStr">
        <is>
          <t>An original captured but never settled by the bank</t>
        </is>
      </c>
      <c r="F35" s="46" t="inlineStr">
        <is>
          <t>1. Capture a refund against it</t>
        </is>
      </c>
      <c r="G35" s="46" t="inlineStr">
        <is>
          <t>The refund is captured and linked, and flagged for Ops as an anomaly worth seeing</t>
        </is>
      </c>
      <c r="H35" s="47" t="inlineStr">
        <is>
          <t>Not Tested</t>
        </is>
      </c>
      <c r="I35" s="47" t="inlineStr">
        <is>
          <t>Functional</t>
        </is>
      </c>
    </row>
    <row r="36" ht="36" customHeight="1">
      <c r="A36" s="46" t="inlineStr">
        <is>
          <t>UI</t>
        </is>
      </c>
      <c r="B36" s="47" t="inlineStr">
        <is>
          <t>TC-Refund-35</t>
        </is>
      </c>
      <c r="C36" s="46" t="inlineStr">
        <is>
          <t>Refunds Appear in the Per-Device View, Visually Distinct</t>
        </is>
      </c>
      <c r="D36" s="47" t="inlineStr">
        <is>
          <t>Medium</t>
        </is>
      </c>
      <c r="E36" s="46" t="inlineStr">
        <is>
          <t>Merchant per-device view (EMI-5916) available with sales and refunds present</t>
        </is>
      </c>
      <c r="F36" s="46" t="inlineStr">
        <is>
          <t>1. Open the per-device view for the terminal
2. Compare refund rows with sale rows and with declines</t>
        </is>
      </c>
      <c r="G36" s="46" t="inlineStr">
        <is>
          <t>Refunds appear alongside sales, visually distinct, showing the original they refund, and are excluded from every total on the screen that looks like money, exactly as declines are</t>
        </is>
      </c>
      <c r="H36" s="47" t="inlineStr">
        <is>
          <t>Not Tested</t>
        </is>
      </c>
      <c r="I36" s="47" t="inlineStr">
        <is>
          <t>Edge / Boundary</t>
        </is>
      </c>
    </row>
    <row r="37" ht="36" customHeight="1">
      <c r="A37" s="46" t="inlineStr">
        <is>
          <t>UI</t>
        </is>
      </c>
      <c r="B37" s="47" t="inlineStr">
        <is>
          <t>TC-Refund-36</t>
        </is>
      </c>
      <c r="C37" s="46" t="inlineStr">
        <is>
          <t>Merchant Copy Must Not Imply a Balance Deduction</t>
        </is>
      </c>
      <c r="D37" s="47" t="inlineStr">
        <is>
          <t>High</t>
        </is>
      </c>
      <c r="E37" s="46" t="inlineStr">
        <is>
          <t>A captured refund visible to the merchant</t>
        </is>
      </c>
      <c r="F37" s="46" t="inlineStr">
        <is>
          <t>1. Read every merchant-facing string and figure associated with the refund</t>
        </is>
      </c>
      <c r="G37" s="46" t="inlineStr">
        <is>
          <t>No copy, label, total or figure implies the refund has been deducted from the merchant's balance or from what they are owed today, because it has not been</t>
        </is>
      </c>
      <c r="H37" s="47" t="inlineStr">
        <is>
          <t>Not Tested</t>
        </is>
      </c>
      <c r="I37" s="47" t="inlineStr">
        <is>
          <t>Usability</t>
        </is>
      </c>
    </row>
    <row r="38" ht="36" customHeight="1">
      <c r="A38" s="46" t="inlineStr">
        <is>
          <t>Observability</t>
        </is>
      </c>
      <c r="B38" s="47" t="inlineStr">
        <is>
          <t>TC-Refund-37</t>
        </is>
      </c>
      <c r="C38" s="46" t="inlineStr">
        <is>
          <t>Refund Observability Metrics Are Emitted</t>
        </is>
      </c>
      <c r="D38" s="47" t="inlineStr">
        <is>
          <t>Medium</t>
        </is>
      </c>
      <c r="E38" s="46" t="inlineStr">
        <is>
          <t>Monitoring accessible</t>
        </is>
      </c>
      <c r="F38" s="46" t="inlineStr">
        <is>
          <t>1. Capture refunds, park one and trigger a cap breach
2. Inspect the emitted metrics</t>
        </is>
      </c>
      <c r="G38" s="46" t="inlineStr">
        <is>
          <t>Metrics cover refunds captured per merchant per day, exposure total and trend, parked-refund count and age, and cap breaches</t>
        </is>
      </c>
      <c r="H38" s="47" t="inlineStr">
        <is>
          <t>Not Tested</t>
        </is>
      </c>
      <c r="I38" s="47" t="inlineStr">
        <is>
          <t>Observability</t>
        </is>
      </c>
    </row>
    <row r="39" ht="36" customHeight="1">
      <c r="A39" s="46" t="inlineStr">
        <is>
          <t>Integrity</t>
        </is>
      </c>
      <c r="B39" s="47" t="inlineStr">
        <is>
          <t>TC-Refund-38</t>
        </is>
      </c>
      <c r="C39" s="46" t="inlineStr">
        <is>
          <t>Cumulative Cap Holds Under Concurrent Partial Refunds</t>
        </is>
      </c>
      <c r="D39" s="47" t="inlineStr">
        <is>
          <t>High</t>
        </is>
      </c>
      <c r="E39" s="46" t="inlineStr">
        <is>
          <t>An original sale with capacity for further partial refunds</t>
        </is>
      </c>
      <c r="F39" s="46" t="inlineStr">
        <is>
          <t>1. Submit several partial refunds concurrently whose combined total exceeds the original gross
2. Inspect which were admitted</t>
        </is>
      </c>
      <c r="G39" s="46" t="inlineStr">
        <is>
          <t>The database-level constraint, not application logic alone, admits only the refunds that keep the running total at or below the original gross; a race cannot inflate the exposure figure</t>
        </is>
      </c>
      <c r="H39" s="47" t="inlineStr">
        <is>
          <t>Not Tested</t>
        </is>
      </c>
      <c r="I39" s="47" t="inlineStr">
        <is>
          <t>Integration</t>
        </is>
      </c>
    </row>
    <row r="40" ht="36" customHeight="1">
      <c r="A40" s="46" t="inlineStr">
        <is>
          <t>Open Question</t>
        </is>
      </c>
      <c r="B40" s="47" t="inlineStr">
        <is>
          <t>TC-Refund-39</t>
        </is>
      </c>
      <c r="C40" s="46" t="inlineStr">
        <is>
          <t>Refund Against a Pre-Settlement Original - Behaviour to Be Confirmed</t>
        </is>
      </c>
      <c r="D40" s="47" t="inlineStr">
        <is>
          <t>Medium</t>
        </is>
      </c>
      <c r="E40" s="46" t="inlineStr">
        <is>
          <t>An original captured but not yet settled</t>
        </is>
      </c>
      <c r="F40" s="46" t="inlineStr">
        <is>
          <t>1. Capture a REFUND against the pre-settlement original
2. Record the actual behaviour</t>
        </is>
      </c>
      <c r="G40" s="46" t="inlineStr">
        <is>
          <t>Current EMI-5918 acceptance criteria do not restrict refunds to settled originals; TC-Refund-34 expects capture with an Ops flag. An earlier suite expected rejection with USE_VOID. Confirm with Product which is correct, then keep one and retire the other</t>
        </is>
      </c>
      <c r="H40" s="47" t="inlineStr">
        <is>
          <t>Not Tested</t>
        </is>
      </c>
      <c r="I40" s="47" t="inlineStr">
        <is>
          <t>Open Question</t>
        </is>
      </c>
    </row>
    <row r="41" ht="36" customHeight="1">
      <c r="A41" s="46" t="inlineStr">
        <is>
          <t>Open Question</t>
        </is>
      </c>
      <c r="B41" s="47" t="inlineStr">
        <is>
          <t>TC-Refund-40</t>
        </is>
      </c>
      <c r="C41" s="46" t="inlineStr">
        <is>
          <t>Commission on a Refunded Sale - Blocked on O43</t>
        </is>
      </c>
      <c r="D41" s="47" t="inlineStr">
        <is>
          <t>Medium</t>
        </is>
      </c>
      <c r="E41" s="46" t="inlineStr">
        <is>
          <t>A settled sale whose commission has been charged, then refunded</t>
        </is>
      </c>
      <c r="F41" s="46" t="inlineStr">
        <is>
          <t>1. Capture the refund
2. Inspect the original commission and VAT entries</t>
        </is>
      </c>
      <c r="G41" s="46" t="inlineStr">
        <is>
          <t>EMI-5918 states refund of MJD Pay commission follows O43 and is not designed. Assert only that the existing commission entries are left untouched and nothing is reversed speculatively. Re-scope this case once O43 is answered</t>
        </is>
      </c>
      <c r="H41" s="47" t="inlineStr">
        <is>
          <t>Not Tested</t>
        </is>
      </c>
      <c r="I41" s="47" t="inlineStr">
        <is>
          <t>Open Question</t>
        </is>
      </c>
    </row>
  </sheetData>
  <autoFilter ref="A1:I41"/>
  <conditionalFormatting sqref="H2:H41">
    <cfRule type="cellIs" priority="1" operator="equal" dxfId="54">
      <formula>"Passed"</formula>
    </cfRule>
    <cfRule type="cellIs" priority="2" operator="equal" dxfId="55">
      <formula>"Failed"</formula>
    </cfRule>
    <cfRule type="cellIs" priority="3" operator="equal" dxfId="56">
      <formula>"Partially Passed"</formula>
    </cfRule>
    <cfRule type="cellIs" priority="4" operator="equal" dxfId="57">
      <formula>"Not Tested"</formula>
    </cfRule>
    <cfRule type="cellIs" priority="5" operator="equal" dxfId="58">
      <formula>"Not Implemented"</formula>
    </cfRule>
    <cfRule type="cellIs" priority="6" operator="equal" dxfId="59">
      <formula>"NA"</formula>
    </cfRule>
  </conditionalFormatting>
  <dataValidations count="2">
    <dataValidation sqref="H2:H38" showDropDown="0" showInputMessage="0" showErrorMessage="0" allowBlank="1" type="list">
      <formula1>"Passed,Failed,Partially Passed,Not Tested,Not Implemented,NA"</formula1>
    </dataValidation>
    <dataValidation sqref="H2:H41" showDropDown="0" showInputMessage="0" showErrorMessage="0" allowBlank="1" type="list">
      <formula1>"Passed,Failed,Partially Passed,Not Tested,Not Implemented,NA"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0"/>
  <sheetViews>
    <sheetView showGridLines="1" workbookViewId="0">
      <pane ySplit="1" topLeftCell="A2" activePane="bottomLeft" state="frozen"/>
      <selection pane="bottomLeft" activeCell="B1" sqref="B1:B1048576"/>
    </sheetView>
  </sheetViews>
  <sheetFormatPr baseColWidth="8" defaultRowHeight="14.4"/>
  <cols>
    <col width="20" customWidth="1" min="1" max="1"/>
    <col width="18" customWidth="1" min="2" max="2"/>
    <col width="36" customWidth="1" min="3" max="3"/>
    <col width="14" customWidth="1" min="4" max="4"/>
    <col width="38" customWidth="1" min="5" max="5"/>
    <col width="45" customWidth="1" min="6" max="7"/>
    <col width="45" customWidth="1" min="7" max="7"/>
    <col width="18" customWidth="1" min="8" max="8"/>
    <col width="20" customWidth="1" min="9" max="9"/>
  </cols>
  <sheetData>
    <row r="1" ht="28.05" customHeight="1" thickBot="1">
      <c r="A1" s="34" t="inlineStr">
        <is>
          <t>Subtopic / Category</t>
        </is>
      </c>
      <c r="B1" s="34" t="inlineStr">
        <is>
          <t>TC ID</t>
        </is>
      </c>
      <c r="C1" s="34" t="inlineStr">
        <is>
          <t>Title</t>
        </is>
      </c>
      <c r="D1" s="34" t="inlineStr">
        <is>
          <t>Priority</t>
        </is>
      </c>
      <c r="E1" s="34" t="inlineStr">
        <is>
          <t>Preconditions</t>
        </is>
      </c>
      <c r="F1" s="34" t="inlineStr">
        <is>
          <t>Steps</t>
        </is>
      </c>
      <c r="G1" s="34" t="inlineStr">
        <is>
          <t>Expected Result</t>
        </is>
      </c>
      <c r="H1" s="34" t="inlineStr">
        <is>
          <t>Status</t>
        </is>
      </c>
      <c r="I1" s="34" t="inlineStr">
        <is>
          <t>Test Type</t>
        </is>
      </c>
    </row>
    <row r="2" ht="36" customHeight="1">
      <c r="A2" s="46" t="inlineStr">
        <is>
          <t>Functional</t>
        </is>
      </c>
      <c r="B2" s="47" t="inlineStr">
        <is>
          <t>TC-Void-01</t>
        </is>
      </c>
      <c r="C2" s="46" t="inlineStr">
        <is>
          <t>Void transaction before settlement</t>
        </is>
      </c>
      <c r="D2" s="47" t="inlineStr">
        <is>
          <t>High</t>
        </is>
      </c>
      <c r="E2" s="46" t="inlineStr">
        <is>
          <t>Original sale is AWAITING_SETTLEMENT with merchant, commission, and VAT pending entries</t>
        </is>
      </c>
      <c r="F2" s="46" t="inlineStr">
        <is>
          <t>1. Send a valid same-batch void for the original transaction.
2. Process the void callback.
3. Retrieve transaction and wallet/batch records.</t>
        </is>
      </c>
      <c r="G2" s="46" t="inlineStr">
        <is>
          <t>Original transaction status becomes CANCELLED. Merchant pending amount is reversed. Commission pending amount is reversed. VAT pending amount is reversed. No money movement occurs. Transaction is excluded from batch settlement expectations.</t>
        </is>
      </c>
      <c r="H2" s="47" t="inlineStr">
        <is>
          <t>NA</t>
        </is>
      </c>
      <c r="I2" s="47" t="inlineStr">
        <is>
          <t>Functional</t>
        </is>
      </c>
    </row>
    <row r="3" ht="36" customHeight="1">
      <c r="A3" s="46" t="inlineStr">
        <is>
          <t>Validation</t>
        </is>
      </c>
      <c r="B3" s="47" t="inlineStr">
        <is>
          <t>TC-Void-02</t>
        </is>
      </c>
      <c r="C3" s="46" t="inlineStr">
        <is>
          <t>Verify cancellation uses append-only reversal entries</t>
        </is>
      </c>
      <c r="D3" s="47" t="inlineStr">
        <is>
          <t>High</t>
        </is>
      </c>
      <c r="E3" s="46" t="inlineStr">
        <is>
          <t>Original transaction is AWAITING_SETTLEMENT</t>
        </is>
      </c>
      <c r="F3" s="46" t="inlineStr">
        <is>
          <t>1. Capture the original pending ledger entries.
2. Process a valid void/reversal.
3. Compare ledger records before and after cancellation.</t>
        </is>
      </c>
      <c r="G3" s="46" t="inlineStr">
        <is>
          <t>Original ledger entries remain unchanged. New reversal entries are appended for the merchant, commission, and VAT amounts. No existing ledger entry is updated or deleted.</t>
        </is>
      </c>
      <c r="H3" s="47" t="inlineStr">
        <is>
          <t>NA</t>
        </is>
      </c>
      <c r="I3" s="47" t="inlineStr">
        <is>
          <t>Negative</t>
        </is>
      </c>
    </row>
    <row r="4" ht="36" customHeight="1">
      <c r="A4" s="46" t="inlineStr">
        <is>
          <t>Validation</t>
        </is>
      </c>
      <c r="B4" s="47" t="inlineStr">
        <is>
          <t>TC-Void-03</t>
        </is>
      </c>
      <c r="C4" s="46" t="inlineStr">
        <is>
          <t>Void/Reversal after settlement</t>
        </is>
      </c>
      <c r="D4" s="47" t="inlineStr">
        <is>
          <t>High</t>
        </is>
      </c>
      <c r="E4" s="46" t="inlineStr">
        <is>
          <t>Original transaction has already been settled</t>
        </is>
      </c>
      <c r="F4" s="46" t="inlineStr">
        <is>
          <t>1. Send a void or technical reversal for the settled transaction.
2. Process the request.
3. Check for an audit/log record of the rejection.</t>
        </is>
      </c>
      <c r="G4" s="46" t="inlineStr">
        <is>
          <t>Request returns 200 with a rejected result. Rejection reason is USE_REFUND. Original settled transaction remains unchanged. No reversal/pending-entry cancellation is created. Rejection is captured in the audit log.</t>
        </is>
      </c>
      <c r="H4" s="47" t="inlineStr">
        <is>
          <t>NA</t>
        </is>
      </c>
      <c r="I4" s="47" t="inlineStr">
        <is>
          <t>Negative</t>
        </is>
      </c>
    </row>
    <row r="5" ht="36" customHeight="1">
      <c r="A5" s="46" t="inlineStr">
        <is>
          <t>Validation</t>
        </is>
      </c>
      <c r="B5" s="47" t="inlineStr">
        <is>
          <t>TC-Void-04</t>
        </is>
      </c>
      <c r="C5" s="46" t="inlineStr">
        <is>
          <t>Void transaction in an invalid lifecycle state</t>
        </is>
      </c>
      <c r="D5" s="47" t="inlineStr">
        <is>
          <t>High</t>
        </is>
      </c>
      <c r="E5" s="46" t="inlineStr">
        <is>
          <t>Original transaction is in a state other than AWAITING_SETTLEMENT or CANCELLED — e.g. PENDING_AUTH/INITIATED (not yet booked) or DECLINED</t>
        </is>
      </c>
      <c r="F5" s="46" t="inlineStr">
        <is>
          <t>1. Send a void request against a transaction in each listed state.
2. Process the request.</t>
        </is>
      </c>
      <c r="G5" s="46" t="inlineStr">
        <is>
          <t>Void is rejected according to lifecycle rules for that state. No pending balance is incorrectly released. No cancellation entries are created.</t>
        </is>
      </c>
      <c r="H5" s="47" t="inlineStr">
        <is>
          <t>NA</t>
        </is>
      </c>
      <c r="I5" s="47" t="inlineStr">
        <is>
          <t>Negative</t>
        </is>
      </c>
    </row>
    <row r="6" ht="36" customHeight="1">
      <c r="A6" s="46" t="inlineStr">
        <is>
          <t>Routing</t>
        </is>
      </c>
      <c r="B6" s="47" t="inlineStr">
        <is>
          <t>TC-Void-05</t>
        </is>
      </c>
      <c r="C6" s="46" t="inlineStr">
        <is>
          <t>Reversal received before original (valid reference)</t>
        </is>
      </c>
      <c r="D6" s="47" t="inlineStr">
        <is>
          <t>High</t>
        </is>
      </c>
      <c r="E6" s="46" t="inlineStr">
        <is>
          <t>No original transaction exists yet when the reversal is received; reference format is valid and will eventually match a real transaction</t>
        </is>
      </c>
      <c r="F6" s="46" t="inlineStr">
        <is>
          <t>1. Send technical reversal with a valid transaction reference.
2. Verify ingestion/parking record.
3. Verify transaction state during the parking period.</t>
        </is>
      </c>
      <c r="G6" s="46" t="inlineStr">
        <is>
          <t>Reversal is accepted and parked for up to 48 hours. No wallet/ledger cancellation is performed because the original transaction does not yet exist. No erroneous money movement occurs.</t>
        </is>
      </c>
      <c r="H6" s="47" t="inlineStr">
        <is>
          <t>NA</t>
        </is>
      </c>
      <c r="I6" s="47" t="inlineStr">
        <is>
          <t>Functional</t>
        </is>
      </c>
    </row>
    <row r="7" ht="36" customHeight="1">
      <c r="A7" s="46" t="inlineStr">
        <is>
          <t>Validation</t>
        </is>
      </c>
      <c r="B7" s="47" t="inlineStr">
        <is>
          <t>TC-Void-06</t>
        </is>
      </c>
      <c r="C7" s="46" t="inlineStr">
        <is>
          <t>Reversal/void with an invalid or malformed transaction reference</t>
        </is>
      </c>
      <c r="D7" s="47" t="inlineStr">
        <is>
          <t>High</t>
        </is>
      </c>
      <c r="E7" s="46" t="inlineStr">
        <is>
          <t>Reversal/void payload references a transaction ID that is structurally invalid or can never resolve to a real transaction</t>
        </is>
      </c>
      <c r="F7" s="46" t="inlineStr">
        <is>
          <t>1. Send technical reversal/void with a malformed or non-existent reference.
2. Process the request.</t>
        </is>
      </c>
      <c r="G7" s="46" t="inlineStr">
        <is>
          <t>Request is rejected at ingestion/validation with an explicit error. It is NOT parked — an invalid reference can never be matched to an original. No parking record, wallet entry, or ledger entry is created.</t>
        </is>
      </c>
      <c r="H7" s="47" t="inlineStr">
        <is>
          <t>NA</t>
        </is>
      </c>
      <c r="I7" s="47" t="inlineStr">
        <is>
          <t>Negative</t>
        </is>
      </c>
    </row>
    <row r="8" ht="36" customHeight="1">
      <c r="A8" s="46" t="inlineStr">
        <is>
          <t>Routing</t>
        </is>
      </c>
      <c r="B8" s="47" t="inlineStr">
        <is>
          <t>TC-Void-07</t>
        </is>
      </c>
      <c r="C8" s="46" t="inlineStr">
        <is>
          <t>Reversal received before original, then original arrives</t>
        </is>
      </c>
      <c r="D8" s="47" t="inlineStr">
        <is>
          <t>Critical</t>
        </is>
      </c>
      <c r="E8" s="46" t="inlineStr">
        <is>
          <t>Reversal is parked and still within 48-hour window</t>
        </is>
      </c>
      <c r="F8" s="46" t="inlineStr">
        <is>
          <t>1. Submit technical reversal.
2. Submit the matching original transaction before the parking window expires.
3. Process the parked reversal.</t>
        </is>
      </c>
      <c r="G8" s="46" t="inlineStr">
        <is>
          <t>Parked reversal is matched to the original. Original is cancelled according to the pre-settlement cancellation rules. Pending merchant, commission, and VAT amounts are reversed through append-only entries. Transaction is excluded from settlement expectations.</t>
        </is>
      </c>
      <c r="H8" s="47" t="inlineStr">
        <is>
          <t>NA</t>
        </is>
      </c>
      <c r="I8" s="47" t="inlineStr">
        <is>
          <t>Functional</t>
        </is>
      </c>
    </row>
    <row r="9" ht="36" customHeight="1">
      <c r="A9" s="46" t="inlineStr">
        <is>
          <t>Routing</t>
        </is>
      </c>
      <c r="B9" s="47" t="inlineStr">
        <is>
          <t>TC-Void-08</t>
        </is>
      </c>
      <c r="C9" s="46" t="inlineStr">
        <is>
          <t>Reversal received before original and original never arrives</t>
        </is>
      </c>
      <c r="D9" s="47" t="inlineStr">
        <is>
          <t>High</t>
        </is>
      </c>
      <c r="E9" s="46" t="inlineStr">
        <is>
          <t>Reversal is parked</t>
        </is>
      </c>
      <c r="F9" s="46" t="inlineStr">
        <is>
          <t>1. Submit technical reversal.
2. Do not submit the original transaction.
3. Advance/process beyond the 48-hour parking window.</t>
        </is>
      </c>
      <c r="G9" s="46" t="inlineStr">
        <is>
          <t>Parked reversal is closed as a no-op. No wallet/ledger entry is created. No transaction is created or cancelled. No money movement occurs. Audit entry retained.</t>
        </is>
      </c>
      <c r="H9" s="47" t="inlineStr">
        <is>
          <t>NA</t>
        </is>
      </c>
      <c r="I9" s="47" t="inlineStr">
        <is>
          <t>Functional</t>
        </is>
      </c>
    </row>
    <row r="10" ht="36" customHeight="1">
      <c r="A10" s="46" t="inlineStr">
        <is>
          <t>Routing</t>
        </is>
      </c>
      <c r="B10" s="47" t="inlineStr">
        <is>
          <t>TC-Void-09</t>
        </is>
      </c>
      <c r="C10" s="46" t="inlineStr">
        <is>
          <t>Parking window boundary — original arrives right at the 48h edge</t>
        </is>
      </c>
      <c r="D10" s="47" t="inlineStr">
        <is>
          <t>High</t>
        </is>
      </c>
      <c r="E10" s="46" t="inlineStr">
        <is>
          <t>Reversal is parked; test harness/clock can control elapsed time precisely</t>
        </is>
      </c>
      <c r="F10" s="46" t="inlineStr">
        <is>
          <t>1. Submit technical reversal.
2. Submit the original at 47h59m — verify it still matches.
3. Repeat with a fresh reversal; submit the original at 48h01m — verify the window has already closed and it does not match.</t>
        </is>
      </c>
      <c r="G10" s="46" t="inlineStr">
        <is>
          <t>Original arriving before the 48h boundary matches and triggers cancellation per AC3. Original arriving after the boundary does not match; the reversal has already closed as no-op and the late original processes as a normal (non-reversed) transaction.</t>
        </is>
      </c>
      <c r="H10" s="47" t="inlineStr">
        <is>
          <t>NA</t>
        </is>
      </c>
      <c r="I10" s="47" t="inlineStr">
        <is>
          <t>Edge / Boundary</t>
        </is>
      </c>
    </row>
    <row r="11" ht="36" customHeight="1">
      <c r="A11" s="46" t="inlineStr">
        <is>
          <t>Idempotency</t>
        </is>
      </c>
      <c r="B11" s="47" t="inlineStr">
        <is>
          <t>TC-Void-10</t>
        </is>
      </c>
      <c r="C11" s="46" t="inlineStr">
        <is>
          <t>Duplicate void or technical reversal</t>
        </is>
      </c>
      <c r="D11" s="47" t="inlineStr">
        <is>
          <t>Critical</t>
        </is>
      </c>
      <c r="E11" s="46" t="inlineStr">
        <is>
          <t>Original transaction is AWAITING_SETTLEMENT</t>
        </is>
      </c>
      <c r="F11" s="46" t="inlineStr">
        <is>
          <t>1. Submit a valid void/reversal.
2. Process it successfully.
3. Submit the same void/reversal again using the same idempotency/reference information.</t>
        </is>
      </c>
      <c r="G11" s="46" t="inlineStr">
        <is>
          <t>First request cancels the transaction. Second request is handled idempotently. No second cancellation occurs. No duplicate reversal entries are created. Final status remains CANCELLED.</t>
        </is>
      </c>
      <c r="H11" s="47" t="inlineStr">
        <is>
          <t>NA</t>
        </is>
      </c>
      <c r="I11" s="47" t="inlineStr">
        <is>
          <t>Integration</t>
        </is>
      </c>
    </row>
    <row r="12" ht="36" customHeight="1">
      <c r="A12" s="46" t="inlineStr">
        <is>
          <t>Functional</t>
        </is>
      </c>
      <c r="B12" s="47" t="inlineStr">
        <is>
          <t>TC-Void-11</t>
        </is>
      </c>
      <c r="C12" s="46" t="inlineStr">
        <is>
          <t>Wallet-payment technical reversal</t>
        </is>
      </c>
      <c r="D12" s="47" t="inlineStr">
        <is>
          <t>Critical</t>
        </is>
      </c>
      <c r="E12" s="46" t="inlineStr">
        <is>
          <t>Wallet payment transaction is in the applicable pre-settlement lifecycle state</t>
        </is>
      </c>
      <c r="F12" s="46" t="inlineStr">
        <is>
          <t>1. Create/process a wallet payment.
2. Trigger a technical reversal.
3. Verify transaction and wallet lifecycle states.</t>
        </is>
      </c>
      <c r="G12" s="46" t="inlineStr">
        <is>
          <t>Lifecycle failure release is executed. Merchant/customer/related wallet state returns to the defined starting state per Transaction-Lifecycle-Contract Example E. Reserved/pending amounts are released. No residual financial impact remains.</t>
        </is>
      </c>
      <c r="H12" s="47" t="inlineStr">
        <is>
          <t>NA</t>
        </is>
      </c>
      <c r="I12" s="47" t="inlineStr">
        <is>
          <t>Negative</t>
        </is>
      </c>
    </row>
    <row r="13" ht="36" customHeight="1">
      <c r="A13" s="46" t="inlineStr">
        <is>
          <t>Functional</t>
        </is>
      </c>
      <c r="B13" s="47" t="inlineStr">
        <is>
          <t>TC-Void-12</t>
        </is>
      </c>
      <c r="C13" s="46" t="inlineStr">
        <is>
          <t>Cancellation removes transaction from batch expectations</t>
        </is>
      </c>
      <c r="D13" s="47" t="inlineStr">
        <is>
          <t>Critical</t>
        </is>
      </c>
      <c r="E13" s="46" t="inlineStr">
        <is>
          <t>Transaction is included in the current unsettled batch</t>
        </is>
      </c>
      <c r="F13" s="46" t="inlineStr">
        <is>
          <t>1. Confirm transaction contributes to batch expectations.
2. Process a valid pre-settlement void/reversal.
3. Recalculate/retrieve batch totals.</t>
        </is>
      </c>
      <c r="G13" s="46" t="inlineStr">
        <is>
          <t>Transaction is marked CANCELLED. It is excluded from expected settlement totals. Merchant, commission, and VAT pending totals are adjusted accordingly. No cancelled amount is settled.</t>
        </is>
      </c>
      <c r="H13" s="47" t="inlineStr">
        <is>
          <t>NA</t>
        </is>
      </c>
      <c r="I13" s="47" t="inlineStr">
        <is>
          <t>Functional</t>
        </is>
      </c>
    </row>
    <row r="14" ht="36" customHeight="1">
      <c r="A14" s="46" t="inlineStr">
        <is>
          <t>Race Condition</t>
        </is>
      </c>
      <c r="B14" s="47" t="inlineStr">
        <is>
          <t>TC-Void-13</t>
        </is>
      </c>
      <c r="C14" s="46" t="inlineStr">
        <is>
          <t>Reversal arrives just before settlement</t>
        </is>
      </c>
      <c r="D14" s="47" t="inlineStr">
        <is>
          <t>Critical</t>
        </is>
      </c>
      <c r="E14" s="46" t="inlineStr">
        <is>
          <t>Original transaction is AWAITING_SETTLEMENT and eligible for cancellation</t>
        </is>
      </c>
      <c r="F14" s="46" t="inlineStr">
        <is>
          <t>1. Submit reversal immediately before settlement processing.
2. Process both events according to their arrival/order.
3. Verify final transaction and ledger state.</t>
        </is>
      </c>
      <c r="G14" s="46" t="inlineStr">
        <is>
          <t>System maintains a consistent final state. Transaction must not result in both settlement and cancellation financial effects. Only one valid lifecycle transition is applied. No double debit/credit occurs.</t>
        </is>
      </c>
      <c r="H14" s="47" t="inlineStr">
        <is>
          <t>NA</t>
        </is>
      </c>
      <c r="I14" s="47" t="inlineStr">
        <is>
          <t>Functional</t>
        </is>
      </c>
    </row>
    <row r="15" ht="36" customHeight="1">
      <c r="A15" s="46" t="inlineStr">
        <is>
          <t>Idempotency</t>
        </is>
      </c>
      <c r="B15" s="47" t="inlineStr">
        <is>
          <t>TC-Void-14</t>
        </is>
      </c>
      <c r="C15" s="46" t="inlineStr">
        <is>
          <t>Multiple duplicate reversals during parking</t>
        </is>
      </c>
      <c r="D15" s="47" t="inlineStr">
        <is>
          <t>High</t>
        </is>
      </c>
      <c r="E15" s="46" t="inlineStr">
        <is>
          <t>Original transaction does not yet exist</t>
        </is>
      </c>
      <c r="F15" s="46" t="inlineStr">
        <is>
          <t>1. Submit the same reversal multiple times before original arrival.
2. Verify parking records.
3. Allow the parking process to complete without an original.</t>
        </is>
      </c>
      <c r="G15" s="46" t="inlineStr">
        <is>
          <t>Reversal remains idempotent. Only one logical parked reversal exists/controls processing. After 48 hours, it closes as one no-op. No financial entries are generated.</t>
        </is>
      </c>
      <c r="H15" s="47" t="inlineStr">
        <is>
          <t>NA</t>
        </is>
      </c>
      <c r="I15" s="47" t="inlineStr">
        <is>
          <t>Integration</t>
        </is>
      </c>
    </row>
    <row r="16" ht="36" customHeight="1">
      <c r="A16" s="46" t="inlineStr">
        <is>
          <t>Concurrency</t>
        </is>
      </c>
      <c r="B16" s="47" t="inlineStr">
        <is>
          <t>TC-Void-15</t>
        </is>
      </c>
      <c r="C16" s="46" t="inlineStr">
        <is>
          <t>Concurrent void/reversal requests</t>
        </is>
      </c>
      <c r="D16" s="47" t="inlineStr">
        <is>
          <t>Critical</t>
        </is>
      </c>
      <c r="E16" s="46" t="inlineStr">
        <is>
          <t>Original transaction is AWAITING_SETTLEMENT</t>
        </is>
      </c>
      <c r="F16" s="46" t="inlineStr">
        <is>
          <t>1. Submit void and technical reversal concurrently for the same transaction.
2. Process both requests.</t>
        </is>
      </c>
      <c r="G16" s="46" t="inlineStr">
        <is>
          <t>Only one cancellation takes financial effect. Transaction ends in CANCELLED. No duplicate reversal entries are generated. Pending amounts are released exactly once. Batch totals remain correct.</t>
        </is>
      </c>
      <c r="H16" s="47" t="inlineStr">
        <is>
          <t>NA</t>
        </is>
      </c>
      <c r="I16" s="47" t="inlineStr">
        <is>
          <t>Integration</t>
        </is>
      </c>
    </row>
    <row r="17" ht="36" customHeight="1">
      <c r="A17" s="46" t="inlineStr">
        <is>
          <t>Audit</t>
        </is>
      </c>
      <c r="B17" s="47" t="inlineStr">
        <is>
          <t>TC-Void-16</t>
        </is>
      </c>
      <c r="C17" s="46" t="inlineStr">
        <is>
          <t>Verify no money movement after cancellation</t>
        </is>
      </c>
      <c r="D17" s="47" t="inlineStr">
        <is>
          <t>Critical</t>
        </is>
      </c>
      <c r="E17" s="46" t="inlineStr">
        <is>
          <t>Original transaction is AWAITING_SETTLEMENT</t>
        </is>
      </c>
      <c r="F17" s="46" t="inlineStr">
        <is>
          <t>1. Record wallet balances before cancellation.
2. Process void/reversal.
3. Compare balances and ledger entries.</t>
        </is>
      </c>
      <c r="G17" s="46" t="inlineStr">
        <is>
          <t>Cancellation only reverses pending/reserved amounts. No unintended debit/credit is posted as a new money movement. Final available balance matches the expected pre-transaction state.</t>
        </is>
      </c>
      <c r="H17" s="47" t="inlineStr">
        <is>
          <t>NA</t>
        </is>
      </c>
      <c r="I17" s="47" t="inlineStr">
        <is>
          <t>Security</t>
        </is>
      </c>
    </row>
    <row r="18" ht="36" customHeight="1">
      <c r="A18" s="46" t="inlineStr">
        <is>
          <t>Idempotency</t>
        </is>
      </c>
      <c r="B18" s="47" t="inlineStr">
        <is>
          <t>TC-Void-17</t>
        </is>
      </c>
      <c r="C18" s="46" t="inlineStr">
        <is>
          <t>Callback replay after successful cancellation</t>
        </is>
      </c>
      <c r="D18" s="47" t="inlineStr">
        <is>
          <t>High</t>
        </is>
      </c>
      <c r="E18" s="46" t="inlineStr">
        <is>
          <t>Transaction has already been cancelled</t>
        </is>
      </c>
      <c r="F18" s="46" t="inlineStr">
        <is>
          <t>1. Replay the original void/reversal callback.
2. Process the callback multiple times.</t>
        </is>
      </c>
      <c r="G18" s="46" t="inlineStr">
        <is>
          <t>Callback processing is idempotent. Status remains CANCELLED. No additional ledger entries or batch adjustments are generated.</t>
        </is>
      </c>
      <c r="H18" s="47" t="inlineStr">
        <is>
          <t>NA</t>
        </is>
      </c>
      <c r="I18" s="47" t="inlineStr">
        <is>
          <t>Integration</t>
        </is>
      </c>
    </row>
    <row r="19" ht="36" customHeight="1">
      <c r="A19" s="46" t="inlineStr">
        <is>
          <t>Reliability</t>
        </is>
      </c>
      <c r="B19" s="47" t="inlineStr">
        <is>
          <t>TC-Void-18</t>
        </is>
      </c>
      <c r="C19" s="46" t="inlineStr">
        <is>
          <t>Ledger persistence failure</t>
        </is>
      </c>
      <c r="D19" s="47" t="inlineStr">
        <is>
          <t>Critical</t>
        </is>
      </c>
      <c r="E19" s="46" t="inlineStr">
        <is>
          <t>Original transaction is AWAITING_SETTLEMENT</t>
        </is>
      </c>
      <c r="F19" s="46" t="inlineStr">
        <is>
          <t>1. Send a valid void.
2. Simulate DB failure during reversal entry write.
3. Check transaction status and ledger entries.</t>
        </is>
      </c>
      <c r="G19" s="46" t="inlineStr">
        <is>
          <t>Transaction remains AWAITING_SETTLEMENT (or a defined error state). No partial cancellation allowed. System triggers retry or alerts Ops without corrupting financial state.</t>
        </is>
      </c>
      <c r="H19" s="47" t="inlineStr">
        <is>
          <t>NA</t>
        </is>
      </c>
      <c r="I19" s="47" t="inlineStr">
        <is>
          <t>Negative</t>
        </is>
      </c>
    </row>
    <row r="20" ht="36" customHeight="1">
      <c r="A20" s="46" t="inlineStr">
        <is>
          <t>Validation</t>
        </is>
      </c>
      <c r="B20" s="47" t="inlineStr">
        <is>
          <t>TC-Void-19</t>
        </is>
      </c>
      <c r="C20" s="46" t="inlineStr">
        <is>
          <t>Partial void / partial-amount reversal request</t>
        </is>
      </c>
      <c r="D20" s="47" t="inlineStr">
        <is>
          <t>High</t>
        </is>
      </c>
      <c r="E20" s="46" t="inlineStr">
        <is>
          <t>Original sale is AWAITING_SETTLEMENT for full amount X</t>
        </is>
      </c>
      <c r="F20" s="46" t="inlineStr">
        <is>
          <t>1. Send a void/reversal request specifying an amount less than the original transaction total.
2. Process the request.</t>
        </is>
      </c>
      <c r="G20" s="46" t="inlineStr">
        <is>
          <t>Behavior is undefined in this ticket's AC/T01–T04. Expected until confirmed: request is rejected outright (full-amount-only same-batch void). No partial cancellation entries are created until behavior is confirmed with the story owner.</t>
        </is>
      </c>
      <c r="H20" s="47" t="inlineStr">
        <is>
          <t>NA</t>
        </is>
      </c>
      <c r="I20" s="47" t="inlineStr">
        <is>
          <t>Negative</t>
        </is>
      </c>
    </row>
  </sheetData>
  <autoFilter ref="A1:I20"/>
  <conditionalFormatting sqref="H2:H20">
    <cfRule type="cellIs" priority="7" operator="equal" dxfId="54">
      <formula>"Passed"</formula>
    </cfRule>
    <cfRule type="cellIs" priority="8" operator="equal" dxfId="55">
      <formula>"Failed"</formula>
    </cfRule>
    <cfRule type="cellIs" priority="9" operator="equal" dxfId="56">
      <formula>"Partially Passed"</formula>
    </cfRule>
    <cfRule type="cellIs" priority="10" operator="equal" dxfId="57">
      <formula>"Not Tested"</formula>
    </cfRule>
    <cfRule type="cellIs" priority="11" operator="equal" dxfId="58">
      <formula>"Not Implemented"</formula>
    </cfRule>
    <cfRule type="cellIs" priority="12" operator="equal" dxfId="59">
      <formula>"NA"</formula>
    </cfRule>
  </conditionalFormatting>
  <dataValidations count="2">
    <dataValidation sqref="H2:H52" showDropDown="0" showInputMessage="0" showErrorMessage="0" allowBlank="1" errorTitle="Invalid Status" error="Your entry is not in the allowed list of statuses" promptTitle="Test Status" prompt="Select execution status" type="list">
      <formula1>"Passed,Failed,Partially Passed,Not Tested,Not Implemented,NA"</formula1>
    </dataValidation>
    <dataValidation sqref="H2:H20" showDropDown="0" showInputMessage="0" showErrorMessage="0" allowBlank="1" type="list">
      <formula1>"Passed,Failed,Partially Passed,Not Tested,Not Implemented,NA"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2"/>
  <sheetViews>
    <sheetView showGridLines="1" workbookViewId="0">
      <pane ySplit="1" topLeftCell="A2" activePane="bottomLeft" state="frozen"/>
      <selection pane="bottomLeft" activeCell="B1" sqref="B1:B1048576"/>
    </sheetView>
  </sheetViews>
  <sheetFormatPr baseColWidth="8" defaultRowHeight="14.4"/>
  <cols>
    <col width="20" customWidth="1" min="1" max="1"/>
    <col width="18" customWidth="1" min="2" max="2"/>
    <col width="36" customWidth="1" min="3" max="3"/>
    <col width="14" customWidth="1" min="4" max="4"/>
    <col width="38" customWidth="1" min="5" max="5"/>
    <col width="45" customWidth="1" min="6" max="7"/>
    <col width="45" customWidth="1" min="7" max="7"/>
    <col width="18" customWidth="1" min="8" max="8"/>
    <col width="20" customWidth="1" min="9" max="9"/>
  </cols>
  <sheetData>
    <row r="1" ht="28.05" customHeight="1" thickBot="1">
      <c r="A1" s="34" t="inlineStr">
        <is>
          <t>Subtopic / Category</t>
        </is>
      </c>
      <c r="B1" s="34" t="inlineStr">
        <is>
          <t>TC ID</t>
        </is>
      </c>
      <c r="C1" s="34" t="inlineStr">
        <is>
          <t>Title</t>
        </is>
      </c>
      <c r="D1" s="34" t="inlineStr">
        <is>
          <t>Priority</t>
        </is>
      </c>
      <c r="E1" s="34" t="inlineStr">
        <is>
          <t>Preconditions</t>
        </is>
      </c>
      <c r="F1" s="34" t="inlineStr">
        <is>
          <t>Steps</t>
        </is>
      </c>
      <c r="G1" s="34" t="inlineStr">
        <is>
          <t>Expected Result</t>
        </is>
      </c>
      <c r="H1" s="34" t="inlineStr">
        <is>
          <t>Status</t>
        </is>
      </c>
      <c r="I1" s="34" t="inlineStr">
        <is>
          <t>Test Type</t>
        </is>
      </c>
    </row>
    <row r="2" ht="36" customHeight="1">
      <c r="A2" s="46" t="inlineStr">
        <is>
          <t>Functional</t>
        </is>
      </c>
      <c r="B2" s="47" t="inlineStr">
        <is>
          <t>TC-Recon-01</t>
        </is>
      </c>
      <c r="C2" s="46" t="inlineStr">
        <is>
          <t>Happy Path – Full Three-Way Match (TR_SLIP)</t>
        </is>
      </c>
      <c r="D2" s="47" t="inlineStr">
        <is>
          <t>Critical</t>
        </is>
      </c>
      <c r="E2" s="46" t="inlineStr">
        <is>
          <t>Valid closed TR_SLIP; PTS rows exist; ledger records exist; a credit-statement record is present in test data whose reference exactly equals TR_SLIP (per the O19/O22 assumption that the reference survives to the credit unaltered); credit = sum of TOTAL_AMOUNT</t>
        </is>
      </c>
      <c r="F2" s="46" t="inlineStr">
        <is>
          <t>1. Run reconciliation.
2. Compare credit reference with TR_SLIP.
3. Compare credit amount with configured net total.
4. Verify ledger members via composite key.
5. Execute EOD cut-off.</t>
        </is>
      </c>
      <c r="G2" s="46" t="inlineStr">
        <is>
          <t>TR_SLIP is matched successfully across all three legs (ledger, PTS, credit). Slip marked Matched &amp; Funded. Included in EMI-5922 handoff at EOD cut-off. Note: per the story's primary risk, this full three-way outcome depends on O19/O22 being confirmed – until ANB answers, this scenario is only provable with an assumed/simulated leg-3 reference; see TC-27 for the two-way-only fallback.</t>
        </is>
      </c>
      <c r="H2" s="47" t="inlineStr">
        <is>
          <t>NA</t>
        </is>
      </c>
      <c r="I2" s="47" t="inlineStr">
        <is>
          <t>Functional</t>
        </is>
      </c>
    </row>
    <row r="3" ht="36" customHeight="1">
      <c r="A3" s="46" t="inlineStr">
        <is>
          <t>Functional</t>
        </is>
      </c>
      <c r="B3" s="47" t="inlineStr">
        <is>
          <t>TC-Recon-02</t>
        </is>
      </c>
      <c r="C3" s="46" t="inlineStr">
        <is>
          <t>Net Expected Total Calculation &amp; Gross-to-Net Bridge</t>
        </is>
      </c>
      <c r="D3" s="47" t="inlineStr">
        <is>
          <t>Critical</t>
        </is>
      </c>
      <c r="E3" s="46" t="inlineStr">
        <is>
          <t>Sample slip per ANB spec (EMI-5920 data sample): TR_SLIP=78759970, TERMINAL_ID=1653490501111111, LOCALDATE=05/06/2026, row1 AMOUNT=100.00/TR_COM=-0.40/TR_VAT=-0.21/TR_FEE=1.00... i.e. Gross=350.00, ANB deductions=4.14, TOTAL_AMOUNT sum=345.86; configured basis = Net (assumed, O23)</t>
        </is>
      </c>
      <c r="F3" s="46" t="inlineStr">
        <is>
          <t>1. Ingest slip.
2. Run reconciliation.
3. Inspect calculated totals and safeguarding report.</t>
        </is>
      </c>
      <c r="G3" s="46" t="inlineStr">
        <is>
          <t>Expected credit = 345.86. Gross, ANB deductions (TR_COM, TR_VAT, TR_FEE), and net are stored independently. Gross − ANB deductions = Net to the halalah. No MJD Pay commission is included.</t>
        </is>
      </c>
      <c r="H3" s="47" t="inlineStr">
        <is>
          <t>NA</t>
        </is>
      </c>
      <c r="I3" s="47" t="inlineStr">
        <is>
          <t>Functional</t>
        </is>
      </c>
    </row>
    <row r="4" ht="36" customHeight="1">
      <c r="A4" s="46" t="inlineStr">
        <is>
          <t>Functional</t>
        </is>
      </c>
      <c r="B4" s="47" t="inlineStr">
        <is>
          <t>TC-Recon-03</t>
        </is>
      </c>
      <c r="C4" s="46" t="inlineStr">
        <is>
          <t>Member Resolution Using Composite Key</t>
        </is>
      </c>
      <c r="D4" s="47" t="inlineStr">
        <is>
          <t>High</t>
        </is>
      </c>
      <c r="E4" s="46" t="inlineStr">
        <is>
          <t>Matching PTS row and ledger record have identical TERMINAL_ID, TR_ARF, LOCALDATE</t>
        </is>
      </c>
      <c r="F4" s="46" t="inlineStr">
        <is>
          <t>1. Run reconciliation.
2. Verify member resolution.
3. Across a batch, measure the auto-match rate.</t>
        </is>
      </c>
      <c r="G4" s="46" t="inlineStr">
        <is>
          <t>Transaction resolves automatically using the composite key (TERMINAL_ID + TR_ARF + LOCALDATE). No merchant-level decomposition or amount-based fallback is used. Auto-match rate across the batch is ≥ 99.5% (acceptance-criteria target).</t>
        </is>
      </c>
      <c r="H4" s="47" t="inlineStr">
        <is>
          <t>NA</t>
        </is>
      </c>
      <c r="I4" s="47" t="inlineStr">
        <is>
          <t>Functional</t>
        </is>
      </c>
    </row>
    <row r="5" ht="36" customHeight="1">
      <c r="A5" s="46" t="inlineStr">
        <is>
          <t>Validation</t>
        </is>
      </c>
      <c r="B5" s="47" t="inlineStr">
        <is>
          <t>TC-Recon-04</t>
        </is>
      </c>
      <c r="C5" s="46" t="inlineStr">
        <is>
          <t>Composite Key Mismatch</t>
        </is>
      </c>
      <c r="D5" s="47" t="inlineStr">
        <is>
          <t>High</t>
        </is>
      </c>
      <c r="E5" s="46" t="inlineStr">
        <is>
          <t>One component of the composite key differs between PTS and ledger</t>
        </is>
      </c>
      <c r="F5" s="46" t="inlineStr">
        <is>
          <t>1. Change TERMINAL_ID, TR_ARF, or LOCALDATE in ledger test data.
2. Run reconciliation.</t>
        </is>
      </c>
      <c r="G5" s="46" t="inlineStr">
        <is>
          <t>Transaction is not incorrectly matched. Mismatch is reported. No fuzzy/amount-based fallback occurs.</t>
        </is>
      </c>
      <c r="H5" s="47" t="inlineStr">
        <is>
          <t>NA</t>
        </is>
      </c>
      <c r="I5" s="47" t="inlineStr">
        <is>
          <t>Negative</t>
        </is>
      </c>
    </row>
    <row r="6" ht="36" customHeight="1">
      <c r="A6" s="46" t="inlineStr">
        <is>
          <t>Exception</t>
        </is>
      </c>
      <c r="B6" s="47" t="inlineStr">
        <is>
          <t>TC-Recon-05</t>
        </is>
      </c>
      <c r="C6" s="46" t="inlineStr">
        <is>
          <t>Ledger Entry Missing From PTS – E13</t>
        </is>
      </c>
      <c r="D6" s="47" t="inlineStr">
        <is>
          <t>Critical</t>
        </is>
      </c>
      <c r="E6" s="46" t="inlineStr">
        <is>
          <t>Ledger contains a transaction that does not exist in any eligible PTS slip</t>
        </is>
      </c>
      <c r="F6" s="46" t="inlineStr">
        <is>
          <t>1. Run reconciliation.
2. Keep entry unresolved.
3. Advance three working days.</t>
        </is>
      </c>
      <c r="G6" s="46" t="inlineStr">
        <is>
          <t>Entry classified as E13. Remains pending initially. After 3 working days becomes DISPUTED. Unrelated transactions continue normally. E13 rate is fed into the integrity trend (see TC-22/TC-31).</t>
        </is>
      </c>
      <c r="H6" s="47" t="inlineStr">
        <is>
          <t>NA</t>
        </is>
      </c>
      <c r="I6" s="47" t="inlineStr">
        <is>
          <t>Negative</t>
        </is>
      </c>
    </row>
    <row r="7" ht="36" customHeight="1">
      <c r="A7" s="46" t="inlineStr">
        <is>
          <t>Exception</t>
        </is>
      </c>
      <c r="B7" s="47" t="inlineStr">
        <is>
          <t>TC-Recon-06</t>
        </is>
      </c>
      <c r="C7" s="46" t="inlineStr">
        <is>
          <t>PTS Row Unresolved Against Ledger (Cross-Party Integrity Signal)</t>
        </is>
      </c>
      <c r="D7" s="47" t="inlineStr">
        <is>
          <t>High</t>
        </is>
      </c>
      <c r="E7" s="46" t="inlineStr">
        <is>
          <t>PTS contains a valid row for which no ledger/BT transaction exists</t>
        </is>
      </c>
      <c r="F7" s="46" t="inlineStr">
        <is>
          <t>1. Run member resolution.
2. Review reconciliation result.</t>
        </is>
      </c>
      <c r="G7" s="46" t="inlineStr">
        <is>
          <t>PTS row cannot be resolved to ledger via the composite key. Mismatch recorded with evidence; other rows continue; no amount-based matching attempted. Per EMI-5920 Section G, this is a cross-party integrity signal (BT layer vs PTS) rather than one of the defined match-level exception codes (E13/E15/E16/E18/E19) – the corresponding stale-entry classification is owned by EMI-5991, not this story.</t>
        </is>
      </c>
      <c r="H7" s="47" t="inlineStr">
        <is>
          <t>NA</t>
        </is>
      </c>
      <c r="I7" s="47" t="inlineStr">
        <is>
          <t>Functional</t>
        </is>
      </c>
    </row>
    <row r="8" ht="36" customHeight="1">
      <c r="A8" s="46" t="inlineStr">
        <is>
          <t>Exception</t>
        </is>
      </c>
      <c r="B8" s="47" t="inlineStr">
        <is>
          <t>TC-Recon-07</t>
        </is>
      </c>
      <c r="C8" s="46" t="inlineStr">
        <is>
          <t>Transaction Amount Mismatch Inside Slip – E15</t>
        </is>
      </c>
      <c r="D8" s="47" t="inlineStr">
        <is>
          <t>Critical</t>
        </is>
      </c>
      <c r="E8" s="46" t="inlineStr">
        <is>
          <t>TR_SLIP matches, but one PTS transaction amount differs from ledger</t>
        </is>
      </c>
      <c r="F8" s="46" t="inlineStr">
        <is>
          <t>1. Resolve transaction by composite key.
2. Compare transaction amounts.
3. Run settlement generation.</t>
        </is>
      </c>
      <c r="G8" s="46" t="inlineStr">
        <is>
          <t>E15 created for the affected row. Affected row becomes DISPUTED/excluded. Other valid rows in the same slip continue. TR_SLIP match remains valid.</t>
        </is>
      </c>
      <c r="H8" s="47" t="inlineStr">
        <is>
          <t>NA</t>
        </is>
      </c>
      <c r="I8" s="47" t="inlineStr">
        <is>
          <t>Functional</t>
        </is>
      </c>
    </row>
    <row r="9" ht="36" customHeight="1">
      <c r="A9" s="46" t="inlineStr">
        <is>
          <t>Exception</t>
        </is>
      </c>
      <c r="B9" s="47" t="inlineStr">
        <is>
          <t>TC-Recon-08</t>
        </is>
      </c>
      <c r="C9" s="46" t="inlineStr">
        <is>
          <t>Individual Credit Amount Mismatch – E16</t>
        </is>
      </c>
      <c r="D9" s="47" t="inlineStr">
        <is>
          <t>Critical</t>
        </is>
      </c>
      <c r="E9" s="46" t="inlineStr">
        <is>
          <t>Credit reference exactly matches TR_SLIP, but credit differs from expected configured total</t>
        </is>
      </c>
      <c r="F9" s="46" t="inlineStr">
        <is>
          <t>1. Run reconciliation for multiple slips (one with mismatch).
2. Compare credit with expected total.
3. Review settlement candidates.</t>
        </is>
      </c>
      <c r="G9" s="46" t="inlineStr">
        <is>
          <t>E16 created. Affected slip is Held. No settlement instruction generated. Other matched/funded slips remain eligible. No amount-based rematching.</t>
        </is>
      </c>
      <c r="H9" s="47" t="inlineStr">
        <is>
          <t>NA</t>
        </is>
      </c>
      <c r="I9" s="47" t="inlineStr">
        <is>
          <t>Functional</t>
        </is>
      </c>
    </row>
    <row r="10" ht="36" customHeight="1">
      <c r="A10" s="46" t="inlineStr">
        <is>
          <t>Exception</t>
        </is>
      </c>
      <c r="B10" s="47" t="inlineStr">
        <is>
          <t>TC-Recon-09</t>
        </is>
      </c>
      <c r="C10" s="46" t="inlineStr">
        <is>
          <t>Systemic Gross-vs-Net Mismatch – O23 Signature</t>
        </is>
      </c>
      <c r="D10" s="47" t="inlineStr">
        <is>
          <t>Critical</t>
        </is>
      </c>
      <c r="E10" s="46" t="inlineStr">
        <is>
          <t>Configured basis = Net; credit = sum of AMOUNT instead of TOTAL_AMOUNT, across multiple slips</t>
        </is>
      </c>
      <c r="F10" s="46" t="inlineStr">
        <is>
          <t>1. Process multiple slips where credit equals gross total.
2. Run reconciliation.
3. Review exception reporting.</t>
        </is>
      </c>
      <c r="G10" s="46" t="inlineStr">
        <is>
          <t>System identifies common O23 basis-mismatch signature (every failing slip off by exactly the ANB deduction amount). Reported as one systemic finding rather than individual E16 noise, per Section G's explicit instruction to recognize this on day one.</t>
        </is>
      </c>
      <c r="H10" s="47" t="inlineStr">
        <is>
          <t>NA</t>
        </is>
      </c>
      <c r="I10" s="47" t="inlineStr">
        <is>
          <t>Edge / Boundary</t>
        </is>
      </c>
    </row>
    <row r="11" ht="36" customHeight="1">
      <c r="A11" s="46" t="inlineStr">
        <is>
          <t>Exception</t>
        </is>
      </c>
      <c r="B11" s="47" t="inlineStr">
        <is>
          <t>TC-Recon-10</t>
        </is>
      </c>
      <c r="C11" s="46" t="inlineStr">
        <is>
          <t>Unmatched Credit &amp; Reference Ambiguity – E18</t>
        </is>
      </c>
      <c r="D11" s="47" t="inlineStr">
        <is>
          <t>Critical</t>
        </is>
      </c>
      <c r="E11" s="46" t="inlineStr">
        <is>
          <t>Credit reference does not exist in any eligible TR_SLIP (test truncated, prefixed/suffixed, case difference, whitespace)</t>
        </is>
      </c>
      <c r="F11" s="46" t="inlineStr">
        <is>
          <t>1. Process credits with various reference mismatches.
2. Run reconciliation.</t>
        </is>
      </c>
      <c r="G11" s="46" t="inlineStr">
        <is>
          <t>E18 created for all variations. Credit is parked. No partial, fuzzy, case-insensitive, or amount-based matching attempted. O19 raised as a live defect/integration risk (per Testing Scenario T13).</t>
        </is>
      </c>
      <c r="H11" s="47" t="inlineStr">
        <is>
          <t>NA</t>
        </is>
      </c>
      <c r="I11" s="47" t="inlineStr">
        <is>
          <t>Functional</t>
        </is>
      </c>
    </row>
    <row r="12" ht="36" customHeight="1">
      <c r="A12" s="46" t="inlineStr">
        <is>
          <t>Exception</t>
        </is>
      </c>
      <c r="B12" s="47" t="inlineStr">
        <is>
          <t>TC-Recon-11</t>
        </is>
      </c>
      <c r="C12" s="46" t="inlineStr">
        <is>
          <t>Missing Funding – E19</t>
        </is>
      </c>
      <c r="D12" s="47" t="inlineStr">
        <is>
          <t>Critical</t>
        </is>
      </c>
      <c r="E12" s="46" t="inlineStr">
        <is>
          <t>Valid closed TR_SLIP exists but no corresponding credit arrives by EOD</t>
        </is>
      </c>
      <c r="F12" s="46" t="inlineStr">
        <is>
          <t>1. Run reconciliation.
2. Reach EOD cut-off.
3. Review slip status.</t>
        </is>
      </c>
      <c r="G12" s="46" t="inlineStr">
        <is>
          <t>E19 created. Slip marked Unfunded. Alarm/report generated. No EMI-5922 instruction created. A sustained rise in E19 is escalated to Finance (funding/aggregator problem), not to the merchant.</t>
        </is>
      </c>
      <c r="H12" s="47" t="inlineStr">
        <is>
          <t>NA</t>
        </is>
      </c>
      <c r="I12" s="47" t="inlineStr">
        <is>
          <t>Negative</t>
        </is>
      </c>
    </row>
    <row r="13" ht="36" customHeight="1">
      <c r="A13" s="46" t="inlineStr">
        <is>
          <t>Idempotency</t>
        </is>
      </c>
      <c r="B13" s="47" t="inlineStr">
        <is>
          <t>TC-Recon-12</t>
        </is>
      </c>
      <c r="C13" s="46" t="inlineStr">
        <is>
          <t>Duplicate Credit / Reconciliation Re-run</t>
        </is>
      </c>
      <c r="D13" s="47" t="inlineStr">
        <is>
          <t>Critical</t>
        </is>
      </c>
      <c r="E13" s="46" t="inlineStr">
        <is>
          <t>Valid slip and matching credit exist; reconciliation previously successful</t>
        </is>
      </c>
      <c r="F13" s="46" t="inlineStr">
        <is>
          <t>1. Process first credit successfully.
2. Reprocess same credit.
3. Re-run reconciliation multiple times, including after a partial day.</t>
        </is>
      </c>
      <c r="G13" s="46" t="inlineStr">
        <is>
          <t>First credit matched normally. Repeated credit flagged as Duplicate. No duplicate match, exception, financial amount, or EMI-5922 handoff created. Idempotency composes correctly with EMI-5991 ingestion idempotency and EMI-5922 instruction idempotency.</t>
        </is>
      </c>
      <c r="H13" s="47" t="inlineStr">
        <is>
          <t>NA</t>
        </is>
      </c>
      <c r="I13" s="47" t="inlineStr">
        <is>
          <t>Integration</t>
        </is>
      </c>
    </row>
    <row r="14" ht="36" customHeight="1">
      <c r="A14" s="46" t="inlineStr">
        <is>
          <t>Compliance</t>
        </is>
      </c>
      <c r="B14" s="47" t="inlineStr">
        <is>
          <t>TC-Recon-13</t>
        </is>
      </c>
      <c r="C14" s="46" t="inlineStr">
        <is>
          <t>Matched-but-Held Transaction</t>
        </is>
      </c>
      <c r="D14" s="47" t="inlineStr">
        <is>
          <t>Critical</t>
        </is>
      </c>
      <c r="E14" s="46" t="inlineStr">
        <is>
          <t>Transaction matched/funded, but EMI-5923 marks it as compliance-held</t>
        </is>
      </c>
      <c r="F14" s="46" t="inlineStr">
        <is>
          <t>1. Run reconciliation.
2. Verify classification.
3. Review settlement set.</t>
        </is>
      </c>
      <c r="G14" s="46" t="inlineStr">
        <is>
          <t>Classified Matched-but-Held (not an exception). Excluded from releasable settlement. Held value included in safeguarding.</t>
        </is>
      </c>
      <c r="H14" s="47" t="inlineStr">
        <is>
          <t>NA</t>
        </is>
      </c>
      <c r="I14" s="47" t="inlineStr">
        <is>
          <t>Compliance</t>
        </is>
      </c>
    </row>
    <row r="15" ht="36" customHeight="1">
      <c r="A15" s="46" t="inlineStr">
        <is>
          <t>Routing</t>
        </is>
      </c>
      <c r="B15" s="47" t="inlineStr">
        <is>
          <t>TC-Recon-14</t>
        </is>
      </c>
      <c r="C15" s="46" t="inlineStr">
        <is>
          <t>Per-TID Reconciliation &amp; BASE Exclusion</t>
        </is>
      </c>
      <c r="D15" s="47" t="inlineStr">
        <is>
          <t>Critical</t>
        </is>
      </c>
      <c r="E15" s="46" t="inlineStr">
        <is>
          <t>PTS contains transactions for multiple TIDs; two share same first 8 digits (BASE); TID-A/TID-B have offsetting +10/-10 differences</t>
        </is>
      </c>
      <c r="F15" s="46" t="inlineStr">
        <is>
          <t>1. Aggregate PTS by full TERMINAL_ID.
2. Compare with device sub-ledger.
3. Review merchant vs TID results.</t>
        </is>
      </c>
      <c r="G15" s="46" t="inlineStr">
        <is>
          <t>Reconciliation occurs at TID level, directly off the PTS grain (no merchant-level decomposition step). TID-A and TID-B individually flagged despite merchant total netting to zero. BASE is not used as a match key.</t>
        </is>
      </c>
      <c r="H15" s="47" t="inlineStr">
        <is>
          <t>NA</t>
        </is>
      </c>
      <c r="I15" s="47" t="inlineStr">
        <is>
          <t>Edge / Boundary</t>
        </is>
      </c>
    </row>
    <row r="16" ht="36" customHeight="1">
      <c r="A16" s="46" t="inlineStr">
        <is>
          <t>Lifecycle</t>
        </is>
      </c>
      <c r="B16" s="47" t="inlineStr">
        <is>
          <t>TC-Recon-15</t>
        </is>
      </c>
      <c r="C16" s="46" t="inlineStr">
        <is>
          <t>Provisional Match Before Date Close-Out</t>
        </is>
      </c>
      <c r="D16" s="47" t="inlineStr">
        <is>
          <t>Critical</t>
        </is>
      </c>
      <c r="E16" s="46" t="inlineStr">
        <is>
          <t>PTS slip exists but EMI-5991 has not closed the relevant date</t>
        </is>
      </c>
      <c r="F16" s="46" t="inlineStr">
        <is>
          <t>1. Run intraday reconciliation.
2. Review status.
3. Receive date close-out.
4. Re-run reconciliation.</t>
        </is>
      </c>
      <c r="G16" s="46" t="inlineStr">
        <is>
          <t>Before close-out: match is Provisional, no settlement instruction generated. After close-out: re-evaluated and becomes final if valid.</t>
        </is>
      </c>
      <c r="H16" s="47" t="inlineStr">
        <is>
          <t>NA</t>
        </is>
      </c>
      <c r="I16" s="47" t="inlineStr">
        <is>
          <t>Functional</t>
        </is>
      </c>
    </row>
    <row r="17" ht="36" customHeight="1">
      <c r="A17" s="46" t="inlineStr">
        <is>
          <t>Lifecycle</t>
        </is>
      </c>
      <c r="B17" s="47" t="inlineStr">
        <is>
          <t>TC-Recon-16</t>
        </is>
      </c>
      <c r="C17" s="46" t="inlineStr">
        <is>
          <t>T+1 Posting Date / Close-Out Control</t>
        </is>
      </c>
      <c r="D17" s="47" t="inlineStr">
        <is>
          <t>High</t>
        </is>
      </c>
      <c r="E17" s="46" t="inlineStr">
        <is>
          <t>PTS POSTING_DATE is T+1, calendar date changes, but EMI-5991 has not closed date</t>
        </is>
      </c>
      <c r="F17" s="46" t="inlineStr">
        <is>
          <t>1. Run reconciliation after calendar date changes.
2. Wait for EMI-5991 close-out.
3. Run again.</t>
        </is>
      </c>
      <c r="G17" s="46" t="inlineStr">
        <is>
          <t>Calendar date does not control finality. Close-out state controls eligibility. T+1 posting does not incorrectly generate E13/E19.</t>
        </is>
      </c>
      <c r="H17" s="47" t="inlineStr">
        <is>
          <t>NA</t>
        </is>
      </c>
      <c r="I17" s="47" t="inlineStr">
        <is>
          <t>Functional</t>
        </is>
      </c>
    </row>
    <row r="18" ht="36" customHeight="1">
      <c r="A18" s="46" t="inlineStr">
        <is>
          <t>Routing</t>
        </is>
      </c>
      <c r="B18" s="47" t="inlineStr">
        <is>
          <t>TC-Recon-17</t>
        </is>
      </c>
      <c r="C18" s="46" t="inlineStr">
        <is>
          <t>Blocked PTS Input – E22/E23</t>
        </is>
      </c>
      <c r="D18" s="47" t="inlineStr">
        <is>
          <t>Critical</t>
        </is>
      </c>
      <c r="E18" s="46" t="inlineStr">
        <is>
          <t>EMI-5991 reports a file as rejected (E22) or a slip as frozen (E23)</t>
        </is>
      </c>
      <c r="F18" s="46" t="inlineStr">
        <is>
          <t>1. Run reconciliation.
2. Review daily report.</t>
        </is>
      </c>
      <c r="G18" s="46" t="inlineStr">
        <is>
          <t>Affected data reported as Blocked/Awaiting Re-pull. Excluded from matching. Not incorrectly classified as E13/E16/E19. Note: E22/E23 are feed-level codes owned by EMI-5991; this story only consumes and reports their blocked state.</t>
        </is>
      </c>
      <c r="H18" s="47" t="inlineStr">
        <is>
          <t>NA</t>
        </is>
      </c>
      <c r="I18" s="47" t="inlineStr">
        <is>
          <t>Functional</t>
        </is>
      </c>
    </row>
    <row r="19" ht="36" customHeight="1">
      <c r="A19" s="46" t="inlineStr">
        <is>
          <t>Configuration</t>
        </is>
      </c>
      <c r="B19" s="47" t="inlineStr">
        <is>
          <t>TC-Recon-18</t>
        </is>
      </c>
      <c r="C19" s="46" t="inlineStr">
        <is>
          <t>Basis Configuration Switch (Net/Gross)</t>
        </is>
      </c>
      <c r="D19" s="47" t="inlineStr">
        <is>
          <t>Critical</t>
        </is>
      </c>
      <c r="E19" s="46" t="inlineStr">
        <is>
          <t>Existing match data stored; current configuration = Net</t>
        </is>
      </c>
      <c r="F19" s="46" t="inlineStr">
        <is>
          <t>1. Match using Net.
2. Change configuration to Gross.
3. Re-run without re-ingesting PTS.
4. Switch back to Net.</t>
        </is>
      </c>
      <c r="G19" s="46" t="inlineStr">
        <is>
          <t>System recalculates expected amount using stored Gross/Net totals. No PTS re-ingestion required. Stored source values remain unchanged.</t>
        </is>
      </c>
      <c r="H19" s="47" t="inlineStr">
        <is>
          <t>NA</t>
        </is>
      </c>
      <c r="I19" s="47" t="inlineStr">
        <is>
          <t>Configuration</t>
        </is>
      </c>
    </row>
    <row r="20" ht="36" customHeight="1">
      <c r="A20" s="46" t="inlineStr">
        <is>
          <t>Settlement</t>
        </is>
      </c>
      <c r="B20" s="47" t="inlineStr">
        <is>
          <t>TC-Recon-19</t>
        </is>
      </c>
      <c r="C20" s="46" t="inlineStr">
        <is>
          <t>EOD Settlement Freeze &amp; Handoff</t>
        </is>
      </c>
      <c r="D20" s="47" t="inlineStr">
        <is>
          <t>Critical</t>
        </is>
      </c>
      <c r="E20" s="46" t="inlineStr">
        <is>
          <t>Multiple slips exist as Matched/Funded, Unfunded, Held, Provisional</t>
        </is>
      </c>
      <c r="F20" s="46" t="inlineStr">
        <is>
          <t>1. Process matches before cut-off.
2. Execute EOD cut-off.
3. Introduce new credit after cut-off.</t>
        </is>
      </c>
      <c r="G20" s="46" t="inlineStr">
        <is>
          <t>Only final + matched + funded + releasable slips handed to EMI-5922. Provisional, E19, held, and blocked slips excluded. Handoff cannot change after freeze. Settlement remains a single daily cycle – nothing settles off an intraday window.</t>
        </is>
      </c>
      <c r="H20" s="47" t="inlineStr">
        <is>
          <t>NA</t>
        </is>
      </c>
      <c r="I20" s="47" t="inlineStr">
        <is>
          <t>Functional</t>
        </is>
      </c>
    </row>
    <row r="21" ht="36" customHeight="1">
      <c r="A21" s="46" t="inlineStr">
        <is>
          <t>Reconciliation</t>
        </is>
      </c>
      <c r="B21" s="47" t="inlineStr">
        <is>
          <t>TC-Recon-20</t>
        </is>
      </c>
      <c r="C21" s="46" t="inlineStr">
        <is>
          <t>Safeguarding and Gross-to-Net Reconciliation</t>
        </is>
      </c>
      <c r="D21" s="47" t="inlineStr">
        <is>
          <t>Critical</t>
        </is>
      </c>
      <c r="E21" s="46" t="inlineStr">
        <is>
          <t>Credited, held, and in-transit amounts available</t>
        </is>
      </c>
      <c r="F21" s="46" t="inlineStr">
        <is>
          <t>1. Generate safeguarding report.
2. Compare received amount with credited + held + in-transit.
3. Review ANB deduction bridge.</t>
        </is>
      </c>
      <c r="G21" s="46" t="inlineStr">
        <is>
          <t>Safeguarding line reconciles to the halalah using net TOTAL_AMOUNT. ANB deductions shown separately as a reconciling column.</t>
        </is>
      </c>
      <c r="H21" s="47" t="inlineStr">
        <is>
          <t>NA</t>
        </is>
      </c>
      <c r="I21" s="47" t="inlineStr">
        <is>
          <t>Functional</t>
        </is>
      </c>
    </row>
    <row r="22" ht="36" customHeight="1">
      <c r="A22" s="46" t="inlineStr">
        <is>
          <t>Validation</t>
        </is>
      </c>
      <c r="B22" s="47" t="inlineStr">
        <is>
          <t>TC-Recon-21</t>
        </is>
      </c>
      <c r="C22" s="46" t="inlineStr">
        <is>
          <t>Exact Reference and Amount Ambiguity Control</t>
        </is>
      </c>
      <c r="D22" s="47" t="inlineStr">
        <is>
          <t>Critical</t>
        </is>
      </c>
      <c r="E22" s="46" t="inlineStr">
        <is>
          <t>Two slips have identical amounts but different TR_SLIP values; multiple slips for same TID/merchant</t>
        </is>
      </c>
      <c r="F22" s="46" t="inlineStr">
        <is>
          <t>1. Create slips with same amounts.
2. Process credit for one reference.
3. Run reconciliation.</t>
        </is>
      </c>
      <c r="G22" s="46" t="inlineStr">
        <is>
          <t>Credit matches only the exact TR_SLIP reference. Identical amounts never cause cross-matching. TID/Merchant alone is not used as match key.</t>
        </is>
      </c>
      <c r="H22" s="47" t="inlineStr">
        <is>
          <t>NA</t>
        </is>
      </c>
      <c r="I22" s="47" t="inlineStr">
        <is>
          <t>Negative</t>
        </is>
      </c>
    </row>
    <row r="23" ht="36" customHeight="1">
      <c r="A23" s="46" t="inlineStr">
        <is>
          <t>Ops/Reporting</t>
        </is>
      </c>
      <c r="B23" s="47" t="inlineStr">
        <is>
          <t>TC-Recon-22</t>
        </is>
      </c>
      <c r="C23" s="46" t="inlineStr">
        <is>
          <t>Exception Aging, Audit Trail &amp; Trend Reporting</t>
        </is>
      </c>
      <c r="D23" s="47" t="inlineStr">
        <is>
          <t>High</t>
        </is>
      </c>
      <c r="E23" s="46" t="inlineStr">
        <is>
          <t>E13/E15/E16/E18/E19 exceptions exist over time</t>
        </is>
      </c>
      <c r="F23" s="46" t="inlineStr">
        <is>
          <t>1. Generate daily/periodic Ops report.
2. Review exception history, trends, and age.
3. Resolve one exception.</t>
        </is>
      </c>
      <c r="G23" s="46" t="inlineStr">
        <is>
          <t>Exceptions show class, value, age (3-working-day SLA), status, and evidence. E19/E13 trends escalated to Finance/Integrity monitoring. Resolution actions audit logged.</t>
        </is>
      </c>
      <c r="H23" s="47" t="inlineStr">
        <is>
          <t>NA</t>
        </is>
      </c>
      <c r="I23" s="47" t="inlineStr">
        <is>
          <t>Reporting</t>
        </is>
      </c>
    </row>
    <row r="24" ht="36" customHeight="1">
      <c r="A24" s="46" t="inlineStr">
        <is>
          <t>Validation</t>
        </is>
      </c>
      <c r="B24" s="47" t="inlineStr">
        <is>
          <t>TC-Recon-23</t>
        </is>
      </c>
      <c r="C24" s="46" t="inlineStr">
        <is>
          <t>Decimal Precision – Halalah</t>
        </is>
      </c>
      <c r="D24" s="47" t="inlineStr">
        <is>
          <t>Critical</t>
        </is>
      </c>
      <c r="E24" s="46" t="inlineStr">
        <is>
          <t>Expected = 100.00; credit = 99.99; deductions result in exact halalah values</t>
        </is>
      </c>
      <c r="F24" s="46" t="inlineStr">
        <is>
          <t>1. Calculate gross, deductions, and net.
2. Compare expected and credited amounts.</t>
        </is>
      </c>
      <c r="G24" s="46" t="inlineStr">
        <is>
          <t>Exact decimal arithmetic used. 0.01 difference detected correctly. No floating-point rounding causes false matches or hides mismatches.</t>
        </is>
      </c>
      <c r="H24" s="47" t="inlineStr">
        <is>
          <t>NA</t>
        </is>
      </c>
      <c r="I24" s="47" t="inlineStr">
        <is>
          <t>Negative</t>
        </is>
      </c>
    </row>
    <row r="25" ht="36" customHeight="1">
      <c r="A25" s="46" t="inlineStr">
        <is>
          <t>Integration</t>
        </is>
      </c>
      <c r="B25" s="47" t="inlineStr">
        <is>
          <t>TC-Recon-24</t>
        </is>
      </c>
      <c r="C25" s="46" t="inlineStr">
        <is>
          <t>Commission Separation (ANB vs MJD Pay)</t>
        </is>
      </c>
      <c r="D25" s="47" t="inlineStr">
        <is>
          <t>High</t>
        </is>
      </c>
      <c r="E25" s="46" t="inlineStr">
        <is>
          <t>Valid ANB PTS slip and downstream EMI-5922 commission configuration</t>
        </is>
      </c>
      <c r="F25" s="46" t="inlineStr">
        <is>
          <t>1. Match and fund the slip.
2. Inspect reconciliation amount.
3. Inspect EMI-5922 calculation.</t>
        </is>
      </c>
      <c r="G25" s="46" t="inlineStr">
        <is>
          <t>ANB TR_COM, TR_VAT, TR_FEE remain part of PTS net calculation (recorded, not recalculated). MJD Pay commission is not deducted during reconciliation and is applied only downstream by EMI-5922 at the aggregated wire.</t>
        </is>
      </c>
      <c r="H25" s="47" t="inlineStr">
        <is>
          <t>NA</t>
        </is>
      </c>
      <c r="I25" s="47" t="inlineStr">
        <is>
          <t>Integration</t>
        </is>
      </c>
    </row>
    <row r="26" ht="36" customHeight="1">
      <c r="A26" s="46" t="inlineStr">
        <is>
          <t>Audit</t>
        </is>
      </c>
      <c r="B26" s="47" t="inlineStr">
        <is>
          <t>TC-Recon-25</t>
        </is>
      </c>
      <c r="C26" s="46" t="inlineStr">
        <is>
          <t>Audit Lineage Through TR_SLIP</t>
        </is>
      </c>
      <c r="D26" s="47" t="inlineStr">
        <is>
          <t>Critical</t>
        </is>
      </c>
      <c r="E26" s="46" t="inlineStr">
        <is>
          <t>Valid slip proceeds through reconciliation and handoff</t>
        </is>
      </c>
      <c r="F26" s="46" t="inlineStr">
        <is>
          <t>1. Trace PTS → ledger → credit → match → EMI-5922 handoff.</t>
        </is>
      </c>
      <c r="G26" s="46" t="inlineStr">
        <is>
          <t>TR_SLIP is retained as the settlement lineage/reference throughout the complete process, end to end. Every match decision can be traced back to source evidence via the audit log.</t>
        </is>
      </c>
      <c r="H26" s="47" t="inlineStr">
        <is>
          <t>NA</t>
        </is>
      </c>
      <c r="I26" s="47" t="inlineStr">
        <is>
          <t>Integration</t>
        </is>
      </c>
    </row>
    <row r="27" ht="36" customHeight="1">
      <c r="A27" s="46" t="inlineStr">
        <is>
          <t>Integration</t>
        </is>
      </c>
      <c r="B27" s="47" t="inlineStr">
        <is>
          <t>TC-Recon-26</t>
        </is>
      </c>
      <c r="C27" s="46" t="inlineStr">
        <is>
          <t>No Reconciliation Callback Dependency</t>
        </is>
      </c>
      <c r="D27" s="47" t="inlineStr">
        <is>
          <t>High</t>
        </is>
      </c>
      <c r="E27" s="46" t="inlineStr">
        <is>
          <t>InterSoft reconciliation callback is unavailable/removed</t>
        </is>
      </c>
      <c r="F27" s="46" t="inlineStr">
        <is>
          <t>1. Process valid PTS, ledger, and credit data.
2. Run reconciliation.</t>
        </is>
      </c>
      <c r="G27" s="46" t="inlineStr">
        <is>
          <t>Reconciliation operates without relying on an InterSoft reconciliation callback (withdrawn per v1.4). Matching remains based on PTS, ledger, and settlement-credit data only.</t>
        </is>
      </c>
      <c r="H27" s="47" t="inlineStr">
        <is>
          <t>NA</t>
        </is>
      </c>
      <c r="I27" s="47" t="inlineStr">
        <is>
          <t>Integration</t>
        </is>
      </c>
    </row>
    <row r="28" ht="36" customHeight="1">
      <c r="A28" s="46" t="inlineStr">
        <is>
          <t>Risk</t>
        </is>
      </c>
      <c r="B28" s="47" t="inlineStr">
        <is>
          <t>TC-Recon-27</t>
        </is>
      </c>
      <c r="C28" s="46" t="inlineStr">
        <is>
          <t>Two-Way Match Fallback When Credit Leg Is Unavailable/Unconfirmed (O19/O22)</t>
        </is>
      </c>
      <c r="D28" s="47" t="inlineStr">
        <is>
          <t>Critical</t>
        </is>
      </c>
      <c r="E28" s="46" t="inlineStr">
        <is>
          <t>Ledger and PTS data available and reconcilable; credit-statement leg (leg 3) is absent, delayed, or its reference field cannot be confirmed to carry TR_SLIP unaltered – the ticket's stated Primary Risk</t>
        </is>
      </c>
      <c r="F28" s="46" t="inlineStr">
        <is>
          <t>1. Run reconciliation with only ledger and PTS legs available.
2. Verify the system does not force a three-way match when leg 3 is unavailable.
3. Confirm slips are held in a distinct “awaiting funding confirmation” state rather than misclassified as E18/E19.
4. Restore leg 3 data and re-run.</t>
        </is>
      </c>
      <c r="G28" s="46" t="inlineStr">
        <is>
          <t>System degrades gracefully to the two-way leg (ledger vs PTS) without generating false E18/E19 exceptions. Slips pending the credit leg are clearly distinguished from genuinely unfunded (E19) or unmatched-reference (E18) slips. Once leg 3 becomes available, matching resumes and reclassifies correctly.</t>
        </is>
      </c>
      <c r="H28" s="47" t="inlineStr">
        <is>
          <t>NA</t>
        </is>
      </c>
      <c r="I28" s="47" t="inlineStr">
        <is>
          <t>Integration</t>
        </is>
      </c>
    </row>
    <row r="29" ht="36" customHeight="1">
      <c r="A29" s="46" t="inlineStr">
        <is>
          <t>Risk</t>
        </is>
      </c>
      <c r="B29" s="47" t="inlineStr">
        <is>
          <t>TC-Recon-28</t>
        </is>
      </c>
      <c r="C29" s="46" t="inlineStr">
        <is>
          <t>Aggregated Multi-Slip Credit Handling (O33)</t>
        </is>
      </c>
      <c r="D29" s="47" t="inlineStr">
        <is>
          <t>High</t>
        </is>
      </c>
      <c r="E29" s="46" t="inlineStr">
        <is>
          <t>Two or more TR_SLIP groups are due to settle on the same day; a single credit arrives covering the combined total with no per-slip breakdown</t>
        </is>
      </c>
      <c r="F29" s="46" t="inlineStr">
        <is>
          <t>1. Ingest multiple slips due to settle the same day.
2. Post one aggregated credit equal to the sum of their expected totals, carrying only one (or no) TR_SLIP reference.
3. Run reconciliation.</t>
        </is>
      </c>
      <c r="G29" s="46" t="inlineStr">
        <is>
          <t>System does not silently split/match the aggregated credit across slips by amount. Slips without an individually-matching reference are reported as unresolved/ambiguous (E18 or a dedicated aggregation exception), never auto-allocated by amount. Behavior is documented as contingent on O33 (separate vs aggregated credits) being answered by ANB.</t>
        </is>
      </c>
      <c r="H29" s="47" t="inlineStr">
        <is>
          <t>NA</t>
        </is>
      </c>
      <c r="I29" s="47" t="inlineStr">
        <is>
          <t>Functional</t>
        </is>
      </c>
    </row>
    <row r="30" ht="36" customHeight="1">
      <c r="A30" s="46" t="inlineStr">
        <is>
          <t>Integration</t>
        </is>
      </c>
      <c r="B30" s="47" t="inlineStr">
        <is>
          <t>TC-Recon-29</t>
        </is>
      </c>
      <c r="C30" s="46" t="inlineStr">
        <is>
          <t>Credit Statement Ingestion, Format Handling &amp; Duplicate Detection (O34)</t>
        </is>
      </c>
      <c r="D30" s="47" t="inlineStr">
        <is>
          <t>High</t>
        </is>
      </c>
      <c r="E30" s="46" t="inlineStr">
        <is>
          <t>A settlement-account credit statement file/feed is available in the configured format (MT940 / camt.053 / API, per the current integration decision)</t>
        </is>
      </c>
      <c r="F30" s="46" t="inlineStr">
        <is>
          <t>1. Ingest a valid statement file/feed.
2. Verify parsed fields (reference, amount, date/time) are stored correctly and not truncated.
3. Re-ingest the same statement or an overlapping window.
4. If an intraday view is configured, verify its availability ahead of EOD.</t>
        </is>
      </c>
      <c r="G30" s="46" t="inlineStr">
        <is>
          <t>Statement ingests without data loss or truncation of the reference field. Re-ingestion does not create duplicate credit records. Intraday visibility, where available, does not trigger premature settlement instructions. Ingestion behavior is documented as contingent on O34 (format/channel) being finalized by ANB.</t>
        </is>
      </c>
      <c r="H30" s="47" t="inlineStr">
        <is>
          <t>NA</t>
        </is>
      </c>
      <c r="I30" s="47" t="inlineStr">
        <is>
          <t>Integration</t>
        </is>
      </c>
    </row>
    <row r="31" ht="36" customHeight="1">
      <c r="A31" s="46" t="inlineStr">
        <is>
          <t>Functional</t>
        </is>
      </c>
      <c r="B31" s="47" t="inlineStr">
        <is>
          <t>TC-Recon-30</t>
        </is>
      </c>
      <c r="C31" s="46" t="inlineStr">
        <is>
          <t>Intraday Matching Cadence After Each EMI-5991 Pull Window</t>
        </is>
      </c>
      <c r="D31" s="47" t="inlineStr">
        <is>
          <t>High</t>
        </is>
      </c>
      <c r="E31" s="46" t="inlineStr">
        <is>
          <t>EMI-5991 pull windows are scheduled through the day; new PTS/ledger data lands after a pull</t>
        </is>
      </c>
      <c r="F31" s="46" t="inlineStr">
        <is>
          <t>1. Trigger completion of an EMI-5991 pull window.
2. Measure time until the reconciliation match job runs and exceptions surface.
3. Repeat across multiple pull windows in one day.</t>
        </is>
      </c>
      <c r="G31" s="46" t="inlineStr">
        <is>
          <t>Matching runs after each pull window and exceptions surface within approximately 2 hours of the pull, not only at EOD. Settlement instructions are still only generated at the single daily EOD cut-off (ties to TC-19) – intraday runs never trigger a handoff.</t>
        </is>
      </c>
      <c r="H31" s="47" t="inlineStr">
        <is>
          <t>NA</t>
        </is>
      </c>
      <c r="I31" s="47" t="inlineStr">
        <is>
          <t>Functional</t>
        </is>
      </c>
    </row>
    <row r="32" ht="36" customHeight="1">
      <c r="A32" s="46" t="inlineStr">
        <is>
          <t>Ops/Reporting</t>
        </is>
      </c>
      <c r="B32" s="47" t="inlineStr">
        <is>
          <t>TC-Recon-31</t>
        </is>
      </c>
      <c r="C32" s="46" t="inlineStr">
        <is>
          <t>Recon Dashboard Metrics Completeness</t>
        </is>
      </c>
      <c r="D32" s="47" t="inlineStr">
        <is>
          <t>High</t>
        </is>
      </c>
      <c r="E32" s="46" t="inlineStr">
        <is>
          <t>Reconciliation has run with a mix of matched, held, exception, and unfunded slips</t>
        </is>
      </c>
      <c r="F32" s="46" t="inlineStr">
        <is>
          <t>1. Open the recon dashboard.
2. Verify each required metric is present and correctly computed.</t>
        </is>
      </c>
      <c r="G32" s="46" t="inlineStr">
        <is>
          <t>Dashboard shows: match rate (including the ≥99.5% auto-match target), exceptions by class (E13/E15/E16/E18/E19) with aging, funded vs unfunded value, the safeguarding line, the gross-to-net bridge, and the E13/E19 trend view.</t>
        </is>
      </c>
      <c r="H32" s="47" t="inlineStr">
        <is>
          <t>NA</t>
        </is>
      </c>
      <c r="I32" s="47" t="inlineStr">
        <is>
          <t>Reporting</t>
        </is>
      </c>
    </row>
  </sheetData>
  <autoFilter ref="A1:I32"/>
  <conditionalFormatting sqref="H2:H32">
    <cfRule type="cellIs" priority="7" operator="equal" dxfId="54">
      <formula>"Passed"</formula>
    </cfRule>
    <cfRule type="cellIs" priority="8" operator="equal" dxfId="55">
      <formula>"Failed"</formula>
    </cfRule>
    <cfRule type="cellIs" priority="9" operator="equal" dxfId="56">
      <formula>"Partially Passed"</formula>
    </cfRule>
    <cfRule type="cellIs" priority="10" operator="equal" dxfId="57">
      <formula>"Not Tested"</formula>
    </cfRule>
    <cfRule type="cellIs" priority="11" operator="equal" dxfId="58">
      <formula>"Not Implemented"</formula>
    </cfRule>
    <cfRule type="cellIs" priority="12" operator="equal" dxfId="59">
      <formula>"NA"</formula>
    </cfRule>
  </conditionalFormatting>
  <dataValidations count="2">
    <dataValidation sqref="H2:H52" showDropDown="0" showInputMessage="0" showErrorMessage="0" allowBlank="1" errorTitle="Invalid Status" error="Your entry is not in the allowed list of statuses" promptTitle="Test Status" prompt="Select execution status" type="list">
      <formula1>"Passed,Failed,Partially Passed,Not Tested,Not Implemented,NA"</formula1>
    </dataValidation>
    <dataValidation sqref="H2:H32" showDropDown="0" showInputMessage="0" showErrorMessage="0" allowBlank="1" type="list">
      <formula1>"Passed,Failed,Partially Passed,Not Tested,Not Implemented,NA"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2"/>
  <sheetViews>
    <sheetView showGridLines="1" workbookViewId="0">
      <pane ySplit="1" topLeftCell="A2" activePane="bottomLeft" state="frozen"/>
      <selection pane="bottomLeft" activeCell="A1" sqref="A1"/>
    </sheetView>
  </sheetViews>
  <sheetFormatPr baseColWidth="8" defaultRowHeight="15"/>
  <cols>
    <col width="20" customWidth="1" min="1" max="1"/>
    <col width="18" customWidth="1" min="2" max="2"/>
    <col width="36" customWidth="1" min="3" max="3"/>
    <col width="14" customWidth="1" min="4" max="4"/>
    <col width="38" customWidth="1" min="5" max="5"/>
    <col width="45" customWidth="1" min="6" max="6"/>
    <col width="45" customWidth="1" min="7" max="7"/>
    <col width="18" customWidth="1" min="8" max="8"/>
    <col width="20" customWidth="1" min="9" max="9"/>
  </cols>
  <sheetData>
    <row r="1" ht="28.05" customHeight="1">
      <c r="A1" s="34" t="inlineStr">
        <is>
          <t>Subtopic / Category</t>
        </is>
      </c>
      <c r="B1" s="34" t="inlineStr">
        <is>
          <t>TC ID</t>
        </is>
      </c>
      <c r="C1" s="34" t="inlineStr">
        <is>
          <t>Title</t>
        </is>
      </c>
      <c r="D1" s="34" t="inlineStr">
        <is>
          <t>Priority</t>
        </is>
      </c>
      <c r="E1" s="34" t="inlineStr">
        <is>
          <t>Preconditions</t>
        </is>
      </c>
      <c r="F1" s="34" t="inlineStr">
        <is>
          <t>Steps</t>
        </is>
      </c>
      <c r="G1" s="34" t="inlineStr">
        <is>
          <t>Expected Result</t>
        </is>
      </c>
      <c r="H1" s="34" t="inlineStr">
        <is>
          <t>Status</t>
        </is>
      </c>
      <c r="I1" s="34" t="inlineStr">
        <is>
          <t>Test Type</t>
        </is>
      </c>
    </row>
    <row r="2" ht="36" customHeight="1">
      <c r="A2" s="46" t="inlineStr">
        <is>
          <t>Configuration</t>
        </is>
      </c>
      <c r="B2" s="47" t="inlineStr">
        <is>
          <t>TC-Commission-01</t>
        </is>
      </c>
      <c r="C2" s="46" t="inlineStr">
        <is>
          <t>PoS Is Registered as a Platform Value</t>
        </is>
      </c>
      <c r="D2" s="47" t="inlineStr">
        <is>
          <t>High</t>
        </is>
      </c>
      <c r="E2" s="46" t="inlineStr">
        <is>
          <t>Access to the commission engine reference data</t>
        </is>
      </c>
      <c r="F2" s="46" t="inlineStr">
        <is>
          <t>1. Open the Platform reference values in the commission engine
2. Confirm PoS is present alongside Web and Mobile</t>
        </is>
      </c>
      <c r="G2" s="46" t="inlineStr">
        <is>
          <t>PoS exists as a Platform value alongside the existing Web and Mobile values</t>
        </is>
      </c>
      <c r="H2" s="47" t="inlineStr">
        <is>
          <t>Not Tested</t>
        </is>
      </c>
      <c r="I2" s="47" t="inlineStr">
        <is>
          <t>Configuration</t>
        </is>
      </c>
    </row>
    <row r="3" ht="36" customHeight="1">
      <c r="A3" s="46" t="inlineStr">
        <is>
          <t>Functional</t>
        </is>
      </c>
      <c r="B3" s="47" t="inlineStr">
        <is>
          <t>TC-Commission-02</t>
        </is>
      </c>
      <c r="C3" s="46" t="inlineStr">
        <is>
          <t>Engine Resolves PoS Pricing on TXN Type + Platform</t>
        </is>
      </c>
      <c r="D3" s="47" t="inlineStr">
        <is>
          <t>High</t>
        </is>
      </c>
      <c r="E3" s="46" t="inlineStr">
        <is>
          <t>PoS scheme configured; an aggregated cash-in with Platform = PoS</t>
        </is>
      </c>
      <c r="F3" s="46" t="inlineStr">
        <is>
          <t>1. Trigger pricing for the aggregated cash-in
2. Trace the resolution the engine performs</t>
        </is>
      </c>
      <c r="G3" s="46" t="inlineStr">
        <is>
          <t>Pricing resolves on TXN type + Platform exactly as for every other platform; no new resolution logic is introduced</t>
        </is>
      </c>
      <c r="H3" s="47" t="inlineStr">
        <is>
          <t>Not Tested</t>
        </is>
      </c>
      <c r="I3" s="47" t="inlineStr">
        <is>
          <t>Integration</t>
        </is>
      </c>
    </row>
    <row r="4" ht="36" customHeight="1">
      <c r="A4" s="46" t="inlineStr">
        <is>
          <t>Functional</t>
        </is>
      </c>
      <c r="B4" s="47" t="inlineStr">
        <is>
          <t>TC-Commission-03</t>
        </is>
      </c>
      <c r="C4" s="46" t="inlineStr">
        <is>
          <t>PoS Settlement Cash-In Is Distinguished From a Wallet Top-Up</t>
        </is>
      </c>
      <c r="D4" s="47" t="inlineStr">
        <is>
          <t>High</t>
        </is>
      </c>
      <c r="E4" s="46" t="inlineStr">
        <is>
          <t>A PoS settlement cash-in and an ordinary wallet top-up, both standard CASH IN</t>
        </is>
      </c>
      <c r="F4" s="46" t="inlineStr">
        <is>
          <t>1. Price both
2. Compare the schemes resolved and the fees charged</t>
        </is>
      </c>
      <c r="G4" s="46" t="inlineStr">
        <is>
          <t>The PoS settlement cash-in is priced by the PoS scheme and the top-up by its own; the Platform value is what separates them; a PoS settlement is never priced as a generic top-up</t>
        </is>
      </c>
      <c r="H4" s="47" t="inlineStr">
        <is>
          <t>Not Tested</t>
        </is>
      </c>
      <c r="I4" s="47" t="inlineStr">
        <is>
          <t>Functional</t>
        </is>
      </c>
    </row>
    <row r="5" ht="36" customHeight="1">
      <c r="A5" s="46" t="inlineStr">
        <is>
          <t>Functional</t>
        </is>
      </c>
      <c r="B5" s="47" t="inlineStr">
        <is>
          <t>TC-Commission-04</t>
        </is>
      </c>
      <c r="C5" s="46" t="inlineStr">
        <is>
          <t>The Priced Object Is the Aggregated Cash-In per Settlement Batch</t>
        </is>
      </c>
      <c r="D5" s="47" t="inlineStr">
        <is>
          <t>High</t>
        </is>
      </c>
      <c r="E5" s="46" t="inlineStr">
        <is>
          <t>A settlement batch created in EMI-5989 with Platform = PoS</t>
        </is>
      </c>
      <c r="F5" s="46" t="inlineStr">
        <is>
          <t>1. Inspect the object passed to the commission engine at pricing time</t>
        </is>
      </c>
      <c r="G5" s="46" t="inlineStr">
        <is>
          <t>The priced object is the aggregated cash-in for the batch, carrying Platform = PoS; no individual card transaction is passed to the engine</t>
        </is>
      </c>
      <c r="H5" s="47" t="inlineStr">
        <is>
          <t>Not Tested</t>
        </is>
      </c>
      <c r="I5" s="47" t="inlineStr">
        <is>
          <t>Functional</t>
        </is>
      </c>
    </row>
    <row r="6" ht="36" customHeight="1">
      <c r="A6" s="46" t="inlineStr">
        <is>
          <t>Functional</t>
        </is>
      </c>
      <c r="B6" s="47" t="inlineStr">
        <is>
          <t>TC-Commission-05</t>
        </is>
      </c>
      <c r="C6" s="46" t="inlineStr">
        <is>
          <t>Commission Is Charged Once on the Batch Total</t>
        </is>
      </c>
      <c r="D6" s="47" t="inlineStr">
        <is>
          <t>High</t>
        </is>
      </c>
      <c r="E6" s="46" t="inlineStr">
        <is>
          <t>A settlement batch containing 40 member sales</t>
        </is>
      </c>
      <c r="F6" s="46" t="inlineStr">
        <is>
          <t>1. Run the batch through ACH preparation
2. Count the commission and VAT entries produced and check the base amount</t>
        </is>
      </c>
      <c r="G6" s="46" t="inlineStr">
        <is>
          <t>Commission is charged exactly once, on the batch aggregate net; it is never charged 40 times or per member sale</t>
        </is>
      </c>
      <c r="H6" s="47" t="inlineStr">
        <is>
          <t>Not Tested</t>
        </is>
      </c>
      <c r="I6" s="47" t="inlineStr">
        <is>
          <t>Edge / Boundary</t>
        </is>
      </c>
    </row>
    <row r="7" ht="36" customHeight="1">
      <c r="A7" s="46" t="inlineStr">
        <is>
          <t>Functional</t>
        </is>
      </c>
      <c r="B7" s="47" t="inlineStr">
        <is>
          <t>TC-Commission-06</t>
        </is>
      </c>
      <c r="C7" s="46" t="inlineStr">
        <is>
          <t>Commission Base Is the Net That Arrived, Not Gross</t>
        </is>
      </c>
      <c r="D7" s="47" t="inlineStr">
        <is>
          <t>High</t>
        </is>
      </c>
      <c r="E7" s="46" t="inlineStr">
        <is>
          <t>A settlement batch whose Net Settlement Amount is already net of ANB interchange, scheme fee and ANB VAT</t>
        </is>
      </c>
      <c r="F7" s="46" t="inlineStr">
        <is>
          <t>1. Price the batch
2. Compare the commission base with the Net Settlement Amount and with the gross</t>
        </is>
      </c>
      <c r="G7" s="46" t="inlineStr">
        <is>
          <t>The base is the net amount that arrived; ANB's interchange, scheme fee, VAT and other charges are never recalculated, never added back and never priced on gross</t>
        </is>
      </c>
      <c r="H7" s="47" t="inlineStr">
        <is>
          <t>Not Tested</t>
        </is>
      </c>
      <c r="I7" s="47" t="inlineStr">
        <is>
          <t>Functional</t>
        </is>
      </c>
    </row>
    <row r="8" ht="36" customHeight="1">
      <c r="A8" s="46" t="inlineStr">
        <is>
          <t>Functional</t>
        </is>
      </c>
      <c r="B8" s="47" t="inlineStr">
        <is>
          <t>TC-Commission-07</t>
        </is>
      </c>
      <c r="C8" s="46" t="inlineStr">
        <is>
          <t>VAT Applied by the Existing Dual-Commission Machinery</t>
        </is>
      </c>
      <c r="D8" s="47" t="inlineStr">
        <is>
          <t>Medium</t>
        </is>
      </c>
      <c r="E8" s="46" t="inlineStr">
        <is>
          <t>PoS scheme configured with VAT treatment</t>
        </is>
      </c>
      <c r="F8" s="46" t="inlineStr">
        <is>
          <t>1. Price a batch and inspect the VAT entry</t>
        </is>
      </c>
      <c r="G8" s="46" t="inlineStr">
        <is>
          <t>VAT is applied at the prevailing rate by the engine's existing dual-commission and VAT machinery; no VAT logic is introduced by this story</t>
        </is>
      </c>
      <c r="H8" s="47" t="inlineStr">
        <is>
          <t>Not Tested</t>
        </is>
      </c>
      <c r="I8" s="47" t="inlineStr">
        <is>
          <t>Functional</t>
        </is>
      </c>
    </row>
    <row r="9" ht="36" customHeight="1">
      <c r="A9" s="46" t="inlineStr">
        <is>
          <t>Functional</t>
        </is>
      </c>
      <c r="B9" s="47" t="inlineStr">
        <is>
          <t>TC-Commission-08</t>
        </is>
      </c>
      <c r="C9" s="46" t="inlineStr">
        <is>
          <t>Merchant-Specific Scheme Wins Over the Default</t>
        </is>
      </c>
      <c r="D9" s="47" t="inlineStr">
        <is>
          <t>High</t>
        </is>
      </c>
      <c r="E9" s="46" t="inlineStr">
        <is>
          <t>A default PoS scheme and a merchant-specific PoS scheme for the same TXN type</t>
        </is>
      </c>
      <c r="F9" s="46" t="inlineStr">
        <is>
          <t>1. Price a batch for that merchant</t>
        </is>
      </c>
      <c r="G9" s="46" t="inlineStr">
        <is>
          <t>The merchant-specific scheme is applied; most specific wins under the engine's existing precedence</t>
        </is>
      </c>
      <c r="H9" s="47" t="inlineStr">
        <is>
          <t>Not Tested</t>
        </is>
      </c>
      <c r="I9" s="47" t="inlineStr">
        <is>
          <t>Functional</t>
        </is>
      </c>
    </row>
    <row r="10" ht="36" customHeight="1">
      <c r="A10" s="46" t="inlineStr">
        <is>
          <t>Functional</t>
        </is>
      </c>
      <c r="B10" s="47" t="inlineStr">
        <is>
          <t>TC-Commission-09</t>
        </is>
      </c>
      <c r="C10" s="46" t="inlineStr">
        <is>
          <t>Group Scheme Wins Over the Default When No Merchant Scheme Exists</t>
        </is>
      </c>
      <c r="D10" s="47" t="inlineStr">
        <is>
          <t>Medium</t>
        </is>
      </c>
      <c r="E10" s="46" t="inlineStr">
        <is>
          <t>A default and a group PoS scheme; merchant belongs to the group and has no merchant-level scheme</t>
        </is>
      </c>
      <c r="F10" s="46" t="inlineStr">
        <is>
          <t>1. Price a batch for that merchant</t>
        </is>
      </c>
      <c r="G10" s="46" t="inlineStr">
        <is>
          <t>The group scheme is applied, ahead of the default and behind any merchant-level scheme</t>
        </is>
      </c>
      <c r="H10" s="47" t="inlineStr">
        <is>
          <t>Not Tested</t>
        </is>
      </c>
      <c r="I10" s="47" t="inlineStr">
        <is>
          <t>Functional</t>
        </is>
      </c>
    </row>
    <row r="11" ht="36" customHeight="1">
      <c r="A11" s="46" t="inlineStr">
        <is>
          <t>Functional</t>
        </is>
      </c>
      <c r="B11" s="47" t="inlineStr">
        <is>
          <t>TC-Commission-10</t>
        </is>
      </c>
      <c r="C11" s="46" t="inlineStr">
        <is>
          <t>Scheme Key Follows Merchant | Group | Default x Platform x TXN Type</t>
        </is>
      </c>
      <c r="D11" s="47" t="inlineStr">
        <is>
          <t>Medium</t>
        </is>
      </c>
      <c r="E11" s="46" t="inlineStr">
        <is>
          <t>Schemes configured at all three levels</t>
        </is>
      </c>
      <c r="F11" s="46" t="inlineStr">
        <is>
          <t>1. Price batches for a merchant with each combination present and absent in turn</t>
        </is>
      </c>
      <c r="G11" s="46" t="inlineStr">
        <is>
          <t>Resolution follows the documented precedence in every combination; the most specific configured scheme always wins</t>
        </is>
      </c>
      <c r="H11" s="47" t="inlineStr">
        <is>
          <t>Not Tested</t>
        </is>
      </c>
      <c r="I11" s="47" t="inlineStr">
        <is>
          <t>Functional</t>
        </is>
      </c>
    </row>
    <row r="12" ht="36" customHeight="1">
      <c r="A12" s="46" t="inlineStr">
        <is>
          <t>Functional</t>
        </is>
      </c>
      <c r="B12" s="47" t="inlineStr">
        <is>
          <t>TC-Commission-11</t>
        </is>
      </c>
      <c r="C12" s="46" t="inlineStr">
        <is>
          <t>Merchant With No PoS Scheme Is Credited the Full Batch Net</t>
        </is>
      </c>
      <c r="D12" s="47" t="inlineStr">
        <is>
          <t>High</t>
        </is>
      </c>
      <c r="E12" s="46" t="inlineStr">
        <is>
          <t>Merchant with no PoS scheme at merchant, group or default level</t>
        </is>
      </c>
      <c r="F12" s="46" t="inlineStr">
        <is>
          <t>1. Run a settlement batch for that merchant through ACH preparation
2. Inspect the credit and the fee entries</t>
        </is>
      </c>
      <c r="G12" s="46" t="inlineStr">
        <is>
          <t>The merchant is credited the full batch net with no fee entries; this is a normal outcome and not an error, and nothing is alarmed</t>
        </is>
      </c>
      <c r="H12" s="47" t="inlineStr">
        <is>
          <t>Not Tested</t>
        </is>
      </c>
      <c r="I12" s="47" t="inlineStr">
        <is>
          <t>Functional</t>
        </is>
      </c>
    </row>
    <row r="13" ht="36" customHeight="1">
      <c r="A13" s="46" t="inlineStr">
        <is>
          <t>Guard</t>
        </is>
      </c>
      <c r="B13" s="47" t="inlineStr">
        <is>
          <t>TC-Commission-12</t>
        </is>
      </c>
      <c r="C13" s="46" t="inlineStr">
        <is>
          <t>PoS Settlement Credit Is Excluded From the Generic VIBAN Cash-In Fee</t>
        </is>
      </c>
      <c r="D13" s="47" t="inlineStr">
        <is>
          <t>High</t>
        </is>
      </c>
      <c r="E13" s="46" t="inlineStr">
        <is>
          <t>Generic VIBAN cash-in fee scheme active; PoS scheme configured; a settlement credit arriving as a VIBAN transfer</t>
        </is>
      </c>
      <c r="F13" s="46" t="inlineStr">
        <is>
          <t>1. Run the settlement credit end to end
2. List every fee entry raised against it</t>
        </is>
      </c>
      <c r="G13" s="46" t="inlineStr">
        <is>
          <t>Only the PoS commission is charged; the generic VIBAN cash-in fee is not applied; the batch is priced once and only once</t>
        </is>
      </c>
      <c r="H13" s="47" t="inlineStr">
        <is>
          <t>Not Tested</t>
        </is>
      </c>
      <c r="I13" s="47" t="inlineStr">
        <is>
          <t>Negative</t>
        </is>
      </c>
    </row>
    <row r="14" ht="36" customHeight="1">
      <c r="A14" s="46" t="inlineStr">
        <is>
          <t>Guard</t>
        </is>
      </c>
      <c r="B14" s="47" t="inlineStr">
        <is>
          <t>TC-Commission-13</t>
        </is>
      </c>
      <c r="C14" s="46" t="inlineStr">
        <is>
          <t>Double-Charge Regression - Batch Priced Exactly Once End to End</t>
        </is>
      </c>
      <c r="D14" s="47" t="inlineStr">
        <is>
          <t>High</t>
        </is>
      </c>
      <c r="E14" s="46" t="inlineStr">
        <is>
          <t>A full settlement cycle available</t>
        </is>
      </c>
      <c r="F14" s="46" t="inlineStr">
        <is>
          <t>1. Run a batch from grouping through ACH preparation to merchant credit
2. Count every commission and VAT entry raised against it anywhere in the chain</t>
        </is>
      </c>
      <c r="G14" s="46" t="inlineStr">
        <is>
          <t>Exactly one commission and one VAT entry exist for the batch across the whole chain; no second charge appears at any stage</t>
        </is>
      </c>
      <c r="H14" s="47" t="inlineStr">
        <is>
          <t>Not Tested</t>
        </is>
      </c>
      <c r="I14" s="47" t="inlineStr">
        <is>
          <t>Edge / Boundary</t>
        </is>
      </c>
    </row>
    <row r="15" ht="36" customHeight="1">
      <c r="A15" s="46" t="inlineStr">
        <is>
          <t>Guard</t>
        </is>
      </c>
      <c r="B15" s="47" t="inlineStr">
        <is>
          <t>TC-Commission-14</t>
        </is>
      </c>
      <c r="C15" s="46" t="inlineStr">
        <is>
          <t>Configuration That Could Drive a Batch Net to Zero Is Rejected at Save</t>
        </is>
      </c>
      <c r="D15" s="47" t="inlineStr">
        <is>
          <t>High</t>
        </is>
      </c>
      <c r="E15" s="46" t="inlineStr">
        <is>
          <t>Admin access to PoS scheme configuration</t>
        </is>
      </c>
      <c r="F15" s="46" t="inlineStr">
        <is>
          <t>1. Configure a fixed fee large enough to exceed a plausible small batch net (for example a fee harmless on 5,000 SAR but exceeding a 12 SAR batch)
2. Attempt to save</t>
        </is>
      </c>
      <c r="G15" s="46" t="inlineStr">
        <is>
          <t>The save is rejected by the zero-net guard; the configuration is not persisted</t>
        </is>
      </c>
      <c r="H15" s="47" t="inlineStr">
        <is>
          <t>Not Tested</t>
        </is>
      </c>
      <c r="I15" s="47" t="inlineStr">
        <is>
          <t>Negative</t>
        </is>
      </c>
    </row>
    <row r="16" ht="36" customHeight="1">
      <c r="A16" s="46" t="inlineStr">
        <is>
          <t>Guard</t>
        </is>
      </c>
      <c r="B16" s="47" t="inlineStr">
        <is>
          <t>TC-Commission-15</t>
        </is>
      </c>
      <c r="C16" s="46" t="inlineStr">
        <is>
          <t>Zero-Net Guard Error Names the Batch Size That Would Break It</t>
        </is>
      </c>
      <c r="D16" s="47" t="inlineStr">
        <is>
          <t>Medium</t>
        </is>
      </c>
      <c r="E16" s="46" t="inlineStr">
        <is>
          <t>A configuration that trips the zero-net guard</t>
        </is>
      </c>
      <c r="F16" s="46" t="inlineStr">
        <is>
          <t>1. Attempt to save it and read the validation message</t>
        </is>
      </c>
      <c r="G16" s="46" t="inlineStr">
        <is>
          <t>The message names the batch size at which the net would reach zero or below, rather than showing a generic error</t>
        </is>
      </c>
      <c r="H16" s="47" t="inlineStr">
        <is>
          <t>Not Tested</t>
        </is>
      </c>
      <c r="I16" s="47" t="inlineStr">
        <is>
          <t>Edge / Boundary</t>
        </is>
      </c>
    </row>
    <row r="17" ht="36" customHeight="1">
      <c r="A17" s="46" t="inlineStr">
        <is>
          <t>Validation</t>
        </is>
      </c>
      <c r="B17" s="47" t="inlineStr">
        <is>
          <t>TC-Commission-16</t>
        </is>
      </c>
      <c r="C17" s="46" t="inlineStr">
        <is>
          <t>Unknown Scheme Key Is Rejected at Configuration Time</t>
        </is>
      </c>
      <c r="D17" s="47" t="inlineStr">
        <is>
          <t>Medium</t>
        </is>
      </c>
      <c r="E17" s="46" t="inlineStr">
        <is>
          <t>Admin access to PoS scheme configuration</t>
        </is>
      </c>
      <c r="F17" s="46" t="inlineStr">
        <is>
          <t>1. Submit a scheme with an unrecognised key or an unknown Platform or TXN type value</t>
        </is>
      </c>
      <c r="G17" s="46" t="inlineStr">
        <is>
          <t>The configuration is rejected at save time with a clear reason; it never reaches pricing</t>
        </is>
      </c>
      <c r="H17" s="47" t="inlineStr">
        <is>
          <t>Not Tested</t>
        </is>
      </c>
      <c r="I17" s="47" t="inlineStr">
        <is>
          <t>Negative</t>
        </is>
      </c>
    </row>
    <row r="18" ht="36" customHeight="1">
      <c r="A18" s="46" t="inlineStr">
        <is>
          <t>Configuration</t>
        </is>
      </c>
      <c r="B18" s="47" t="inlineStr">
        <is>
          <t>TC-Commission-17</t>
        </is>
      </c>
      <c r="C18" s="46" t="inlineStr">
        <is>
          <t>Rates and VAT Treatment Change Without a Release</t>
        </is>
      </c>
      <c r="D18" s="47" t="inlineStr">
        <is>
          <t>High</t>
        </is>
      </c>
      <c r="E18" s="46" t="inlineStr">
        <is>
          <t>An active PoS scheme and a batch ready to price</t>
        </is>
      </c>
      <c r="F18" s="46" t="inlineStr">
        <is>
          <t>1. Change the rate, the fixed component and the VAT treatment through configuration
2. Price a new batch without deploying anything</t>
        </is>
      </c>
      <c r="G18" s="46" t="inlineStr">
        <is>
          <t>The new values take effect immediately with no release; pricing reflects them on the next batch</t>
        </is>
      </c>
      <c r="H18" s="47" t="inlineStr">
        <is>
          <t>Not Tested</t>
        </is>
      </c>
      <c r="I18" s="47" t="inlineStr">
        <is>
          <t>Configuration</t>
        </is>
      </c>
    </row>
    <row r="19" ht="36" customHeight="1">
      <c r="A19" s="46" t="inlineStr">
        <is>
          <t>Audit</t>
        </is>
      </c>
      <c r="B19" s="47" t="inlineStr">
        <is>
          <t>TC-Commission-18</t>
        </is>
      </c>
      <c r="C19" s="46" t="inlineStr">
        <is>
          <t>Configuration Changes Are Audit-Logged With Previous and New Values</t>
        </is>
      </c>
      <c r="D19" s="47" t="inlineStr">
        <is>
          <t>High</t>
        </is>
      </c>
      <c r="E19" s="46" t="inlineStr">
        <is>
          <t>Audit log accessible</t>
        </is>
      </c>
      <c r="F19" s="46" t="inlineStr">
        <is>
          <t>1. Change a PoS scheme
2. Inspect the audit entry</t>
        </is>
      </c>
      <c r="G19" s="46" t="inlineStr">
        <is>
          <t>The entry records actor, timestamp, previous values and new values</t>
        </is>
      </c>
      <c r="H19" s="47" t="inlineStr">
        <is>
          <t>Not Tested</t>
        </is>
      </c>
      <c r="I19" s="47" t="inlineStr">
        <is>
          <t>Security</t>
        </is>
      </c>
    </row>
    <row r="20" ht="36" customHeight="1">
      <c r="A20" s="46" t="inlineStr">
        <is>
          <t>Audit</t>
        </is>
      </c>
      <c r="B20" s="47" t="inlineStr">
        <is>
          <t>TC-Commission-19</t>
        </is>
      </c>
      <c r="C20" s="46" t="inlineStr">
        <is>
          <t>Configuration Changes Require Finance Approval</t>
        </is>
      </c>
      <c r="D20" s="47" t="inlineStr">
        <is>
          <t>Medium</t>
        </is>
      </c>
      <c r="E20" s="46" t="inlineStr">
        <is>
          <t>Existing platform approval controls active</t>
        </is>
      </c>
      <c r="F20" s="46" t="inlineStr">
        <is>
          <t>1. Submit a PoS scheme change as a platform admin
2. Attempt to have it take effect before Finance approves</t>
        </is>
      </c>
      <c r="G20" s="46" t="inlineStr">
        <is>
          <t>The change is routed through the existing approval control and does not take effect until Finance approves; previous and new values are shown side by side to the approver</t>
        </is>
      </c>
      <c r="H20" s="47" t="inlineStr">
        <is>
          <t>Not Tested</t>
        </is>
      </c>
      <c r="I20" s="47" t="inlineStr">
        <is>
          <t>Security</t>
        </is>
      </c>
    </row>
    <row r="21" ht="36" customHeight="1">
      <c r="A21" s="46" t="inlineStr">
        <is>
          <t>Audit</t>
        </is>
      </c>
      <c r="B21" s="47" t="inlineStr">
        <is>
          <t>TC-Commission-20</t>
        </is>
      </c>
      <c r="C21" s="46" t="inlineStr">
        <is>
          <t>Change History Is Visible per Merchant</t>
        </is>
      </c>
      <c r="D21" s="47" t="inlineStr">
        <is>
          <t>Medium</t>
        </is>
      </c>
      <c r="E21" s="46" t="inlineStr">
        <is>
          <t>A merchant whose PoS scheme has been changed more than once</t>
        </is>
      </c>
      <c r="F21" s="46" t="inlineStr">
        <is>
          <t>1. Open the change history for that merchant</t>
        </is>
      </c>
      <c r="G21" s="46" t="inlineStr">
        <is>
          <t>The full change history is listed with actor, timestamp and the values before and after each change</t>
        </is>
      </c>
      <c r="H21" s="47" t="inlineStr">
        <is>
          <t>Not Tested</t>
        </is>
      </c>
      <c r="I21" s="47" t="inlineStr">
        <is>
          <t>Security</t>
        </is>
      </c>
    </row>
    <row r="22" ht="36" customHeight="1">
      <c r="A22" s="46" t="inlineStr">
        <is>
          <t>UI</t>
        </is>
      </c>
      <c r="B22" s="47" t="inlineStr">
        <is>
          <t>TC-Commission-21</t>
        </is>
      </c>
      <c r="C22" s="46" t="inlineStr">
        <is>
          <t>Admin Screen Shows the Resolution Precedence in Force</t>
        </is>
      </c>
      <c r="D22" s="47" t="inlineStr">
        <is>
          <t>Medium</t>
        </is>
      </c>
      <c r="E22" s="46" t="inlineStr">
        <is>
          <t>Schemes configured at merchant, group and default level</t>
        </is>
      </c>
      <c r="F22" s="46" t="inlineStr">
        <is>
          <t>1. Open the PoS commission configuration screen for a merchant</t>
        </is>
      </c>
      <c r="G22" s="46" t="inlineStr">
        <is>
          <t>The screen shows which precedence level is in force for that merchant, so an admin can see which scheme the merchant will actually get without inferring it</t>
        </is>
      </c>
      <c r="H22" s="47" t="inlineStr">
        <is>
          <t>Not Tested</t>
        </is>
      </c>
      <c r="I22" s="47" t="inlineStr">
        <is>
          <t>Usability</t>
        </is>
      </c>
    </row>
    <row r="23" ht="36" customHeight="1">
      <c r="A23" s="46" t="inlineStr">
        <is>
          <t>UI</t>
        </is>
      </c>
      <c r="B23" s="47" t="inlineStr">
        <is>
          <t>TC-Commission-22</t>
        </is>
      </c>
      <c r="C23" s="46" t="inlineStr">
        <is>
          <t>No New Fee-Configuration UI Is Introduced</t>
        </is>
      </c>
      <c r="D23" s="47" t="inlineStr">
        <is>
          <t>Medium</t>
        </is>
      </c>
      <c r="E23" s="46" t="inlineStr">
        <is>
          <t>Admin panel available</t>
        </is>
      </c>
      <c r="F23" s="46" t="inlineStr">
        <is>
          <t>1. Configure the PoS scheme end to end</t>
        </is>
      </c>
      <c r="G23" s="46" t="inlineStr">
        <is>
          <t>Configuration happens entirely in the existing commission engine admin screens; no new fee-configuration UI exists</t>
        </is>
      </c>
      <c r="H23" s="47" t="inlineStr">
        <is>
          <t>Not Tested</t>
        </is>
      </c>
      <c r="I23" s="47" t="inlineStr">
        <is>
          <t>Usability</t>
        </is>
      </c>
    </row>
    <row r="24" ht="36" customHeight="1">
      <c r="A24" s="46" t="inlineStr">
        <is>
          <t>Integration</t>
        </is>
      </c>
      <c r="B24" s="47" t="inlineStr">
        <is>
          <t>TC-Commission-23</t>
        </is>
      </c>
      <c r="C24" s="46" t="inlineStr">
        <is>
          <t>Engine Is Called at ACH Preparation With the Aggregated Cash-In</t>
        </is>
      </c>
      <c r="D24" s="47" t="inlineStr">
        <is>
          <t>High</t>
        </is>
      </c>
      <c r="E24" s="46" t="inlineStr">
        <is>
          <t>A settlement batch ready for ACH preparation (EMI-5922)</t>
        </is>
      </c>
      <c r="F24" s="46" t="inlineStr">
        <is>
          <t>1. Run ACH preparation
2. Trace the call into the commission engine and the entries posted</t>
        </is>
      </c>
      <c r="G24" s="46" t="inlineStr">
        <is>
          <t>EMI-5922 calls the engine with the aggregated cash-in; the returned commission and VAT are posted as pending entries alongside the pending cash-in</t>
        </is>
      </c>
      <c r="H24" s="47" t="inlineStr">
        <is>
          <t>Not Tested</t>
        </is>
      </c>
      <c r="I24" s="47" t="inlineStr">
        <is>
          <t>Integration</t>
        </is>
      </c>
    </row>
    <row r="25" ht="36" customHeight="1">
      <c r="A25" s="46" t="inlineStr">
        <is>
          <t>Non-Functional</t>
        </is>
      </c>
      <c r="B25" s="47" t="inlineStr">
        <is>
          <t>TC-Commission-24</t>
        </is>
      </c>
      <c r="C25" s="46" t="inlineStr">
        <is>
          <t>Scheme Resolution Is O(1) at Pricing Time</t>
        </is>
      </c>
      <c r="D25" s="47" t="inlineStr">
        <is>
          <t>Medium</t>
        </is>
      </c>
      <c r="E25" s="46" t="inlineStr">
        <is>
          <t>A large number of configured schemes across merchants and groups</t>
        </is>
      </c>
      <c r="F25" s="46" t="inlineStr">
        <is>
          <t>1. Price batches while scaling the number of configured schemes
2. Measure resolution time</t>
        </is>
      </c>
      <c r="G25" s="46" t="inlineStr">
        <is>
          <t>Resolution time stays flat as the scheme count grows; it does not degrade with configuration volume</t>
        </is>
      </c>
      <c r="H25" s="47" t="inlineStr">
        <is>
          <t>Not Tested</t>
        </is>
      </c>
      <c r="I25" s="47" t="inlineStr">
        <is>
          <t>Performance / NFR</t>
        </is>
      </c>
    </row>
    <row r="26" ht="36" customHeight="1">
      <c r="A26" s="46" t="inlineStr">
        <is>
          <t>Non-Functional</t>
        </is>
      </c>
      <c r="B26" s="47" t="inlineStr">
        <is>
          <t>TC-Commission-25</t>
        </is>
      </c>
      <c r="C26" s="46" t="inlineStr">
        <is>
          <t>No New Fee Engine, Rounding Rule or VAT Logic Is Introduced</t>
        </is>
      </c>
      <c r="D26" s="47" t="inlineStr">
        <is>
          <t>High</t>
        </is>
      </c>
      <c r="E26" s="46" t="inlineStr">
        <is>
          <t>Existing engine behaviour documented for comparison</t>
        </is>
      </c>
      <c r="F26" s="46" t="inlineStr">
        <is>
          <t>1. Price PoS batches and comparable non-PoS transactions
2. Compare rounding, VAT computation and fee composition against the existing engine's behaviour</t>
        </is>
      </c>
      <c r="G26" s="46" t="inlineStr">
        <is>
          <t>Behaviour matches the existing engine exactly; any divergence in rounding, VAT or fee logic is a defect in this story, not a feature</t>
        </is>
      </c>
      <c r="H26" s="47" t="inlineStr">
        <is>
          <t>Not Tested</t>
        </is>
      </c>
      <c r="I26" s="47" t="inlineStr">
        <is>
          <t>Edge / Boundary</t>
        </is>
      </c>
    </row>
    <row r="27" ht="36" customHeight="1">
      <c r="A27" s="46" t="inlineStr">
        <is>
          <t>Functional</t>
        </is>
      </c>
      <c r="B27" s="47" t="inlineStr">
        <is>
          <t>TC-Commission-26</t>
        </is>
      </c>
      <c r="C27" s="46" t="inlineStr">
        <is>
          <t>Merchant Sees Commission on the Cleared Cash-In, Rendered Elsewhere</t>
        </is>
      </c>
      <c r="D27" s="47" t="inlineStr">
        <is>
          <t>Medium</t>
        </is>
      </c>
      <c r="E27" s="46" t="inlineStr">
        <is>
          <t>A priced and cleared PoS settlement cash-in</t>
        </is>
      </c>
      <c r="F27" s="46" t="inlineStr">
        <is>
          <t>1. Open the merchant view of the cleared cash-in (EMI-5916)
2. Check for a tax invoice from EMI-6018</t>
        </is>
      </c>
      <c r="G27" s="46" t="inlineStr">
        <is>
          <t>The merchant sees the commission on the cleared cash-in rendered by EMI-5916 and receives the tax invoice from EMI-6018; this story builds no merchant-facing surface of its own</t>
        </is>
      </c>
      <c r="H27" s="47" t="inlineStr">
        <is>
          <t>Not Tested</t>
        </is>
      </c>
      <c r="I27" s="47" t="inlineStr">
        <is>
          <t>Functional</t>
        </is>
      </c>
    </row>
    <row r="28" ht="36" customHeight="1">
      <c r="A28" s="46" t="inlineStr">
        <is>
          <t>Boundary</t>
        </is>
      </c>
      <c r="B28" s="47" t="inlineStr">
        <is>
          <t>TC-Commission-27</t>
        </is>
      </c>
      <c r="C28" s="46" t="inlineStr">
        <is>
          <t>Rounding - Fee Legs Round Down and the Destination Absorbs the Remainder</t>
        </is>
      </c>
      <c r="D28" s="47" t="inlineStr">
        <is>
          <t>High</t>
        </is>
      </c>
      <c r="E28" s="46" t="inlineStr">
        <is>
          <t>A batch amount and rate combination that does not divide cleanly to 2 decimal places</t>
        </is>
      </c>
      <c r="F28" s="46" t="inlineStr">
        <is>
          <t>1. Price the batch
2. Inspect the commission leg, the VAT leg and the merchant credit to the halalah
3. Sum all legs against the batch net</t>
        </is>
      </c>
      <c r="G28" s="46" t="inlineStr">
        <is>
          <t>Fee legs are rounded down to 2 decimal places and the merchant credit absorbs the rounding remainder; total conservation is exact to the halalah with nothing created or lost</t>
        </is>
      </c>
      <c r="H28" s="47" t="inlineStr">
        <is>
          <t>Not Tested</t>
        </is>
      </c>
      <c r="I28" s="47" t="inlineStr">
        <is>
          <t>Edge / Boundary</t>
        </is>
      </c>
    </row>
    <row r="29" ht="36" customHeight="1">
      <c r="A29" s="46" t="inlineStr">
        <is>
          <t>Functional</t>
        </is>
      </c>
      <c r="B29" s="47" t="inlineStr">
        <is>
          <t>TC-Commission-28</t>
        </is>
      </c>
      <c r="C29" s="46" t="inlineStr">
        <is>
          <t>Scheme Resolution Precedence Across the Full Key Matrix</t>
        </is>
      </c>
      <c r="D29" s="47" t="inlineStr">
        <is>
          <t>Medium</t>
        </is>
      </c>
      <c r="E29" s="46" t="inlineStr">
        <is>
          <t>Schemes configured across merchant, group and default levels and across the optional dimensions the engine supports</t>
        </is>
      </c>
      <c r="F29" s="46" t="inlineStr">
        <is>
          <t>1. Price batches across every combination of the full scheme key, including any optional dimension such as MCC
2. Record which scheme resolves in each case</t>
        </is>
      </c>
      <c r="G29" s="46" t="inlineStr">
        <is>
          <t>Most-specific-wins holds across the whole key in every combination, not only the merchant-versus-default cases</t>
        </is>
      </c>
      <c r="H29" s="47" t="inlineStr">
        <is>
          <t>Not Tested</t>
        </is>
      </c>
      <c r="I29" s="47" t="inlineStr">
        <is>
          <t>Functional</t>
        </is>
      </c>
    </row>
    <row r="30" ht="36" customHeight="1">
      <c r="A30" s="46" t="inlineStr">
        <is>
          <t>Functional</t>
        </is>
      </c>
      <c r="B30" s="47" t="inlineStr">
        <is>
          <t>TC-Commission-29</t>
        </is>
      </c>
      <c r="C30" s="46" t="inlineStr">
        <is>
          <t>Wallet Instrument Resolves a Different Scheme From Card for the Same Merchant</t>
        </is>
      </c>
      <c r="D30" s="47" t="inlineStr">
        <is>
          <t>Medium</t>
        </is>
      </c>
      <c r="E30" s="46" t="inlineStr">
        <is>
          <t>One merchant with both a card PoS scheme and a wallet-payment scheme configured</t>
        </is>
      </c>
      <c r="F30" s="46" t="inlineStr">
        <is>
          <t>1. Price a card settlement batch for the merchant
2. Price a wallet payment at terminal for the same merchant
3. Compare the schemes resolved</t>
        </is>
      </c>
      <c r="G30" s="46" t="inlineStr">
        <is>
          <t>Each instrument resolves its own scheme; a wallet payment is never priced by the card settlement scheme or the reverse</t>
        </is>
      </c>
      <c r="H30" s="47" t="inlineStr">
        <is>
          <t>Not Tested</t>
        </is>
      </c>
      <c r="I30" s="47" t="inlineStr">
        <is>
          <t>Functional</t>
        </is>
      </c>
    </row>
    <row r="31" ht="36" customHeight="1">
      <c r="A31" s="46" t="inlineStr">
        <is>
          <t>Open Question</t>
        </is>
      </c>
      <c r="B31" s="47" t="inlineStr">
        <is>
          <t>TC-Commission-30</t>
        </is>
      </c>
      <c r="C31" s="46" t="inlineStr">
        <is>
          <t>Scheme Change Between Booking and Crediting - Snapshot vs Re-Price</t>
        </is>
      </c>
      <c r="D31" s="47" t="inlineStr">
        <is>
          <t>High</t>
        </is>
      </c>
      <c r="E31" s="46" t="inlineStr">
        <is>
          <t>A batch booked under scheme A, with scheme B configured before the credit clears</t>
        </is>
      </c>
      <c r="F31" s="46" t="inlineStr">
        <is>
          <t>1. Book the batch under scheme A
2. Change the merchant's scheme to B
3. Let the credit clear and inspect which rate was applied</t>
        </is>
      </c>
      <c r="G31" s="46" t="inlineStr">
        <is>
          <t>Confirm with Product whether the rate is frozen at booking or resolved at pricing time. Current EMI-5921 acceptance criteria say only that the engine is called at ACH preparation and are silent on snapshotting; an earlier suite asserted a frozen snapshot. Historical batches must not be silently re-priced either way</t>
        </is>
      </c>
      <c r="H31" s="47" t="inlineStr">
        <is>
          <t>Not Tested</t>
        </is>
      </c>
      <c r="I31" s="47" t="inlineStr">
        <is>
          <t>Open Question</t>
        </is>
      </c>
    </row>
    <row r="32" ht="36" customHeight="1">
      <c r="A32" s="46" t="inlineStr">
        <is>
          <t>Open Question</t>
        </is>
      </c>
      <c r="B32" s="47" t="inlineStr">
        <is>
          <t>TC-Commission-31</t>
        </is>
      </c>
      <c r="C32" s="46" t="inlineStr">
        <is>
          <t>Per-Scheme Refund Fee Policy - Blocked on O43</t>
        </is>
      </c>
      <c r="D32" s="47" t="inlineStr">
        <is>
          <t>Medium</t>
        </is>
      </c>
      <c r="E32" s="46" t="inlineStr">
        <is>
          <t>A scheme carrying any refund fee-policy setting</t>
        </is>
      </c>
      <c r="F32" s="46" t="inlineStr">
        <is>
          <t>1. Inspect whether a refund fee-policy flag exists on the PoS scheme
2. Capture a refund against a priced sale</t>
        </is>
      </c>
      <c r="G32" s="46" t="inlineStr">
        <is>
          <t>EMI-5921 places commission refund and claw-back out of scope pending O43. Assert that no refund-driven fee reversal occurs today. Re-scope once O43 is answered and EMI-5918's debit path is designed</t>
        </is>
      </c>
      <c r="H32" s="47" t="inlineStr">
        <is>
          <t>Not Tested</t>
        </is>
      </c>
      <c r="I32" s="47" t="inlineStr">
        <is>
          <t>Open Question</t>
        </is>
      </c>
    </row>
  </sheetData>
  <autoFilter ref="A1:I32"/>
  <conditionalFormatting sqref="H2:H32">
    <cfRule type="cellIs" priority="1" operator="equal" dxfId="54">
      <formula>"Passed"</formula>
    </cfRule>
    <cfRule type="cellIs" priority="2" operator="equal" dxfId="55">
      <formula>"Failed"</formula>
    </cfRule>
    <cfRule type="cellIs" priority="3" operator="equal" dxfId="56">
      <formula>"Partially Passed"</formula>
    </cfRule>
    <cfRule type="cellIs" priority="4" operator="equal" dxfId="57">
      <formula>"Not Tested"</formula>
    </cfRule>
    <cfRule type="cellIs" priority="5" operator="equal" dxfId="58">
      <formula>"Not Implemented"</formula>
    </cfRule>
    <cfRule type="cellIs" priority="6" operator="equal" dxfId="59">
      <formula>"NA"</formula>
    </cfRule>
  </conditionalFormatting>
  <dataValidations count="2">
    <dataValidation sqref="H2:H27" showDropDown="0" showInputMessage="0" showErrorMessage="0" allowBlank="1" type="list">
      <formula1>"Passed,Failed,Partially Passed,Not Tested,Not Implemented,NA"</formula1>
    </dataValidation>
    <dataValidation sqref="H2:H32" showDropDown="0" showInputMessage="0" showErrorMessage="0" allowBlank="1" type="list">
      <formula1>"Passed,Failed,Partially Passed,Not Tested,Not Implemented,NA"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96"/>
  <sheetViews>
    <sheetView showGridLines="1" tabSelected="1" workbookViewId="0">
      <pane ySplit="1" topLeftCell="A2" activePane="bottomLeft" state="frozen"/>
      <selection pane="bottomLeft" activeCell="G10" sqref="G10"/>
    </sheetView>
  </sheetViews>
  <sheetFormatPr baseColWidth="8" defaultRowHeight="14.4"/>
  <cols>
    <col width="20" customWidth="1" min="1" max="1"/>
    <col width="18" customWidth="1" min="2" max="2"/>
    <col width="36" customWidth="1" min="3" max="3"/>
    <col width="14" customWidth="1" min="4" max="4"/>
    <col width="38" customWidth="1" min="5" max="5"/>
    <col width="45" customWidth="1" min="6" max="7"/>
    <col width="45" customWidth="1" min="7" max="7"/>
    <col width="18" customWidth="1" min="8" max="8"/>
    <col width="20" customWidth="1" min="9" max="9"/>
  </cols>
  <sheetData>
    <row r="1" ht="28.05" customHeight="1" thickBot="1">
      <c r="A1" s="34" t="inlineStr">
        <is>
          <t>Subtopic / Category</t>
        </is>
      </c>
      <c r="B1" s="34" t="inlineStr">
        <is>
          <t>TC ID</t>
        </is>
      </c>
      <c r="C1" s="34" t="inlineStr">
        <is>
          <t>Title</t>
        </is>
      </c>
      <c r="D1" s="34" t="inlineStr">
        <is>
          <t>Priority</t>
        </is>
      </c>
      <c r="E1" s="34" t="inlineStr">
        <is>
          <t>Preconditions</t>
        </is>
      </c>
      <c r="F1" s="34" t="inlineStr">
        <is>
          <t>Steps</t>
        </is>
      </c>
      <c r="G1" s="34" t="inlineStr">
        <is>
          <t>Expected Result</t>
        </is>
      </c>
      <c r="H1" s="34" t="inlineStr">
        <is>
          <t>Status</t>
        </is>
      </c>
      <c r="I1" s="34" t="inlineStr">
        <is>
          <t>Test Type</t>
        </is>
      </c>
    </row>
    <row r="2" ht="36" customHeight="1">
      <c r="A2" s="46" t="inlineStr">
        <is>
          <t>Functional</t>
        </is>
      </c>
      <c r="B2" s="47" t="inlineStr">
        <is>
          <t>TC-ACH-01</t>
        </is>
      </c>
      <c r="C2" s="46" t="inlineStr">
        <is>
          <t>Matched Aggregate – ACH Item Generation</t>
        </is>
      </c>
      <c r="D2" s="47" t="inlineStr">
        <is>
          <t>Critical</t>
        </is>
      </c>
      <c r="E2" s="46" t="inlineStr">
        <is>
          <t>Aggregate is matched and funded by Reconciliation; merchant is eligible</t>
        </is>
      </c>
      <c r="F2" s="46" t="inlineStr">
        <is>
          <t>1. Handoff matched aggregate to settlement.
2. Build settlement batch.
3. Inspect generated ACH item.</t>
        </is>
      </c>
      <c r="G2" s="46" t="inlineStr">
        <is>
          <t>One settlement item is created per TID group. item_ref, batch_ref, TID, wallet, VIBAN and aggregate net amount are persisted. Item is AWAITING_APPROVAL.</t>
        </is>
      </c>
      <c r="H2" s="47" t="inlineStr">
        <is>
          <t>NA</t>
        </is>
      </c>
      <c r="I2" s="47" t="inlineStr">
        <is>
          <t>Functional</t>
        </is>
      </c>
    </row>
    <row r="3" ht="36" customHeight="1">
      <c r="A3" s="46" t="inlineStr">
        <is>
          <t>Functional</t>
        </is>
      </c>
      <c r="B3" s="47" t="inlineStr">
        <is>
          <t>TC-ACH-02</t>
        </is>
      </c>
      <c r="C3" s="46" t="inlineStr">
        <is>
          <t>One Merchant With Multiple TIDs</t>
        </is>
      </c>
      <c r="D3" s="47" t="inlineStr">
        <is>
          <t>Critical</t>
        </is>
      </c>
      <c r="E3" s="46" t="inlineStr">
        <is>
          <t>One merchant has 3 TIDs with separate matched aggregates</t>
        </is>
      </c>
      <c r="F3" s="46" t="inlineStr">
        <is>
          <t>1. Process the three aggregates.
2. Build settlement batch.</t>
        </is>
      </c>
      <c r="G3" s="46" t="inlineStr">
        <is>
          <t>Exactly 3 ACH items / 3 transfers are created. Each item has its own batch_ref and amount. Items are not aggregated across TIDs.</t>
        </is>
      </c>
      <c r="H3" s="47" t="inlineStr">
        <is>
          <t>NA</t>
        </is>
      </c>
      <c r="I3" s="47" t="inlineStr">
        <is>
          <t>Edge / Boundary</t>
        </is>
      </c>
    </row>
    <row r="4" ht="36" customHeight="1">
      <c r="A4" s="46" t="inlineStr">
        <is>
          <t>Functional</t>
        </is>
      </c>
      <c r="B4" s="47" t="inlineStr">
        <is>
          <t>TC-ACH-03</t>
        </is>
      </c>
      <c r="C4" s="46" t="inlineStr">
        <is>
          <t>Idempotent ACH Generation</t>
        </is>
      </c>
      <c r="D4" s="47" t="inlineStr">
        <is>
          <t>Critical</t>
        </is>
      </c>
      <c r="E4" s="46" t="inlineStr">
        <is>
          <t>Valid matched aggregate already generated an ACH item</t>
        </is>
      </c>
      <c r="F4" s="46" t="inlineStr">
        <is>
          <t>1. Run generation.
2. Re-run reconciliation/batch build.
3. Re-run catch-up/rebuild.</t>
        </is>
      </c>
      <c r="G4" s="46" t="inlineStr">
        <is>
          <t>Only one ACH item/transfer exists for the batch_ref. No duplicate payment or settlement item is created.</t>
        </is>
      </c>
      <c r="H4" s="47" t="inlineStr">
        <is>
          <t>NA</t>
        </is>
      </c>
      <c r="I4" s="47" t="inlineStr">
        <is>
          <t>Integration</t>
        </is>
      </c>
    </row>
    <row r="5" ht="36" customHeight="1">
      <c r="A5" s="46" t="inlineStr">
        <is>
          <t>Functional</t>
        </is>
      </c>
      <c r="B5" s="47" t="inlineStr">
        <is>
          <t>TC-ACH-04</t>
        </is>
      </c>
      <c r="C5" s="46" t="inlineStr">
        <is>
          <t>Gate 2 – Merchant Eligibility and Sanctions Check</t>
        </is>
      </c>
      <c r="D5" s="47" t="inlineStr">
        <is>
          <t>Critical</t>
        </is>
      </c>
      <c r="E5" s="46" t="inlineStr">
        <is>
          <t>Aggregate matched; merchant status changes after initial screening</t>
        </is>
      </c>
      <c r="F5" s="46" t="inlineStr">
        <is>
          <t>1. Change merchant eligibility before batch release.
2. Run Gate 2.
3. Repeat with a newly matched sanctions hit.</t>
        </is>
      </c>
      <c r="G5" s="46" t="inlineStr">
        <is>
          <t>Failed eligibility or sanctions screening excludes the item from release. Funds remain in the omnibus. No ACH instruction is released.</t>
        </is>
      </c>
      <c r="H5" s="47" t="inlineStr">
        <is>
          <t>NA</t>
        </is>
      </c>
      <c r="I5" s="47" t="inlineStr">
        <is>
          <t>Functional</t>
        </is>
      </c>
    </row>
    <row r="6" ht="36" customHeight="1">
      <c r="A6" s="46" t="inlineStr">
        <is>
          <t>Functional</t>
        </is>
      </c>
      <c r="B6" s="47" t="inlineStr">
        <is>
          <t>TC-ACH-05</t>
        </is>
      </c>
      <c r="C6" s="46" t="inlineStr">
        <is>
          <t>ACH Reference Propagation</t>
        </is>
      </c>
      <c r="D6" s="47" t="inlineStr">
        <is>
          <t>Critical</t>
        </is>
      </c>
      <c r="E6" s="46" t="inlineStr">
        <is>
          <t>Valid settlement item with known batch_ref</t>
        </is>
      </c>
      <c r="F6" s="46" t="inlineStr">
        <is>
          <t>1. Generate ACH instruction.
2. Inspect ACH request.</t>
        </is>
      </c>
      <c r="G6" s="46" t="inlineStr">
        <is>
          <t>batch_ref is written to the ACH notes/remittance field unchanged. The same reference is available for subsequent clearing.</t>
        </is>
      </c>
      <c r="H6" s="47" t="inlineStr">
        <is>
          <t>NA</t>
        </is>
      </c>
      <c r="I6" s="47" t="inlineStr">
        <is>
          <t>Functional</t>
        </is>
      </c>
    </row>
    <row r="7" ht="36" customHeight="1">
      <c r="A7" s="46" t="inlineStr">
        <is>
          <t>Functional</t>
        </is>
      </c>
      <c r="B7" s="47" t="inlineStr">
        <is>
          <t>TC-ACH-06</t>
        </is>
      </c>
      <c r="C7" s="46" t="inlineStr">
        <is>
          <t>Maker-Checker Approval</t>
        </is>
      </c>
      <c r="D7" s="47" t="inlineStr">
        <is>
          <t>Critical</t>
        </is>
      </c>
      <c r="E7" s="46" t="inlineStr">
        <is>
          <t>Default automatic mode is disabled</t>
        </is>
      </c>
      <c r="F7" s="46" t="inlineStr">
        <is>
          <t>1. Generate valid ACH items.
2. Review approval status.
3. Finance approves.
4. Release transfer.</t>
        </is>
      </c>
      <c r="G7" s="46" t="inlineStr">
        <is>
          <t>ACH item cannot be released before Finance approval. Approval and release are audit logged with actor and batch_ref.</t>
        </is>
      </c>
      <c r="H7" s="47" t="inlineStr">
        <is>
          <t>NA</t>
        </is>
      </c>
      <c r="I7" s="47" t="inlineStr">
        <is>
          <t>Functional</t>
        </is>
      </c>
    </row>
    <row r="8" ht="36" customHeight="1">
      <c r="A8" s="46" t="inlineStr">
        <is>
          <t>Functional</t>
        </is>
      </c>
      <c r="B8" s="47" t="inlineStr">
        <is>
          <t>TC-ACH-07</t>
        </is>
      </c>
      <c r="C8" s="46" t="inlineStr">
        <is>
          <t>Automatic Release Mode</t>
        </is>
      </c>
      <c r="D8" s="47" t="inlineStr">
        <is>
          <t>High</t>
        </is>
      </c>
      <c r="E8" s="46" t="inlineStr">
        <is>
          <t>Automatic mode explicitly enabled and item meets configured threshold</t>
        </is>
      </c>
      <c r="F8" s="46" t="inlineStr">
        <is>
          <t>1. Enable auto-release configuration.
2. Generate eligible item.
3. Process release.</t>
        </is>
      </c>
      <c r="G8" s="46" t="inlineStr">
        <is>
          <t>Item is released automatically without manual approval. Auto-release decision is audit logged. Items outside threshold remain subject to control.</t>
        </is>
      </c>
      <c r="H8" s="47" t="inlineStr">
        <is>
          <t>NA</t>
        </is>
      </c>
      <c r="I8" s="47" t="inlineStr">
        <is>
          <t>Functional</t>
        </is>
      </c>
    </row>
    <row r="9" ht="36" customHeight="1">
      <c r="A9" s="46" t="inlineStr">
        <is>
          <t>Functional</t>
        </is>
      </c>
      <c r="B9" s="47" t="inlineStr">
        <is>
          <t>TC-ACH-08</t>
        </is>
      </c>
      <c r="C9" s="46" t="inlineStr">
        <is>
          <t>Intraday Credit Clears Pending Cash-In</t>
        </is>
      </c>
      <c r="D9" s="47" t="inlineStr">
        <is>
          <t>Critical</t>
        </is>
      </c>
      <c r="E9" s="46" t="inlineStr">
        <is>
          <t>ACH executed; intraday statement contains credit with matching batch_ref; credit amount equals pending amount</t>
        </is>
      </c>
      <c r="F9" s="46" t="inlineStr">
        <is>
          <t>1. Process intraday statement.
2. Find credit using batch_ref.
3. Check pending cash-in.</t>
        </is>
      </c>
      <c r="G9" s="46" t="inlineStr">
        <is>
          <t>Existing aggregated CASH IN changes from PENDING → SUCCESSFUL. Member per-TID entries settle accordingly. No new cash-in is created.</t>
        </is>
      </c>
      <c r="H9" s="47" t="inlineStr">
        <is>
          <t>NA</t>
        </is>
      </c>
      <c r="I9" s="47" t="inlineStr">
        <is>
          <t>Functional</t>
        </is>
      </c>
    </row>
    <row r="10" ht="36" customHeight="1">
      <c r="A10" s="46" t="inlineStr">
        <is>
          <t>Functional</t>
        </is>
      </c>
      <c r="B10" s="47" t="inlineStr">
        <is>
          <t>TC-ACH-09</t>
        </is>
      </c>
      <c r="C10" s="46" t="inlineStr">
        <is>
          <t>Intraday Credit Amount Mismatch</t>
        </is>
      </c>
      <c r="D10" s="47" t="inlineStr">
        <is>
          <t>Critical</t>
        </is>
      </c>
      <c r="E10" s="46" t="inlineStr">
        <is>
          <t>Credit reference matches batch_ref, but credited amount differs from pending amount</t>
        </is>
      </c>
      <c r="F10" s="46" t="inlineStr">
        <is>
          <t>1. Process intraday statement.
2. Match reference.
3. Compare amounts.</t>
        </is>
      </c>
      <c r="G10" s="46" t="inlineStr">
        <is>
          <t>Pending cash-in remains unchanged/PENDING. Nothing is partially cleared. Item moves to discrepancy queue. No additional cash-in is booked.</t>
        </is>
      </c>
      <c r="H10" s="47" t="inlineStr">
        <is>
          <t>NA</t>
        </is>
      </c>
      <c r="I10" s="47" t="inlineStr">
        <is>
          <t>Functional</t>
        </is>
      </c>
    </row>
    <row r="11" ht="36" customHeight="1">
      <c r="A11" s="46" t="inlineStr">
        <is>
          <t>Functional</t>
        </is>
      </c>
      <c r="B11" s="47" t="inlineStr">
        <is>
          <t>TC-ACH-10</t>
        </is>
      </c>
      <c r="C11" s="46" t="inlineStr">
        <is>
          <t>Credit Without Valid Reference</t>
        </is>
      </c>
      <c r="D11" s="47" t="inlineStr">
        <is>
          <t>Critical</t>
        </is>
      </c>
      <c r="E11" s="46" t="inlineStr">
        <is>
          <t>Intraday credit has no recognizable batch_ref or contains a malformed/truncated reference</t>
        </is>
      </c>
      <c r="F11" s="46" t="inlineStr">
        <is>
          <t>1. Process statement credit.
2. Run clearing job.</t>
        </is>
      </c>
      <c r="G11" s="46" t="inlineStr">
        <is>
          <t>Credit is parked for Ops. No matching by amount/date is attempted. No pending cash-in is cleared. Reference integrity issue is raised.</t>
        </is>
      </c>
      <c r="H11" s="47" t="inlineStr">
        <is>
          <t>NA</t>
        </is>
      </c>
      <c r="I11" s="47" t="inlineStr">
        <is>
          <t>Functional</t>
        </is>
      </c>
    </row>
    <row r="12" ht="36" customHeight="1">
      <c r="A12" s="46" t="inlineStr">
        <is>
          <t>Functional</t>
        </is>
      </c>
      <c r="B12" s="47" t="inlineStr">
        <is>
          <t>TC-ACH-11</t>
        </is>
      </c>
      <c r="C12" s="46" t="inlineStr">
        <is>
          <t>Unknown batch_ref</t>
        </is>
      </c>
      <c r="D12" s="47" t="inlineStr">
        <is>
          <t>High</t>
        </is>
      </c>
      <c r="E12" s="46" t="inlineStr">
        <is>
          <t>Credit contains a validly formatted but unknown batch_ref</t>
        </is>
      </c>
      <c r="F12" s="46" t="inlineStr">
        <is>
          <t>1. Process credit.
2. Run clearing job.</t>
        </is>
      </c>
      <c r="G12" s="46" t="inlineStr">
        <is>
          <t>Credit is parked as an exception. No cash-in is booked. No pending transaction is cleared. No amount-based fallback occurs.</t>
        </is>
      </c>
      <c r="H12" s="47" t="inlineStr">
        <is>
          <t>NA</t>
        </is>
      </c>
      <c r="I12" s="47" t="inlineStr">
        <is>
          <t>Negative</t>
        </is>
      </c>
    </row>
    <row r="13" ht="36" customHeight="1">
      <c r="A13" s="46" t="inlineStr">
        <is>
          <t>Functional</t>
        </is>
      </c>
      <c r="B13" s="47" t="inlineStr">
        <is>
          <t>TC-ACH-12</t>
        </is>
      </c>
      <c r="C13" s="46" t="inlineStr">
        <is>
          <t>ACH Rejection</t>
        </is>
      </c>
      <c r="D13" s="47" t="inlineStr">
        <is>
          <t>Critical</t>
        </is>
      </c>
      <c r="E13" s="46" t="inlineStr">
        <is>
          <t>ACH item is released but bank rejects it because of closed VIBAN/bank error</t>
        </is>
      </c>
      <c r="F13" s="46" t="inlineStr">
        <is>
          <t>1. Receive bank rejection.
2. Check aggregate and settlement item.
3. Review discrepancy queue.</t>
        </is>
      </c>
      <c r="G13" s="46" t="inlineStr">
        <is>
          <t>Pending aggregated CASH IN remains PENDING. Item enters discrepancy queue for repair/re-issue. No unsafe automatic retry creates a duplicate payment.</t>
        </is>
      </c>
      <c r="H13" s="47" t="inlineStr">
        <is>
          <t>NA</t>
        </is>
      </c>
      <c r="I13" s="47" t="inlineStr">
        <is>
          <t>Integration</t>
        </is>
      </c>
    </row>
    <row r="14" ht="36" customHeight="1">
      <c r="A14" s="46" t="inlineStr">
        <is>
          <t>Functional</t>
        </is>
      </c>
      <c r="B14" s="47" t="inlineStr">
        <is>
          <t>TC-ACH-13</t>
        </is>
      </c>
      <c r="C14" s="46" t="inlineStr">
        <is>
          <t>Transfer Returned After Successful Clearing</t>
        </is>
      </c>
      <c r="D14" s="47" t="inlineStr">
        <is>
          <t>Critical</t>
        </is>
      </c>
      <c r="E14" s="46" t="inlineStr">
        <is>
          <t>Pending cash-in was cleared successfully; bank subsequently returns the transfer</t>
        </is>
      </c>
      <c r="F14" s="46" t="inlineStr">
        <is>
          <t>1. Process return notification.
2. Reverse the cleared cash-in.</t>
        </is>
      </c>
      <c r="G14" s="46" t="inlineStr">
        <is>
          <t>An explicit compensating reversal entry is created. Original entry is not deleted or amended. Reversal carries the same batch_ref.</t>
        </is>
      </c>
      <c r="H14" s="47" t="inlineStr">
        <is>
          <t>NA</t>
        </is>
      </c>
      <c r="I14" s="47" t="inlineStr">
        <is>
          <t>Functional</t>
        </is>
      </c>
    </row>
    <row r="15" ht="36" customHeight="1">
      <c r="A15" s="46" t="inlineStr">
        <is>
          <t>Functional</t>
        </is>
      </c>
      <c r="B15" s="47" t="inlineStr">
        <is>
          <t>TC-ACH-14</t>
        </is>
      </c>
      <c r="C15" s="46" t="inlineStr">
        <is>
          <t>Partial Batch Execution</t>
        </is>
      </c>
      <c r="D15" s="47" t="inlineStr">
        <is>
          <t>Critical</t>
        </is>
      </c>
      <c r="E15" s="46" t="inlineStr">
        <is>
          <t>Batch contains multiple independent TID settlement items; one transfer fails</t>
        </is>
      </c>
      <c r="F15" s="46" t="inlineStr">
        <is>
          <t>1. Release all eligible items.
2. Make one bank transfer fail.
3. Process remaining transfers.</t>
        </is>
      </c>
      <c r="G15" s="46" t="inlineStr">
        <is>
          <t>Failed item remains pending/exceptional. Successful items continue independently and can be cleared normally. One failure does not block remaining transfers.</t>
        </is>
      </c>
      <c r="H15" s="47" t="inlineStr">
        <is>
          <t>NA</t>
        </is>
      </c>
      <c r="I15" s="47" t="inlineStr">
        <is>
          <t>Negative</t>
        </is>
      </c>
    </row>
    <row r="16" ht="36" customHeight="1">
      <c r="A16" s="46" t="inlineStr">
        <is>
          <t>Functional</t>
        </is>
      </c>
      <c r="B16" s="47" t="inlineStr">
        <is>
          <t>TC-ACH-15</t>
        </is>
      </c>
      <c r="C16" s="46" t="inlineStr">
        <is>
          <t>Standard CASH IN Ledger Type</t>
        </is>
      </c>
      <c r="D16" s="47" t="inlineStr">
        <is>
          <t>High</t>
        </is>
      </c>
      <c r="E16" s="46" t="inlineStr">
        <is>
          <t>Valid settlement reaches successful clearing</t>
        </is>
      </c>
      <c r="F16" s="46" t="inlineStr">
        <is>
          <t>1. Inspect the pending transaction created during BTS processing.
2. Complete intraday clearing.
3. Inspect final ledger transaction.</t>
        </is>
      </c>
      <c r="G16" s="46" t="inlineStr">
        <is>
          <t>Ledger transaction type is standard CASH IN. No custom PoS transaction type is created. PoS context is maintained through metadata (batch_ref, TID).</t>
        </is>
      </c>
      <c r="H16" s="47" t="inlineStr">
        <is>
          <t>NA</t>
        </is>
      </c>
      <c r="I16" s="47" t="inlineStr">
        <is>
          <t>Functional</t>
        </is>
      </c>
    </row>
    <row r="17" ht="36" customHeight="1">
      <c r="A17" s="46" t="inlineStr">
        <is>
          <t>Functional</t>
        </is>
      </c>
      <c r="B17" s="47" t="inlineStr">
        <is>
          <t>TC-ACH-16</t>
        </is>
      </c>
      <c r="C17" s="46" t="inlineStr">
        <is>
          <t>End-to-End Audit Reference Chain</t>
        </is>
      </c>
      <c r="D17" s="47" t="inlineStr">
        <is>
          <t>Critical</t>
        </is>
      </c>
      <c r="E17" s="46" t="inlineStr">
        <is>
          <t>Complete settlement flow available</t>
        </is>
      </c>
      <c r="F17" s="46" t="inlineStr">
        <is>
          <t>1. Trace settlement group.
2. Trace ACH item.
3. Trace intraday credit.
4. Trace cleared CASH IN and member transactions.</t>
        </is>
      </c>
      <c r="G17" s="46" t="inlineStr">
        <is>
          <t>The same batch_ref is traceable through: Settlement Group → ACH Item → Intraday VIBAN Credit → Pending CASH IN → Member/TID Entries. All events are audit logged.</t>
        </is>
      </c>
      <c r="H17" s="47" t="inlineStr">
        <is>
          <t>NA</t>
        </is>
      </c>
      <c r="I17" s="47" t="inlineStr">
        <is>
          <t>Integration</t>
        </is>
      </c>
    </row>
    <row r="18" ht="36" customHeight="1">
      <c r="A18" s="46" t="inlineStr">
        <is>
          <t>Functional</t>
        </is>
      </c>
      <c r="B18" s="47" t="inlineStr">
        <is>
          <t>TC-ACH-17</t>
        </is>
      </c>
      <c r="C18" s="46" t="inlineStr">
        <is>
          <t>Unmatched or Held Aggregate Excluded</t>
        </is>
      </c>
      <c r="D18" s="47" t="inlineStr">
        <is>
          <t>Critical</t>
        </is>
      </c>
      <c r="E18" s="46" t="inlineStr">
        <is>
          <t>Aggregate exists but is unmatched, unfunded, or in COMPLIANCE_HOLD (Gate 1)</t>
        </is>
      </c>
      <c r="F18" s="46" t="inlineStr">
        <is>
          <t>1. Attempt to build settlement batch.
2. Inspect generated ACH items.</t>
        </is>
      </c>
      <c r="G18" s="46" t="inlineStr">
        <is>
          <t>No ACH instruction is generated at all for the unmatched/held aggregate. Funds are not moved.</t>
        </is>
      </c>
      <c r="H18" s="47" t="inlineStr">
        <is>
          <t>NA</t>
        </is>
      </c>
      <c r="I18" s="47" t="inlineStr">
        <is>
          <t>Functional</t>
        </is>
      </c>
    </row>
    <row r="19" ht="36" customHeight="1">
      <c r="A19" s="46" t="inlineStr">
        <is>
          <t>Functional</t>
        </is>
      </c>
      <c r="B19" s="47" t="inlineStr">
        <is>
          <t>TC-ACH-18</t>
        </is>
      </c>
      <c r="C19" s="46" t="inlineStr">
        <is>
          <t>Duplicate Intraday Credit (Idempotent Clearing)</t>
        </is>
      </c>
      <c r="D19" s="47" t="inlineStr">
        <is>
          <t>Critical</t>
        </is>
      </c>
      <c r="E19" s="46" t="inlineStr">
        <is>
          <t>Cash-in already cleared successfully by a previous intraday credit</t>
        </is>
      </c>
      <c r="F19" s="46" t="inlineStr">
        <is>
          <t>1. Process a second intraday statement containing the exact same batch_ref and amount.
2. Run clearing job.</t>
        </is>
      </c>
      <c r="G19" s="46" t="inlineStr">
        <is>
          <t>Second credit is flagged as duplicate/ignored. No second cash-in is booked. No double-settlement occurs for member TIDs.</t>
        </is>
      </c>
      <c r="H19" s="47" t="inlineStr">
        <is>
          <t>NA</t>
        </is>
      </c>
      <c r="I19" s="47" t="inlineStr">
        <is>
          <t>Integration</t>
        </is>
      </c>
    </row>
    <row r="20" ht="36" customHeight="1">
      <c r="A20" s="46" t="inlineStr">
        <is>
          <t>Functional</t>
        </is>
      </c>
      <c r="B20" s="47" t="inlineStr">
        <is>
          <t>TC-ACH-19</t>
        </is>
      </c>
      <c r="C20" s="46" t="inlineStr">
        <is>
          <t>Maker-Checker Rejection</t>
        </is>
      </c>
      <c r="D20" s="47" t="inlineStr">
        <is>
          <t>High</t>
        </is>
      </c>
      <c r="E20" s="46" t="inlineStr">
        <is>
          <t>Default automatic mode is disabled; ACH item is AWAITING_APPROVAL</t>
        </is>
      </c>
      <c r="F20" s="46" t="inlineStr">
        <is>
          <t>1. Generate valid ACH item.
2. Finance explicitly rejects the item.
3. Check batch and ledger.</t>
        </is>
      </c>
      <c r="G20" s="46" t="inlineStr">
        <is>
          <t>ACH item status becomes REJECTED. No bank transfer is executed. Pending cash-in remains PENDING or is explicitly marked for Ops review. Rejection is audit logged.</t>
        </is>
      </c>
      <c r="H20" s="47" t="inlineStr">
        <is>
          <t>NA</t>
        </is>
      </c>
      <c r="I20" s="47" t="inlineStr">
        <is>
          <t>Negative</t>
        </is>
      </c>
    </row>
    <row r="21" ht="36" customHeight="1">
      <c r="A21" s="46" t="inlineStr">
        <is>
          <t>Functional</t>
        </is>
      </c>
      <c r="B21" s="47" t="inlineStr">
        <is>
          <t>TC-ACH-20</t>
        </is>
      </c>
      <c r="C21" s="46" t="inlineStr">
        <is>
          <t>Multiple Partial Credits for Single ACH</t>
        </is>
      </c>
      <c r="D21" s="47" t="inlineStr">
        <is>
          <t>High</t>
        </is>
      </c>
      <c r="E21" s="46" t="inlineStr">
        <is>
          <t>ACH amount is 100.00; bank sends two credits of 60.00 and 40.00 with the same batch_ref</t>
        </is>
      </c>
      <c r="F21" s="46" t="inlineStr">
        <is>
          <t>1. Process first credit (60.00).
2. Process second credit (40.00).
3. Run clearing job after each.</t>
        </is>
      </c>
      <c r="G21" s="46" t="inlineStr">
        <is>
          <t>System does not partially clear the 100.00 pending cash-in. If configured to wait for full amount, it holds until sum matches; if strict 1:1 match is required, both go to discrepancy queue. (Validates no partial booking).</t>
        </is>
      </c>
      <c r="H21" s="47" t="inlineStr">
        <is>
          <t>NA</t>
        </is>
      </c>
      <c r="I21" s="47" t="inlineStr">
        <is>
          <t>Functional</t>
        </is>
      </c>
    </row>
    <row r="22" ht="36" customHeight="1">
      <c r="A22" s="46" t="inlineStr">
        <is>
          <t>Functional</t>
        </is>
      </c>
      <c r="B22" s="47" t="inlineStr">
        <is>
          <t>TC-ACH-21</t>
        </is>
      </c>
      <c r="C22" s="46" t="inlineStr">
        <is>
          <t>Late Arriving Credit (Post-EOD)</t>
        </is>
      </c>
      <c r="D22" s="47" t="inlineStr">
        <is>
          <t>Medium</t>
        </is>
      </c>
      <c r="E22" s="46" t="inlineStr">
        <is>
          <t>Valid ACH released on Day 1; credit arrives on Day 3</t>
        </is>
      </c>
      <c r="F22" s="46" t="inlineStr">
        <is>
          <t>1. Run Day 1 and Day 2 EOD processes (item remains pending).
2. Process Day 3 intraday statement containing the credit.</t>
        </is>
      </c>
      <c r="G22" s="46" t="inlineStr">
        <is>
          <t>Credit is successfully matched on Day 3. Pending cash-in moves to SUCCESSFUL. Member entries settle in the Day 3 settlement context.</t>
        </is>
      </c>
      <c r="H22" s="47" t="inlineStr">
        <is>
          <t>NA</t>
        </is>
      </c>
      <c r="I22" s="47" t="inlineStr">
        <is>
          <t>Functional</t>
        </is>
      </c>
    </row>
    <row r="23" ht="36" customHeight="1">
      <c r="A23" s="46" t="inlineStr">
        <is>
          <t>Functional</t>
        </is>
      </c>
      <c r="B23" s="47" t="inlineStr">
        <is>
          <t>TC-ACH-22</t>
        </is>
      </c>
      <c r="C23" s="46" t="inlineStr">
        <is>
          <t>Concurrent Batch Release (Race Condition)</t>
        </is>
      </c>
      <c r="D23" s="47" t="inlineStr">
        <is>
          <t>Critical</t>
        </is>
      </c>
      <c r="E23" s="46" t="inlineStr">
        <is>
          <t>Two ACH items for different TIDs in the same batch; auto-release enabled</t>
        </is>
      </c>
      <c r="F23" s="46" t="inlineStr">
        <is>
          <t>1. Fire concurrent release requests for the batch.
2. Inspect bank transfer instructions and ledger.</t>
        </is>
      </c>
      <c r="G23" s="46" t="inlineStr">
        <is>
          <t>Concurrency guard ensures each item is released exactly once. No duplicate bank transfers are generated for the same batch_ref.</t>
        </is>
      </c>
      <c r="H23" s="47" t="inlineStr">
        <is>
          <t>NA</t>
        </is>
      </c>
      <c r="I23" s="47" t="inlineStr">
        <is>
          <t>Integration</t>
        </is>
      </c>
    </row>
    <row r="24" ht="36" customHeight="1">
      <c r="A24" s="46" t="inlineStr">
        <is>
          <t>Negative</t>
        </is>
      </c>
      <c r="B24" s="47" t="inlineStr">
        <is>
          <t>TC-ACH-23</t>
        </is>
      </c>
      <c r="C24" s="46" t="inlineStr">
        <is>
          <t>Non-existent terminalId</t>
        </is>
      </c>
      <c r="D24" s="47" t="inlineStr">
        <is>
          <t>High</t>
        </is>
      </c>
      <c r="E24" s="46" t="inlineStr">
        <is>
          <t>Valid JWT for a merchant profile that owns terminal {{terminalId}} and has the GET_POS_TRANSACTIONS privilege.
Valid device-finger-print and platform headers.
At least 1 POS transaction exists for this profile.</t>
        </is>
      </c>
      <c r="F24" s="46" t="inlineStr">
        <is>
          <t>1. Put a terminal ID that exists nowhere in the path.
2. Send the request.</t>
        </is>
      </c>
      <c r="G24" s="46" t="inlineStr">
        <is>
          <t>PosDeviceNotFoundException / not-found outcome.
The response must not distinguish 'does not exist' from 'belongs to someone else' - both should look identical, so an attacker cannot enumerate terminal IDs.</t>
        </is>
      </c>
      <c r="H24" s="47" t="inlineStr">
        <is>
          <t>Not Tested</t>
        </is>
      </c>
      <c r="I24" s="47" t="inlineStr">
        <is>
          <t>Negative</t>
        </is>
      </c>
    </row>
    <row r="25" ht="36" customHeight="1">
      <c r="A25" s="46" t="inlineStr">
        <is>
          <t>Positive</t>
        </is>
      </c>
      <c r="B25" s="47" t="inlineStr">
        <is>
          <t>TC-ACH-24</t>
        </is>
      </c>
      <c r="C25" s="46" t="inlineStr">
        <is>
          <t>Filters combine with the terminal path scope</t>
        </is>
      </c>
      <c r="D25" s="47" t="inlineStr">
        <is>
          <t>Medium</t>
        </is>
      </c>
      <c r="E25" s="46" t="inlineStr">
        <is>
          <t>Valid JWT for a merchant profile that owns terminal {{terminalId}} and has the GET_POS_TRANSACTIONS privilege.
Valid device-finger-print and platform headers.
At least 1 POS transaction exists for this profile.</t>
        </is>
      </c>
      <c r="F25" s="46" t="inlineStr">
        <is>
          <t>1. Send with terminalId in the path AND processingStatus=SETTLED.
2. Check both conditions on every row.</t>
        </is>
      </c>
      <c r="G25" s="46" t="inlineStr">
        <is>
          <t>200 OK and every row satisfies both the terminal and the status condition.</t>
        </is>
      </c>
      <c r="H25" s="47" t="inlineStr">
        <is>
          <t>Not Tested</t>
        </is>
      </c>
      <c r="I25" s="47" t="inlineStr">
        <is>
          <t>Functional</t>
        </is>
      </c>
    </row>
    <row r="26" ht="36" customHeight="1">
      <c r="A26" s="46" t="inlineStr">
        <is>
          <t>Security</t>
        </is>
      </c>
      <c r="B26" s="47" t="inlineStr">
        <is>
          <t>TC-ACH-25</t>
        </is>
      </c>
      <c r="C26" s="46" t="inlineStr">
        <is>
          <t>SQL injection attempt in the terminalId path variable</t>
        </is>
      </c>
      <c r="D26" s="47" t="inlineStr">
        <is>
          <t>High</t>
        </is>
      </c>
      <c r="E26" s="46" t="inlineStr">
        <is>
          <t>Valid JWT for a merchant profile that owns terminal {{terminalId}} and has the GET_POS_TRANSACTIONS privilege.
Valid device-finger-print and platform headers.
At least 1 POS transaction exists for this profile.</t>
        </is>
      </c>
      <c r="F26" s="46" t="inlineStr">
        <is>
          <t>1. URL-encode a payload such as T001' OR '1'='1 into the path.
2. Send the request.</t>
        </is>
      </c>
      <c r="G26" s="46" t="inlineStr">
        <is>
          <t>No data is returned for other terminals.
No database error text is echoed back.
Not-found or 400 is acceptable; a 500 with a SQL message is a defect.</t>
        </is>
      </c>
      <c r="H26" s="47" t="inlineStr">
        <is>
          <t>Not Tested</t>
        </is>
      </c>
      <c r="I26" s="47" t="inlineStr">
        <is>
          <t>Security</t>
        </is>
      </c>
    </row>
    <row r="27" ht="36" customHeight="1">
      <c r="A27" s="46" t="inlineStr">
        <is>
          <t>Positive</t>
        </is>
      </c>
      <c r="B27" s="47" t="inlineStr">
        <is>
          <t>TC-ACH-26</t>
        </is>
      </c>
      <c r="C27" s="46" t="inlineStr">
        <is>
          <t>Get ledger entries for an owned terminal</t>
        </is>
      </c>
      <c r="D27" s="47" t="inlineStr">
        <is>
          <t>High</t>
        </is>
      </c>
      <c r="E27" s="46" t="inlineStr">
        <is>
          <t>Valid JWT with GET_POS_LEDGER for a profile that owns terminal {{terminalId}}.
At least 1 ledger entry exists for that terminal.</t>
        </is>
      </c>
      <c r="F27" s="46" t="inlineStr">
        <is>
          <t>1. Send GET /api/v1/pos/ledger/terminals/{{terminalId}}.
2. Inspect the DTO fields on the first row.</t>
        </is>
      </c>
      <c r="G27" s="46" t="inlineStr">
        <is>
          <t>200 OK, Page envelope.
Each row carries id, batchId, reconBatchRefNum, walletReference, terminalId, amount, currency, direction, posTransactionType, entryType, status, reason, postedBy, createdAt.</t>
        </is>
      </c>
      <c r="H27" s="47" t="inlineStr">
        <is>
          <t>Not Tested</t>
        </is>
      </c>
      <c r="I27" s="47" t="inlineStr">
        <is>
          <t>Functional</t>
        </is>
      </c>
    </row>
    <row r="28" ht="36" customHeight="1">
      <c r="A28" s="46" t="inlineStr">
        <is>
          <t>Positive</t>
        </is>
      </c>
      <c r="B28" s="47" t="inlineStr">
        <is>
          <t>TC-ACH-27</t>
        </is>
      </c>
      <c r="C28" s="46" t="inlineStr">
        <is>
          <t>Filter ledger by status</t>
        </is>
      </c>
      <c r="D28" s="47" t="inlineStr">
        <is>
          <t>High</t>
        </is>
      </c>
      <c r="E28" s="46" t="inlineStr">
        <is>
          <t>Valid JWT with GET_POS_LEDGER for a profile that owns terminal {{terminalId}}.
At least 1 ledger entry exists for that terminal.
Entries exist in more than one status.</t>
        </is>
      </c>
      <c r="F28" s="46" t="inlineStr">
        <is>
          <t>1. Enable status=SUCCESS and send.
2. Repeat for PENDING, FAILED, REVERSED.</t>
        </is>
      </c>
      <c r="G28" s="46" t="inlineStr">
        <is>
          <t>200 OK each time, and every returned row matches the requested status.</t>
        </is>
      </c>
      <c r="H28" s="47" t="inlineStr">
        <is>
          <t>Not Tested</t>
        </is>
      </c>
      <c r="I28" s="47" t="inlineStr">
        <is>
          <t>Functional</t>
        </is>
      </c>
    </row>
    <row r="29" ht="36" customHeight="1">
      <c r="A29" s="46" t="inlineStr">
        <is>
          <t>Positive</t>
        </is>
      </c>
      <c r="B29" s="47" t="inlineStr">
        <is>
          <t>TC-ACH-28</t>
        </is>
      </c>
      <c r="C29" s="46" t="inlineStr">
        <is>
          <t>Filter ledger by entryType</t>
        </is>
      </c>
      <c r="D29" s="47" t="inlineStr">
        <is>
          <t>High</t>
        </is>
      </c>
      <c r="E29" s="46" t="inlineStr">
        <is>
          <t>Valid JWT with GET_POS_LEDGER for a profile that owns terminal {{terminalId}}.
At least 1 ledger entry exists for that terminal.</t>
        </is>
      </c>
      <c r="F29" s="46" t="inlineStr">
        <is>
          <t>1. Enable entryType=POS_CASH_IN and send.
2. Repeat for REVERSAL and SUSPENSE.</t>
        </is>
      </c>
      <c r="G29" s="46" t="inlineStr">
        <is>
          <t>200 OK each time, and every returned row matches the requested entryType.</t>
        </is>
      </c>
      <c r="H29" s="47" t="inlineStr">
        <is>
          <t>Not Tested</t>
        </is>
      </c>
      <c r="I29" s="47" t="inlineStr">
        <is>
          <t>Functional</t>
        </is>
      </c>
    </row>
    <row r="30" ht="36" customHeight="1">
      <c r="A30" s="46" t="inlineStr">
        <is>
          <t>Positive</t>
        </is>
      </c>
      <c r="B30" s="47" t="inlineStr">
        <is>
          <t>TC-ACH-29</t>
        </is>
      </c>
      <c r="C30" s="46" t="inlineStr">
        <is>
          <t>Combined status and entryType filter</t>
        </is>
      </c>
      <c r="D30" s="47" t="inlineStr">
        <is>
          <t>Medium</t>
        </is>
      </c>
      <c r="E30" s="46" t="inlineStr">
        <is>
          <t>Valid JWT with GET_POS_LEDGER for a profile that owns terminal {{terminalId}}.
At least 1 ledger entry exists for that terminal.</t>
        </is>
      </c>
      <c r="F30" s="46" t="inlineStr">
        <is>
          <t>1. Send status=SUCCESS and entryType=POS_CASH_IN together.</t>
        </is>
      </c>
      <c r="G30" s="46" t="inlineStr">
        <is>
          <t>200 OK. Rows satisfy BOTH conditions (AND, not OR).</t>
        </is>
      </c>
      <c r="H30" s="47" t="inlineStr">
        <is>
          <t>Not Tested</t>
        </is>
      </c>
      <c r="I30" s="47" t="inlineStr">
        <is>
          <t>Functional</t>
        </is>
      </c>
    </row>
    <row r="31" ht="36" customHeight="1">
      <c r="A31" s="46" t="inlineStr">
        <is>
          <t>Negative</t>
        </is>
      </c>
      <c r="B31" s="47" t="inlineStr">
        <is>
          <t>TC-ACH-30</t>
        </is>
      </c>
      <c r="C31" s="46" t="inlineStr">
        <is>
          <t>Invalid enum value for status or entryType</t>
        </is>
      </c>
      <c r="D31" s="47" t="inlineStr">
        <is>
          <t>Medium</t>
        </is>
      </c>
      <c r="E31" s="46" t="inlineStr">
        <is>
          <t>Valid JWT with GET_POS_LEDGER for a profile that owns terminal {{terminalId}}.
At least 1 ledger entry exists for that terminal.</t>
        </is>
      </c>
      <c r="F31" s="46" t="inlineStr">
        <is>
          <t>1. Send status=DONE.
2. Send entryType=CASH_OUT.</t>
        </is>
      </c>
      <c r="G31" s="46" t="inlineStr">
        <is>
          <t>400 Bad Request for each, with the ErrorMessageDto shape. No 500.</t>
        </is>
      </c>
      <c r="H31" s="47" t="inlineStr">
        <is>
          <t>Not Tested</t>
        </is>
      </c>
      <c r="I31" s="47" t="inlineStr">
        <is>
          <t>Negative</t>
        </is>
      </c>
    </row>
    <row r="32" ht="36" customHeight="1">
      <c r="A32" s="46" t="inlineStr">
        <is>
          <t>Positive</t>
        </is>
      </c>
      <c r="B32" s="47" t="inlineStr">
        <is>
          <t>TC-ACH-31</t>
        </is>
      </c>
      <c r="C32" s="46" t="inlineStr">
        <is>
          <t>Ledger date range filter on createdAt</t>
        </is>
      </c>
      <c r="D32" s="47" t="inlineStr">
        <is>
          <t>Medium</t>
        </is>
      </c>
      <c r="E32" s="46" t="inlineStr">
        <is>
          <t>Valid JWT with GET_POS_LEDGER for a profile that owns terminal {{terminalId}}.
At least 1 ledger entry exists for that terminal.</t>
        </is>
      </c>
      <c r="F32" s="46" t="inlineStr">
        <is>
          <t>1. Set dateFrom / dateTo around a known entry's createdAt.
2. Send and confirm the entry is inside the window.
3. Shift the window past the entry and confirm it drops out.</t>
        </is>
      </c>
      <c r="G32" s="46" t="inlineStr">
        <is>
          <t>The filter applies to createdAt.
Bounds are inclusive.
Out-of-window entries are excluded.</t>
        </is>
      </c>
      <c r="H32" s="47" t="inlineStr">
        <is>
          <t>Not Tested</t>
        </is>
      </c>
      <c r="I32" s="47" t="inlineStr">
        <is>
          <t>Functional</t>
        </is>
      </c>
    </row>
    <row r="33" ht="36" customHeight="1">
      <c r="A33" s="46" t="inlineStr">
        <is>
          <t>Security</t>
        </is>
      </c>
      <c r="B33" s="47" t="inlineStr">
        <is>
          <t>TC-ACH-32</t>
        </is>
      </c>
      <c r="C33" s="46" t="inlineStr">
        <is>
          <t>Ledger of a terminal owned by another profile is not accessible</t>
        </is>
      </c>
      <c r="D33" s="47" t="inlineStr">
        <is>
          <t>High</t>
        </is>
      </c>
      <c r="E33" s="46" t="inlineStr">
        <is>
          <t>Terminal T_OTHER belongs to merchant B. Caller is merchant A with GET_POS_LEDGER.</t>
        </is>
      </c>
      <c r="F33" s="46" t="inlineStr">
        <is>
          <t>1. Send the request with merchant A's token and T_OTHER in the path.</t>
        </is>
      </c>
      <c r="G33" s="46" t="inlineStr">
        <is>
          <t>Access denied via PosDeviceNotFoundException (ownership is checked by deviceService.getByProfileCodeAndTerminalId).
No ledger rows from merchant B are returned.</t>
        </is>
      </c>
      <c r="H33" s="47" t="inlineStr">
        <is>
          <t>Not Tested</t>
        </is>
      </c>
      <c r="I33" s="47" t="inlineStr">
        <is>
          <t>Security</t>
        </is>
      </c>
    </row>
    <row r="34" ht="36" customHeight="1">
      <c r="A34" s="46" t="inlineStr">
        <is>
          <t>Security</t>
        </is>
      </c>
      <c r="B34" s="47" t="inlineStr">
        <is>
          <t>TC-ACH-33</t>
        </is>
      </c>
      <c r="C34" s="46" t="inlineStr">
        <is>
          <t>Missing GET_POS_LEDGER privilege is rejected</t>
        </is>
      </c>
      <c r="D34" s="47" t="inlineStr">
        <is>
          <t>High</t>
        </is>
      </c>
      <c r="E34" s="46" t="inlineStr">
        <is>
          <t>Valid token that has GET_POS_TRANSACTIONS but NOT GET_POS_LEDGER.</t>
        </is>
      </c>
      <c r="F34" s="46" t="inlineStr">
        <is>
          <t>1. Send the ledger request with that token.</t>
        </is>
      </c>
      <c r="G34" s="46" t="inlineStr">
        <is>
          <t>403 Forbidden with messageCode UNAUTHORIZED_USER.
Confirms the two business privileges are independent.</t>
        </is>
      </c>
      <c r="H34" s="47" t="inlineStr">
        <is>
          <t>Not Tested</t>
        </is>
      </c>
      <c r="I34" s="47" t="inlineStr">
        <is>
          <t>Security</t>
        </is>
      </c>
    </row>
    <row r="35" ht="36" customHeight="1">
      <c r="A35" s="46" t="inlineStr">
        <is>
          <t>Positive</t>
        </is>
      </c>
      <c r="B35" s="47" t="inlineStr">
        <is>
          <t>TC-ACH-34</t>
        </is>
      </c>
      <c r="C35" s="46" t="inlineStr">
        <is>
          <t>Get ledger entries by wallet reference</t>
        </is>
      </c>
      <c r="D35" s="47" t="inlineStr">
        <is>
          <t>High</t>
        </is>
      </c>
      <c r="E35" s="46" t="inlineStr">
        <is>
          <t>Valid JWT with GET_POS_LEDGER for a profile linked to wallet {{walletReference}}.</t>
        </is>
      </c>
      <c r="F35" s="46" t="inlineStr">
        <is>
          <t>1. Send GET /api/v1/pos/ledger/wallets/{{walletReference}}.
2. Check walletReference on every row.</t>
        </is>
      </c>
      <c r="G35" s="46" t="inlineStr">
        <is>
          <t>200 OK, Page envelope, and every row has the requested walletReference.</t>
        </is>
      </c>
      <c r="H35" s="47" t="inlineStr">
        <is>
          <t>Not Tested</t>
        </is>
      </c>
      <c r="I35" s="47" t="inlineStr">
        <is>
          <t>Functional</t>
        </is>
      </c>
    </row>
    <row r="36" ht="36" customHeight="1">
      <c r="A36" s="46" t="inlineStr">
        <is>
          <t>Security</t>
        </is>
      </c>
      <c r="B36" s="47" t="inlineStr">
        <is>
          <t>TC-ACH-35</t>
        </is>
      </c>
      <c r="C36" s="46" t="inlineStr">
        <is>
          <t>Wallet not linked to the caller's profile is not accessible</t>
        </is>
      </c>
      <c r="D36" s="47" t="inlineStr">
        <is>
          <t>High</t>
        </is>
      </c>
      <c r="E36" s="46" t="inlineStr">
        <is>
          <t>Wallet WLT-OTHER belongs to merchant B. Caller is merchant A.</t>
        </is>
      </c>
      <c r="F36" s="46" t="inlineStr">
        <is>
          <t>1. Send the request with merchant A's token and WLT-OTHER in the path.</t>
        </is>
      </c>
      <c r="G36" s="46" t="inlineStr">
        <is>
          <t>Access denied via PosDeviceNotFoundException (checked by deviceService.existsByProfileCodeAndWalletCode).
No data from merchant B.</t>
        </is>
      </c>
      <c r="H36" s="47" t="inlineStr">
        <is>
          <t>Not Tested</t>
        </is>
      </c>
      <c r="I36" s="47" t="inlineStr">
        <is>
          <t>Security</t>
        </is>
      </c>
    </row>
    <row r="37" ht="36" customHeight="1">
      <c r="A37" s="46" t="inlineStr">
        <is>
          <t>Negative</t>
        </is>
      </c>
      <c r="B37" s="47" t="inlineStr">
        <is>
          <t>TC-ACH-36</t>
        </is>
      </c>
      <c r="C37" s="46" t="inlineStr">
        <is>
          <t>Non-existent wallet reference</t>
        </is>
      </c>
      <c r="D37" s="47" t="inlineStr">
        <is>
          <t>Medium</t>
        </is>
      </c>
      <c r="E37" s="46" t="inlineStr">
        <is>
          <t>Valid token with GET_POS_LEDGER.</t>
        </is>
      </c>
      <c r="F37" s="46" t="inlineStr">
        <is>
          <t>1. Send a wallet reference that exists nowhere.</t>
        </is>
      </c>
      <c r="G37" s="46" t="inlineStr">
        <is>
          <t>Not-found outcome, identical in shape to the 'belongs to another profile' case so wallets cannot be enumerated.</t>
        </is>
      </c>
      <c r="H37" s="47" t="inlineStr">
        <is>
          <t>Not Tested</t>
        </is>
      </c>
      <c r="I37" s="47" t="inlineStr">
        <is>
          <t>Negative</t>
        </is>
      </c>
    </row>
    <row r="38" ht="36" customHeight="1">
      <c r="A38" s="46" t="inlineStr">
        <is>
          <t>Positive</t>
        </is>
      </c>
      <c r="B38" s="47" t="inlineStr">
        <is>
          <t>TC-ACH-37</t>
        </is>
      </c>
      <c r="C38" s="46" t="inlineStr">
        <is>
          <t>Wallet ledger honours filters and pagination</t>
        </is>
      </c>
      <c r="D38" s="47" t="inlineStr">
        <is>
          <t>Medium</t>
        </is>
      </c>
      <c r="E38" s="46" t="inlineStr">
        <is>
          <t>Wallet with more than 20 ledger entries.</t>
        </is>
      </c>
      <c r="F38" s="46" t="inlineStr">
        <is>
          <t>1. Send with size=5 and status=SUCCESS.
2. Check the page size and the status of each row.</t>
        </is>
      </c>
      <c r="G38" s="46" t="inlineStr">
        <is>
          <t>200 OK, at most 5 rows, all SUCCESS, size=5 echoed in the envelope.</t>
        </is>
      </c>
      <c r="H38" s="47" t="inlineStr">
        <is>
          <t>Not Tested</t>
        </is>
      </c>
      <c r="I38" s="47" t="inlineStr">
        <is>
          <t>Functional</t>
        </is>
      </c>
    </row>
    <row r="39" ht="36" customHeight="1">
      <c r="A39" s="46" t="inlineStr">
        <is>
          <t>Positive</t>
        </is>
      </c>
      <c r="B39" s="47" t="inlineStr">
        <is>
          <t>TC-ACH-38</t>
        </is>
      </c>
      <c r="C39" s="46" t="inlineStr">
        <is>
          <t>Ledger reconBatchRefNum links to a real ACH transfer</t>
        </is>
      </c>
      <c r="D39" s="47" t="inlineStr">
        <is>
          <t>Medium</t>
        </is>
      </c>
      <c r="E39" s="46" t="inlineStr">
        <is>
          <t>A ledger entry with a non-null reconBatchRefNum exists, and an admin token is available.</t>
        </is>
      </c>
      <c r="F39" s="46" t="inlineStr">
        <is>
          <t>1. Get a ledger entry and copy its reconBatchRefNum.
2. As admin, call GET /api/v1/admin/pos/ach-transfers?batchRef=&lt;that value&gt;.</t>
        </is>
      </c>
      <c r="G39" s="46" t="inlineStr">
        <is>
          <t>The admin call returns exactly one ACH transfer whose reconBatchRefNum matches.
The link between the ledger and the settlement batch holds.</t>
        </is>
      </c>
      <c r="H39" s="47" t="inlineStr">
        <is>
          <t>Not Tested</t>
        </is>
      </c>
      <c r="I39" s="47" t="inlineStr">
        <is>
          <t>Edge / Boundary</t>
        </is>
      </c>
    </row>
    <row r="40" ht="36" customHeight="1">
      <c r="A40" s="46" t="inlineStr">
        <is>
          <t>Positive</t>
        </is>
      </c>
      <c r="B40" s="47" t="inlineStr">
        <is>
          <t>TC-ACH-39</t>
        </is>
      </c>
      <c r="C40" s="46" t="inlineStr">
        <is>
          <t>Admin sees transactions across all profiles</t>
        </is>
      </c>
      <c r="D40" s="47" t="inlineStr">
        <is>
          <t>High</t>
        </is>
      </c>
      <c r="E40" s="46" t="inlineStr">
        <is>
          <t>Valid JWT with the ADMIN_GET_POS_TRANSACTIONS privilege.
Transactions exist for at least 2 different profiles.</t>
        </is>
      </c>
      <c r="F40" s="46" t="inlineStr">
        <is>
          <t>1. Send GET /api/v1/admin/pos/transactions?page=0&amp;size=50.
2. Collect the distinct profileCode values.</t>
        </is>
      </c>
      <c r="G40" s="46" t="inlineStr">
        <is>
          <t>200 OK.
More than one distinct profileCode appears - the admin query is unscoped, unlike the business endpoint.</t>
        </is>
      </c>
      <c r="H40" s="47" t="inlineStr">
        <is>
          <t>Not Tested</t>
        </is>
      </c>
      <c r="I40" s="47" t="inlineStr">
        <is>
          <t>Functional</t>
        </is>
      </c>
    </row>
    <row r="41" ht="36" customHeight="1">
      <c r="A41" s="46" t="inlineStr">
        <is>
          <t>Positive</t>
        </is>
      </c>
      <c r="B41" s="47" t="inlineStr">
        <is>
          <t>TC-ACH-40</t>
        </is>
      </c>
      <c r="C41" s="46" t="inlineStr">
        <is>
          <t>Filter admin transactions by profileCode</t>
        </is>
      </c>
      <c r="D41" s="47" t="inlineStr">
        <is>
          <t>High</t>
        </is>
      </c>
      <c r="E41" s="46" t="inlineStr">
        <is>
          <t>Valid JWT with the ADMIN_GET_POS_TRANSACTIONS privilege.
Transactions exist for at least 2 different profiles.</t>
        </is>
      </c>
      <c r="F41" s="46" t="inlineStr">
        <is>
          <t>1. Enable profileCode and set it to a known merchant.
2. Send and check every row.</t>
        </is>
      </c>
      <c r="G41" s="46" t="inlineStr">
        <is>
          <t>200 OK and every row belongs to that profile.
This is the documented way an admin scopes down to one merchant.</t>
        </is>
      </c>
      <c r="H41" s="47" t="inlineStr">
        <is>
          <t>Not Tested</t>
        </is>
      </c>
      <c r="I41" s="47" t="inlineStr">
        <is>
          <t>Functional</t>
        </is>
      </c>
    </row>
    <row r="42" ht="36" customHeight="1">
      <c r="A42" s="46" t="inlineStr">
        <is>
          <t>Positive</t>
        </is>
      </c>
      <c r="B42" s="47" t="inlineStr">
        <is>
          <t>TC-ACH-41</t>
        </is>
      </c>
      <c r="C42" s="46" t="inlineStr">
        <is>
          <t>Filter admin transactions by deviceId</t>
        </is>
      </c>
      <c r="D42" s="47" t="inlineStr">
        <is>
          <t>Medium</t>
        </is>
      </c>
      <c r="E42" s="46" t="inlineStr">
        <is>
          <t>Valid JWT with the ADMIN_GET_POS_TRANSACTIONS privilege.
Transactions exist for at least 2 different profiles.
A known internal device ID is available.</t>
        </is>
      </c>
      <c r="F42" s="46" t="inlineStr">
        <is>
          <t>1. Enable deviceId with a valid internal ID.
2. Send and check posDeviceId on every row.</t>
        </is>
      </c>
      <c r="G42" s="46" t="inlineStr">
        <is>
          <t>200 OK and every row has posDeviceId equal to the requested value.
This filter does not exist on the business endpoint.</t>
        </is>
      </c>
      <c r="H42" s="47" t="inlineStr">
        <is>
          <t>Not Tested</t>
        </is>
      </c>
      <c r="I42" s="47" t="inlineStr">
        <is>
          <t>Functional</t>
        </is>
      </c>
    </row>
    <row r="43" ht="36" customHeight="1">
      <c r="A43" s="46" t="inlineStr">
        <is>
          <t>Positive</t>
        </is>
      </c>
      <c r="B43" s="47" t="inlineStr">
        <is>
          <t>TC-ACH-42</t>
        </is>
      </c>
      <c r="C43" s="46" t="inlineStr">
        <is>
          <t>Filter admin transactions by terminalId and walletCode</t>
        </is>
      </c>
      <c r="D43" s="47" t="inlineStr">
        <is>
          <t>Medium</t>
        </is>
      </c>
      <c r="E43" s="46" t="inlineStr">
        <is>
          <t>Valid JWT with the ADMIN_GET_POS_TRANSACTIONS privilege.
Transactions exist for at least 2 different profiles.</t>
        </is>
      </c>
      <c r="F43" s="46" t="inlineStr">
        <is>
          <t>1. Send with terminalId only.
2. Send with walletCode only.
3. Send with both.</t>
        </is>
      </c>
      <c r="G43" s="46" t="inlineStr">
        <is>
          <t>200 OK each time and rows match the supplied filters.
When both are sent they combine with AND.</t>
        </is>
      </c>
      <c r="H43" s="47" t="inlineStr">
        <is>
          <t>Not Tested</t>
        </is>
      </c>
      <c r="I43" s="47" t="inlineStr">
        <is>
          <t>Functional</t>
        </is>
      </c>
    </row>
    <row r="44" ht="36" customHeight="1">
      <c r="A44" s="46" t="inlineStr">
        <is>
          <t>Negative</t>
        </is>
      </c>
      <c r="B44" s="47" t="inlineStr">
        <is>
          <t>TC-ACH-43</t>
        </is>
      </c>
      <c r="C44" s="46" t="inlineStr">
        <is>
          <t>Non-numeric deviceId is rejected</t>
        </is>
      </c>
      <c r="D44" s="47" t="inlineStr">
        <is>
          <t>Medium</t>
        </is>
      </c>
      <c r="E44" s="46" t="inlineStr">
        <is>
          <t>Valid JWT with the ADMIN_GET_POS_TRANSACTIONS privilege.
Transactions exist for at least 2 different profiles.</t>
        </is>
      </c>
      <c r="F44" s="46" t="inlineStr">
        <is>
          <t>1. Send deviceId=abc.</t>
        </is>
      </c>
      <c r="G44" s="46" t="inlineStr">
        <is>
          <t>400 Bad Request - Long binding fails.
ErrorMessageDto shape, no 500.</t>
        </is>
      </c>
      <c r="H44" s="47" t="inlineStr">
        <is>
          <t>Not Tested</t>
        </is>
      </c>
      <c r="I44" s="47" t="inlineStr">
        <is>
          <t>Negative</t>
        </is>
      </c>
    </row>
    <row r="45" ht="36" customHeight="1">
      <c r="A45" s="46" t="inlineStr">
        <is>
          <t>Positive</t>
        </is>
      </c>
      <c r="B45" s="47" t="inlineStr">
        <is>
          <t>TC-ACH-44</t>
        </is>
      </c>
      <c r="C45" s="46" t="inlineStr">
        <is>
          <t>All admin filters combined</t>
        </is>
      </c>
      <c r="D45" s="47" t="inlineStr">
        <is>
          <t>Low</t>
        </is>
      </c>
      <c r="E45" s="46" t="inlineStr">
        <is>
          <t>Valid JWT with the ADMIN_GET_POS_TRANSACTIONS privilege.
Transactions exist for at least 2 different profiles.</t>
        </is>
      </c>
      <c r="F45" s="46" t="inlineStr">
        <is>
          <t>1. Enable deviceId, terminalId, walletCode, profileCode, processingStatus, dateFrom, dateTo together with values known to match one row.
2. Send.</t>
        </is>
      </c>
      <c r="G45" s="46" t="inlineStr">
        <is>
          <t>200 OK and exactly the expected row(s) return.
Filters combine with AND; no filter is silently ignored.</t>
        </is>
      </c>
      <c r="H45" s="47" t="inlineStr">
        <is>
          <t>Not Tested</t>
        </is>
      </c>
      <c r="I45" s="47" t="inlineStr">
        <is>
          <t>Edge / Boundary</t>
        </is>
      </c>
    </row>
    <row r="46" ht="36" customHeight="1">
      <c r="A46" s="46" t="inlineStr">
        <is>
          <t>Security</t>
        </is>
      </c>
      <c r="B46" s="47" t="inlineStr">
        <is>
          <t>TC-ACH-45</t>
        </is>
      </c>
      <c r="C46" s="46" t="inlineStr">
        <is>
          <t>Business token cannot reach the admin transactions endpoint</t>
        </is>
      </c>
      <c r="D46" s="47" t="inlineStr">
        <is>
          <t>High</t>
        </is>
      </c>
      <c r="E46" s="46" t="inlineStr">
        <is>
          <t>A merchant token holding GET_POS_TRANSACTIONS but NOT ADMIN_GET_POS_TRANSACTIONS.</t>
        </is>
      </c>
      <c r="F46" s="46" t="inlineStr">
        <is>
          <t>1. Send GET /api/v1/admin/pos/transactions with the merchant token.</t>
        </is>
      </c>
      <c r="G46" s="46" t="inlineStr">
        <is>
          <t>403 Forbidden, messageCode UNAUTHORIZED_USER.
This is the key privilege-separation check - a merchant must never read the global list.</t>
        </is>
      </c>
      <c r="H46" s="47" t="inlineStr">
        <is>
          <t>Not Tested</t>
        </is>
      </c>
      <c r="I46" s="47" t="inlineStr">
        <is>
          <t>Security</t>
        </is>
      </c>
    </row>
    <row r="47" ht="36" customHeight="1">
      <c r="A47" s="46" t="inlineStr">
        <is>
          <t>Positive</t>
        </is>
      </c>
      <c r="B47" s="47" t="inlineStr">
        <is>
          <t>TC-ACH-46</t>
        </is>
      </c>
      <c r="C47" s="46" t="inlineStr">
        <is>
          <t>Admin sees ledger entries across all profiles</t>
        </is>
      </c>
      <c r="D47" s="47" t="inlineStr">
        <is>
          <t>High</t>
        </is>
      </c>
      <c r="E47" s="46" t="inlineStr">
        <is>
          <t>Valid JWT with ADMIN_GET_POS_LEDGER.
Ledger entries exist for more than one wallet/profile.</t>
        </is>
      </c>
      <c r="F47" s="46" t="inlineStr">
        <is>
          <t>1. Send GET /api/v1/admin/pos/ledger?page=0&amp;size=50.
2. Collect the distinct walletReference values.</t>
        </is>
      </c>
      <c r="G47" s="46" t="inlineStr">
        <is>
          <t>200 OK.
Entries from more than one wallet appear - the admin ledger query is unscoped.</t>
        </is>
      </c>
      <c r="H47" s="47" t="inlineStr">
        <is>
          <t>Not Tested</t>
        </is>
      </c>
      <c r="I47" s="47" t="inlineStr">
        <is>
          <t>Functional</t>
        </is>
      </c>
    </row>
    <row r="48" ht="36" customHeight="1">
      <c r="A48" s="46" t="inlineStr">
        <is>
          <t>Positive</t>
        </is>
      </c>
      <c r="B48" s="47" t="inlineStr">
        <is>
          <t>TC-ACH-47</t>
        </is>
      </c>
      <c r="C48" s="46" t="inlineStr">
        <is>
          <t>Filter admin ledger by terminalId and by walletReference</t>
        </is>
      </c>
      <c r="D48" s="47" t="inlineStr">
        <is>
          <t>High</t>
        </is>
      </c>
      <c r="E48" s="46" t="inlineStr">
        <is>
          <t>Valid ADMIN_GET_POS_LEDGER token.</t>
        </is>
      </c>
      <c r="F48" s="46" t="inlineStr">
        <is>
          <t>1. Send with terminalId only and check every row.
2. Send with walletReference only and check every row.</t>
        </is>
      </c>
      <c r="G48" s="46" t="inlineStr">
        <is>
          <t>200 OK both times, rows match the filter.
Both filters exist only on the admin filter class - the business endpoint scopes by path instead.</t>
        </is>
      </c>
      <c r="H48" s="47" t="inlineStr">
        <is>
          <t>Not Tested</t>
        </is>
      </c>
      <c r="I48" s="47" t="inlineStr">
        <is>
          <t>Functional</t>
        </is>
      </c>
    </row>
    <row r="49" ht="36" customHeight="1">
      <c r="A49" s="46" t="inlineStr">
        <is>
          <t>Positive</t>
        </is>
      </c>
      <c r="B49" s="47" t="inlineStr">
        <is>
          <t>TC-ACH-48</t>
        </is>
      </c>
      <c r="C49" s="46" t="inlineStr">
        <is>
          <t>Admin ledger status, entryType and date filters</t>
        </is>
      </c>
      <c r="D49" s="47" t="inlineStr">
        <is>
          <t>Medium</t>
        </is>
      </c>
      <c r="E49" s="46" t="inlineStr">
        <is>
          <t>Valid ADMIN_GET_POS_LEDGER token.</t>
        </is>
      </c>
      <c r="F49" s="46" t="inlineStr">
        <is>
          <t>1. Apply status, entryType, dateFrom and dateTo one at a time, then together.</t>
        </is>
      </c>
      <c r="G49" s="46" t="inlineStr">
        <is>
          <t>200 OK for each combination and rows honour every applied filter.</t>
        </is>
      </c>
      <c r="H49" s="47" t="inlineStr">
        <is>
          <t>Not Tested</t>
        </is>
      </c>
      <c r="I49" s="47" t="inlineStr">
        <is>
          <t>Functional</t>
        </is>
      </c>
    </row>
    <row r="50" ht="36" customHeight="1">
      <c r="A50" s="46" t="inlineStr">
        <is>
          <t>Security</t>
        </is>
      </c>
      <c r="B50" s="47" t="inlineStr">
        <is>
          <t>TC-ACH-49</t>
        </is>
      </c>
      <c r="C50" s="46" t="inlineStr">
        <is>
          <t>Missing ADMIN_GET_POS_LEDGER privilege is rejected</t>
        </is>
      </c>
      <c r="D50" s="47" t="inlineStr">
        <is>
          <t>High</t>
        </is>
      </c>
      <c r="E50" s="46" t="inlineStr">
        <is>
          <t>Token holding ADMIN_GET_POS_TRANSACTIONS but NOT ADMIN_GET_POS_LEDGER.</t>
        </is>
      </c>
      <c r="F50" s="46" t="inlineStr">
        <is>
          <t>1. Send the admin ledger request.</t>
        </is>
      </c>
      <c r="G50" s="46" t="inlineStr">
        <is>
          <t>403 Forbidden, UNAUTHORIZED_USER.
Confirms admin privileges are checked individually, not as one admin role.</t>
        </is>
      </c>
      <c r="H50" s="47" t="inlineStr">
        <is>
          <t>Not Tested</t>
        </is>
      </c>
      <c r="I50" s="47" t="inlineStr">
        <is>
          <t>Security</t>
        </is>
      </c>
    </row>
    <row r="51" ht="36" customHeight="1">
      <c r="A51" s="46" t="inlineStr">
        <is>
          <t>Positive</t>
        </is>
      </c>
      <c r="B51" s="47" t="inlineStr">
        <is>
          <t>TC-ACH-50</t>
        </is>
      </c>
      <c r="C51" s="46" t="inlineStr">
        <is>
          <t>Get all ACH transfers</t>
        </is>
      </c>
      <c r="D51" s="47" t="inlineStr">
        <is>
          <t>High</t>
        </is>
      </c>
      <c r="E51" s="46" t="inlineStr">
        <is>
          <t>Valid JWT with ADMIN_GET_POS_ACH_TRANSFERS.
At least one ACH transfer exists in AWAITING_APPROVAL.</t>
        </is>
      </c>
      <c r="F51" s="46" t="inlineStr">
        <is>
          <t>1. Send GET /api/v1/admin/pos/ach-transfers?page=0&amp;size=20.
2. Inspect the first row's fields.</t>
        </is>
      </c>
      <c r="G51" s="46" t="inlineStr">
        <is>
          <t>200 OK, Page envelope.
Rows carry id, reconBatchRefNum, walletCode, terminalId, sourceBtsFileId, memberCount, slipGrossTotal, slipNetTotal, anbCommissionTotal, anbVatTotal, anbFeeTotal, valueDate, transferAmount, beneficiary fields, status and allowedActions.</t>
        </is>
      </c>
      <c r="H51" s="47" t="inlineStr">
        <is>
          <t>Not Tested</t>
        </is>
      </c>
      <c r="I51" s="47" t="inlineStr">
        <is>
          <t>Functional</t>
        </is>
      </c>
    </row>
    <row r="52" ht="36" customHeight="1">
      <c r="A52" s="46" t="inlineStr">
        <is>
          <t>Positive</t>
        </is>
      </c>
      <c r="B52" s="47" t="inlineStr">
        <is>
          <t>TC-ACH-51</t>
        </is>
      </c>
      <c r="C52" s="46" t="inlineStr">
        <is>
          <t>allowedActions is populated only for AWAITING_APPROVAL</t>
        </is>
      </c>
      <c r="D52" s="47" t="inlineStr">
        <is>
          <t>High</t>
        </is>
      </c>
      <c r="E52" s="46" t="inlineStr">
        <is>
          <t>Valid JWT with ADMIN_GET_POS_ACH_TRANSFERS.
At least one ACH transfer exists in AWAITING_APPROVAL.
Transfers exist in several different statuses.</t>
        </is>
      </c>
      <c r="F52" s="46" t="inlineStr">
        <is>
          <t>1. Send without a status filter and size=100.
2. For each row compare status against allowedActions.</t>
        </is>
      </c>
      <c r="G52" s="46" t="inlineStr">
        <is>
          <t>Rows with status AWAITING_APPROVAL have allowedActions = [RELEASE, REJECT].
Rows in APPROVED, PENDING, SUCCESSFUL, REVERSED or REJECTED have an empty allowedActions list.</t>
        </is>
      </c>
      <c r="H52" s="47" t="inlineStr">
        <is>
          <t>Not Tested</t>
        </is>
      </c>
      <c r="I52" s="47" t="inlineStr">
        <is>
          <t>Negative</t>
        </is>
      </c>
    </row>
    <row r="53" ht="36" customHeight="1">
      <c r="A53" s="46" t="inlineStr">
        <is>
          <t>Positive</t>
        </is>
      </c>
      <c r="B53" s="47" t="inlineStr">
        <is>
          <t>TC-ACH-52</t>
        </is>
      </c>
      <c r="C53" s="46" t="inlineStr">
        <is>
          <t>Filter ACH transfers by each status value</t>
        </is>
      </c>
      <c r="D53" s="47" t="inlineStr">
        <is>
          <t>Medium</t>
        </is>
      </c>
      <c r="E53" s="46" t="inlineStr">
        <is>
          <t>Valid JWT with ADMIN_GET_POS_ACH_TRANSFERS.
At least one ACH transfer exists in AWAITING_APPROVAL.</t>
        </is>
      </c>
      <c r="F53" s="46" t="inlineStr">
        <is>
          <t>1. Send status=AWAITING_APPROVAL.
2. Repeat for APPROVED, PENDING, SUCCESSFUL, REVERSED, REJECTED.</t>
        </is>
      </c>
      <c r="G53" s="46" t="inlineStr">
        <is>
          <t>200 OK each time and every row carries the requested status.
No enum value is rejected.</t>
        </is>
      </c>
      <c r="H53" s="47" t="inlineStr">
        <is>
          <t>Not Tested</t>
        </is>
      </c>
      <c r="I53" s="47" t="inlineStr">
        <is>
          <t>Negative</t>
        </is>
      </c>
    </row>
    <row r="54" ht="36" customHeight="1">
      <c r="A54" s="46" t="inlineStr">
        <is>
          <t>Positive</t>
        </is>
      </c>
      <c r="B54" s="47" t="inlineStr">
        <is>
          <t>TC-ACH-53</t>
        </is>
      </c>
      <c r="C54" s="46" t="inlineStr">
        <is>
          <t>Filter ACH transfers by batchRef, terminalId, walletCode and IBAN</t>
        </is>
      </c>
      <c r="D54" s="47" t="inlineStr">
        <is>
          <t>Medium</t>
        </is>
      </c>
      <c r="E54" s="46" t="inlineStr">
        <is>
          <t>Valid JWT with ADMIN_GET_POS_ACH_TRANSFERS.
At least one ACH transfer exists in AWAITING_APPROVAL.</t>
        </is>
      </c>
      <c r="F54" s="46" t="inlineStr">
        <is>
          <t>1. Apply batchRef alone, then terminalId, then walletCode, then beneficiaryAccountIban.</t>
        </is>
      </c>
      <c r="G54" s="46" t="inlineStr">
        <is>
          <t>200 OK for each.
batchRef filters on reconBatchRefNum and returns at most one row.
Each other filter narrows correctly.</t>
        </is>
      </c>
      <c r="H54" s="47" t="inlineStr">
        <is>
          <t>Not Tested</t>
        </is>
      </c>
      <c r="I54" s="47" t="inlineStr">
        <is>
          <t>Functional</t>
        </is>
      </c>
    </row>
    <row r="55" ht="36" customHeight="1">
      <c r="A55" s="46" t="inlineStr">
        <is>
          <t>Boundary</t>
        </is>
      </c>
      <c r="B55" s="47" t="inlineStr">
        <is>
          <t>TC-ACH-54</t>
        </is>
      </c>
      <c r="C55" s="46" t="inlineStr">
        <is>
          <t>Page size is capped at 100 server-side</t>
        </is>
      </c>
      <c r="D55" s="47" t="inlineStr">
        <is>
          <t>High</t>
        </is>
      </c>
      <c r="E55" s="46" t="inlineStr">
        <is>
          <t>Valid JWT with ADMIN_GET_POS_ACH_TRANSFERS.
At least one ACH transfer exists in AWAITING_APPROVAL.
More than 100 ACH transfers exist.</t>
        </is>
      </c>
      <c r="F55" s="46" t="inlineStr">
        <is>
          <t>1. Send size=500.
2. Read size and numberOfElements in the response.
3. Repeat with size=100 and size=101.</t>
        </is>
      </c>
      <c r="G55" s="46" t="inlineStr">
        <is>
          <t>The effective page size never exceeds 100, regardless of what was requested (capped in AchTransferService.pageSize()).
No error is raised for an oversized request - it is silently capped.</t>
        </is>
      </c>
      <c r="H55" s="47" t="inlineStr">
        <is>
          <t>Not Tested</t>
        </is>
      </c>
      <c r="I55" s="47" t="inlineStr">
        <is>
          <t>Edge / Boundary</t>
        </is>
      </c>
    </row>
    <row r="56" ht="36" customHeight="1">
      <c r="A56" s="46" t="inlineStr">
        <is>
          <t>Security</t>
        </is>
      </c>
      <c r="B56" s="47" t="inlineStr">
        <is>
          <t>TC-ACH-55</t>
        </is>
      </c>
      <c r="C56" s="46" t="inlineStr">
        <is>
          <t>Missing ADMIN_GET_POS_ACH_TRANSFERS privilege is rejected</t>
        </is>
      </c>
      <c r="D56" s="47" t="inlineStr">
        <is>
          <t>High</t>
        </is>
      </c>
      <c r="E56" s="46" t="inlineStr">
        <is>
          <t>Token without that privilege.</t>
        </is>
      </c>
      <c r="F56" s="46" t="inlineStr">
        <is>
          <t>1. Send the ACH list request.</t>
        </is>
      </c>
      <c r="G56" s="46" t="inlineStr">
        <is>
          <t>403 Forbidden, UNAUTHORIZED_USER.</t>
        </is>
      </c>
      <c r="H56" s="47" t="inlineStr">
        <is>
          <t>Not Tested</t>
        </is>
      </c>
      <c r="I56" s="47" t="inlineStr">
        <is>
          <t>Security</t>
        </is>
      </c>
    </row>
    <row r="57" ht="36" customHeight="1">
      <c r="A57" s="46" t="inlineStr">
        <is>
          <t>Positive</t>
        </is>
      </c>
      <c r="B57" s="47" t="inlineStr">
        <is>
          <t>TC-ACH-56</t>
        </is>
      </c>
      <c r="C57" s="46" t="inlineStr">
        <is>
          <t>Release a transfer that is awaiting approval</t>
        </is>
      </c>
      <c r="D57" s="47" t="inlineStr">
        <is>
          <t>High</t>
        </is>
      </c>
      <c r="E57" s="46" t="inlineStr">
        <is>
          <t>Valid JWT with ADMIN_RELEASE_POS_ACH_TRANSFERS.
A transfer in AWAITING_APPROVAL is available - copy its reconBatchRefNum.
CAUTION: this endpoint sends a real payment instruction to the bank.</t>
        </is>
      </c>
      <c r="F57" s="46" t="inlineStr">
        <is>
          <t>1. Note the batch's current status via the GET list.
2. POST release with that single batchRef and a reason.
3. Re-read the batch via the GET list.</t>
        </is>
      </c>
      <c r="G57" s="46" t="inlineStr">
        <is>
          <t>200 OK.
items[0].result = RELEASED, total=1, succeeded=1, failed=0, skipped=0.
On re-read: status is SUCCESSFUL (or PENDING if the bank only acknowledged), releaseMode=MANUAL, approvedBy / approvedAt / sentAt populated, bankInstructionRef set, allowedActions now empty.</t>
        </is>
      </c>
      <c r="H57" s="47" t="inlineStr">
        <is>
          <t>Not Tested</t>
        </is>
      </c>
      <c r="I57" s="47" t="inlineStr">
        <is>
          <t>Functional</t>
        </is>
      </c>
    </row>
    <row r="58" ht="36" customHeight="1">
      <c r="A58" s="46" t="inlineStr">
        <is>
          <t>Negative</t>
        </is>
      </c>
      <c r="B58" s="47" t="inlineStr">
        <is>
          <t>TC-ACH-57</t>
        </is>
      </c>
      <c r="C58" s="46" t="inlineStr">
        <is>
          <t>Releasing an already released transfer is skipped, not repeated</t>
        </is>
      </c>
      <c r="D58" s="47" t="inlineStr">
        <is>
          <t>High</t>
        </is>
      </c>
      <c r="E58" s="46" t="inlineStr">
        <is>
          <t>A transfer already in SUCCESSFUL status.</t>
        </is>
      </c>
      <c r="F58" s="46" t="inlineStr">
        <is>
          <t>1. POST release with that batchRef.
2. Re-read the transfer.</t>
        </is>
      </c>
      <c r="G58" s="46" t="inlineStr">
        <is>
          <t>200 OK.
items[0].result = ALREADY_RELEASED, skipped=1, succeeded=0.
No second payment is sent to the bank and no field on the transfer changes.
This is the double-payment guard - treat any state change as a critical defect.</t>
        </is>
      </c>
      <c r="H58" s="47" t="inlineStr">
        <is>
          <t>Not Tested</t>
        </is>
      </c>
      <c r="I58" s="47" t="inlineStr">
        <is>
          <t>Negative</t>
        </is>
      </c>
    </row>
    <row r="59" ht="36" customHeight="1">
      <c r="A59" s="46" t="inlineStr">
        <is>
          <t>Negative</t>
        </is>
      </c>
      <c r="B59" s="47" t="inlineStr">
        <is>
          <t>TC-ACH-58</t>
        </is>
      </c>
      <c r="C59" s="46" t="inlineStr">
        <is>
          <t>Releasing an unknown batchRef reports NOT_FOUND</t>
        </is>
      </c>
      <c r="D59" s="47" t="inlineStr">
        <is>
          <t>High</t>
        </is>
      </c>
      <c r="E59" s="46" t="inlineStr">
        <is>
          <t>Valid release privilege.</t>
        </is>
      </c>
      <c r="F59" s="46" t="inlineStr">
        <is>
          <t>1. POST release with a batchRef that does not exist.</t>
        </is>
      </c>
      <c r="G59" s="46" t="inlineStr">
        <is>
          <t>200 OK (not 404).
items[0].result = NOT_FOUND, skipped=1.
Per-item failures are reported inside the 200 body, never as an HTTP error.</t>
        </is>
      </c>
      <c r="H59" s="47" t="inlineStr">
        <is>
          <t>Not Tested</t>
        </is>
      </c>
      <c r="I59" s="47" t="inlineStr">
        <is>
          <t>Negative</t>
        </is>
      </c>
    </row>
    <row r="60" ht="36" customHeight="1">
      <c r="A60" s="46" t="inlineStr">
        <is>
          <t>Negative</t>
        </is>
      </c>
      <c r="B60" s="47" t="inlineStr">
        <is>
          <t>TC-ACH-59</t>
        </is>
      </c>
      <c r="C60" s="46" t="inlineStr">
        <is>
          <t>Releasing a transfer in a non-releasable status is rejected</t>
        </is>
      </c>
      <c r="D60" s="47" t="inlineStr">
        <is>
          <t>High</t>
        </is>
      </c>
      <c r="E60" s="46" t="inlineStr">
        <is>
          <t>Transfers exist in APPROVED, PENDING, REVERSED and REJECTED statuses.</t>
        </is>
      </c>
      <c r="F60" s="46" t="inlineStr">
        <is>
          <t>1. POST release for a batch in each of those statuses, one at a time.</t>
        </is>
      </c>
      <c r="G60" s="46" t="inlineStr">
        <is>
          <t>200 OK each time with items[0].result = INVALID_STATUS and skipped=1.
Only AWAITING_APPROVAL permits RELEASE - every other status must refuse.</t>
        </is>
      </c>
      <c r="H60" s="47" t="inlineStr">
        <is>
          <t>Not Tested</t>
        </is>
      </c>
      <c r="I60" s="47" t="inlineStr">
        <is>
          <t>Negative</t>
        </is>
      </c>
    </row>
    <row r="61" ht="36" customHeight="1">
      <c r="A61" s="46" t="inlineStr">
        <is>
          <t>Positive</t>
        </is>
      </c>
      <c r="B61" s="47" t="inlineStr">
        <is>
          <t>TC-ACH-60</t>
        </is>
      </c>
      <c r="C61" s="46" t="inlineStr">
        <is>
          <t>Mixed batch returns correct per-item results and counters</t>
        </is>
      </c>
      <c r="D61" s="47" t="inlineStr">
        <is>
          <t>High</t>
        </is>
      </c>
      <c r="E61" s="46" t="inlineStr">
        <is>
          <t>Four batchRefs prepared: one AWAITING_APPROVAL, one SUCCESSFUL, one unknown, one REJECTED.</t>
        </is>
      </c>
      <c r="F61" s="46" t="inlineStr">
        <is>
          <t>1. POST release with all four refs in one request.
2. Check items[] and the four counters.</t>
        </is>
      </c>
      <c r="G61" s="46" t="inlineStr">
        <is>
          <t>200 OK, total=4, items.length=4.
Results are RELEASED, ALREADY_RELEASED, NOT_FOUND, INVALID_STATUS respectively.
succeeded=1, failed=0, skipped=3, and succeeded+failed+skipped = total.
One bad ref does not abort the others.</t>
        </is>
      </c>
      <c r="H61" s="47" t="inlineStr">
        <is>
          <t>Not Tested</t>
        </is>
      </c>
      <c r="I61" s="47" t="inlineStr">
        <is>
          <t>Negative</t>
        </is>
      </c>
    </row>
    <row r="62" ht="36" customHeight="1">
      <c r="A62" s="46" t="inlineStr">
        <is>
          <t>Negative</t>
        </is>
      </c>
      <c r="B62" s="47" t="inlineStr">
        <is>
          <t>TC-ACH-61</t>
        </is>
      </c>
      <c r="C62" s="46" t="inlineStr">
        <is>
          <t>Bank rejects the payment instruction</t>
        </is>
      </c>
      <c r="D62" s="47" t="inlineStr">
        <is>
          <t>High</t>
        </is>
      </c>
      <c r="E62" s="46" t="inlineStr">
        <is>
          <t>A bank stub/mock configured to reject, or coordination with the integration team.</t>
        </is>
      </c>
      <c r="F62" s="46" t="inlineStr">
        <is>
          <t>1. Release a batch whose bank call will be rejected.
2. Read items[0] and re-read the transfer.</t>
        </is>
      </c>
      <c r="G62" s="46" t="inlineStr">
        <is>
          <t>200 OK, items[0].result = REJECTED_BY_BANK, failed=1.
Transfer status becomes REJECTED.</t>
        </is>
      </c>
      <c r="H62" s="47" t="inlineStr">
        <is>
          <t>Not Tested</t>
        </is>
      </c>
      <c r="I62" s="47" t="inlineStr">
        <is>
          <t>Negative</t>
        </is>
      </c>
    </row>
    <row r="63" ht="36" customHeight="1">
      <c r="A63" s="46" t="inlineStr">
        <is>
          <t>Negative</t>
        </is>
      </c>
      <c r="B63" s="47" t="inlineStr">
        <is>
          <t>TC-ACH-62</t>
        </is>
      </c>
      <c r="C63" s="46" t="inlineStr">
        <is>
          <t>Bank call throws - transfer stays APPROVED with a reason</t>
        </is>
      </c>
      <c r="D63" s="47" t="inlineStr">
        <is>
          <t>High</t>
        </is>
      </c>
      <c r="E63" s="46" t="inlineStr">
        <is>
          <t>Bank integration made to fail (timeout / connection error).</t>
        </is>
      </c>
      <c r="F63" s="46" t="inlineStr">
        <is>
          <t>1. Release a batch while the bank call fails.
2. Read items[0] and re-read the transfer.</t>
        </is>
      </c>
      <c r="G63" s="46" t="inlineStr">
        <is>
          <t>200 OK, items[0].result = FAILED, failed=1.
Transfer status stays APPROVED (not rolled back to AWAITING_APPROVAL, not advanced to SUCCESSFUL).
statusReason carries the release-failed note.
Record whether a retry is then possible - a batch stuck in APPROVED cannot be re-released, which is worth raising.</t>
        </is>
      </c>
      <c r="H63" s="47" t="inlineStr">
        <is>
          <t>Not Tested</t>
        </is>
      </c>
      <c r="I63" s="47" t="inlineStr">
        <is>
          <t>Negative</t>
        </is>
      </c>
    </row>
    <row r="64" ht="36" customHeight="1">
      <c r="A64" s="46" t="inlineStr">
        <is>
          <t>Negative</t>
        </is>
      </c>
      <c r="B64" s="47" t="inlineStr">
        <is>
          <t>TC-ACH-63</t>
        </is>
      </c>
      <c r="C64" s="46" t="inlineStr">
        <is>
          <t>Empty batchRefs array is rejected</t>
        </is>
      </c>
      <c r="D64" s="47" t="inlineStr">
        <is>
          <t>High</t>
        </is>
      </c>
      <c r="E64" s="46" t="inlineStr">
        <is>
          <t>Valid release privilege.</t>
        </is>
      </c>
      <c r="F64" s="46" t="inlineStr">
        <is>
          <t>1. POST release with batchRefs = [].</t>
        </is>
      </c>
      <c r="G64" s="46" t="inlineStr">
        <is>
          <t>400 Bad Request from AchTransferActionRequestValidator.
ErrorMessageDto shape, no batch response body.</t>
        </is>
      </c>
      <c r="H64" s="47" t="inlineStr">
        <is>
          <t>Not Tested</t>
        </is>
      </c>
      <c r="I64" s="47" t="inlineStr">
        <is>
          <t>Negative</t>
        </is>
      </c>
    </row>
    <row r="65" ht="36" customHeight="1">
      <c r="A65" s="46" t="inlineStr">
        <is>
          <t>Negative</t>
        </is>
      </c>
      <c r="B65" s="47" t="inlineStr">
        <is>
          <t>TC-ACH-64</t>
        </is>
      </c>
      <c r="C65" s="46" t="inlineStr">
        <is>
          <t>Null or missing batchRefs is rejected</t>
        </is>
      </c>
      <c r="D65" s="47" t="inlineStr">
        <is>
          <t>High</t>
        </is>
      </c>
      <c r="E65" s="46" t="inlineStr">
        <is>
          <t>Valid release privilege.</t>
        </is>
      </c>
      <c r="F65" s="46" t="inlineStr">
        <is>
          <t>1. POST release with batchRefs = null.
2. POST release with the batchRefs key removed entirely.</t>
        </is>
      </c>
      <c r="G65" s="46" t="inlineStr">
        <is>
          <t>400 Bad Request for both.</t>
        </is>
      </c>
      <c r="H65" s="47" t="inlineStr">
        <is>
          <t>Not Tested</t>
        </is>
      </c>
      <c r="I65" s="47" t="inlineStr">
        <is>
          <t>Negative</t>
        </is>
      </c>
    </row>
    <row r="66" ht="36" customHeight="1">
      <c r="A66" s="46" t="inlineStr">
        <is>
          <t>Negative</t>
        </is>
      </c>
      <c r="B66" s="47" t="inlineStr">
        <is>
          <t>TC-ACH-65</t>
        </is>
      </c>
      <c r="C66" s="46" t="inlineStr">
        <is>
          <t>Blank entry inside batchRefs is rejected</t>
        </is>
      </c>
      <c r="D66" s="47" t="inlineStr">
        <is>
          <t>High</t>
        </is>
      </c>
      <c r="E66" s="46" t="inlineStr">
        <is>
          <t>Valid release privilege.</t>
        </is>
      </c>
      <c r="F66" s="46" t="inlineStr">
        <is>
          <t>1. POST release with batchRefs = [""].
2. Repeat with a whitespace-only entry.
3. Repeat with a valid ref plus a blank one.</t>
        </is>
      </c>
      <c r="G66" s="46" t="inlineStr">
        <is>
          <t>400 Bad Request in all three cases - the whole request is rejected before any transfer is touched.
Step 3 matters most: the valid ref must NOT be released when the request also carries a blank one.</t>
        </is>
      </c>
      <c r="H66" s="47" t="inlineStr">
        <is>
          <t>Not Tested</t>
        </is>
      </c>
      <c r="I66" s="47" t="inlineStr">
        <is>
          <t>Negative</t>
        </is>
      </c>
    </row>
    <row r="67" ht="36" customHeight="1">
      <c r="A67" s="46" t="inlineStr">
        <is>
          <t>Boundary</t>
        </is>
      </c>
      <c r="B67" s="47" t="inlineStr">
        <is>
          <t>TC-ACH-66</t>
        </is>
      </c>
      <c r="C67" s="46" t="inlineStr">
        <is>
          <t>batchRefs size limit of 100</t>
        </is>
      </c>
      <c r="D67" s="47" t="inlineStr">
        <is>
          <t>High</t>
        </is>
      </c>
      <c r="E67" s="46" t="inlineStr">
        <is>
          <t>Valid release privilege.</t>
        </is>
      </c>
      <c r="F67" s="46" t="inlineStr">
        <is>
          <t>1. POST release with exactly 100 refs.
2. POST release with 101 refs.</t>
        </is>
      </c>
      <c r="G67" s="46" t="inlineStr">
        <is>
          <t>100 refs: accepted, processed (each item resolved individually).
101 refs: 400 Bad Request (MAX_BATCH_REFS exceeded).</t>
        </is>
      </c>
      <c r="H67" s="47" t="inlineStr">
        <is>
          <t>Not Tested</t>
        </is>
      </c>
      <c r="I67" s="47" t="inlineStr">
        <is>
          <t>Edge / Boundary</t>
        </is>
      </c>
    </row>
    <row r="68" ht="36" customHeight="1">
      <c r="A68" s="46" t="inlineStr">
        <is>
          <t>Boundary</t>
        </is>
      </c>
      <c r="B68" s="47" t="inlineStr">
        <is>
          <t>TC-ACH-67</t>
        </is>
      </c>
      <c r="C68" s="46" t="inlineStr">
        <is>
          <t>reason length limit of 255 characters</t>
        </is>
      </c>
      <c r="D68" s="47" t="inlineStr">
        <is>
          <t>Medium</t>
        </is>
      </c>
      <c r="E68" s="46" t="inlineStr">
        <is>
          <t>Valid release privilege and one AWAITING_APPROVAL batch.</t>
        </is>
      </c>
      <c r="F68" s="46" t="inlineStr">
        <is>
          <t>1. POST release with a 255-character reason.
2. POST release with a 256-character reason.
3. POST release with reason omitted.</t>
        </is>
      </c>
      <c r="G68" s="46" t="inlineStr">
        <is>
          <t>255 chars: accepted.
256 chars: 400 Bad Request (MAX_REASON_LENGTH).
Omitted reason: record the behaviour - the validator only caps length, so a null reason is expected to pass.</t>
        </is>
      </c>
      <c r="H68" s="47" t="inlineStr">
        <is>
          <t>Not Tested</t>
        </is>
      </c>
      <c r="I68" s="47" t="inlineStr">
        <is>
          <t>Edge / Boundary</t>
        </is>
      </c>
    </row>
    <row r="69" ht="36" customHeight="1">
      <c r="A69" s="46" t="inlineStr">
        <is>
          <t>Negative</t>
        </is>
      </c>
      <c r="B69" s="47" t="inlineStr">
        <is>
          <t>TC-ACH-68</t>
        </is>
      </c>
      <c r="C69" s="46" t="inlineStr">
        <is>
          <t>Duplicate batchRef appearing twice in one request</t>
        </is>
      </c>
      <c r="D69" s="47" t="inlineStr">
        <is>
          <t>Medium</t>
        </is>
      </c>
      <c r="E69" s="46" t="inlineStr">
        <is>
          <t>One AWAITING_APPROVAL batch.</t>
        </is>
      </c>
      <c r="F69" s="46" t="inlineStr">
        <is>
          <t>1. POST release with the same batchRef listed twice.
2. Re-read the transfer and check the bank instruction.</t>
        </is>
      </c>
      <c r="G69" s="46" t="inlineStr">
        <is>
          <t>200 OK, total=2.
The second occurrence must resolve to ALREADY_RELEASED or INVALID_STATUS - not a second RELEASED.
Only ONE payment instruction reaches the bank. Two would be a critical double-payment defect.</t>
        </is>
      </c>
      <c r="H69" s="47" t="inlineStr">
        <is>
          <t>Not Tested</t>
        </is>
      </c>
      <c r="I69" s="47" t="inlineStr">
        <is>
          <t>Integration</t>
        </is>
      </c>
    </row>
    <row r="70" ht="36" customHeight="1">
      <c r="A70" s="46" t="inlineStr">
        <is>
          <t>Positive</t>
        </is>
      </c>
      <c r="B70" s="47" t="inlineStr">
        <is>
          <t>TC-ACH-69</t>
        </is>
      </c>
      <c r="C70" s="46" t="inlineStr">
        <is>
          <t>Release is written to the audit log</t>
        </is>
      </c>
      <c r="D70" s="47" t="inlineStr">
        <is>
          <t>Medium</t>
        </is>
      </c>
      <c r="E70" s="46" t="inlineStr">
        <is>
          <t>Access to the POS ACH audit log (PosAchAuditLogService output) or its table.</t>
        </is>
      </c>
      <c r="F70" s="46" t="inlineStr">
        <is>
          <t>1. Release a batch.
2. Also release an unknown ref in the same or a separate call.
3. Inspect the audit log.</t>
        </is>
      </c>
      <c r="G70" s="46" t="inlineStr">
        <is>
          <t>Every item - success and failure alike - produces an audit entry recording previous status, new status and the supplied reason.
The acting user is recorded.</t>
        </is>
      </c>
      <c r="H70" s="47" t="inlineStr">
        <is>
          <t>Not Tested</t>
        </is>
      </c>
      <c r="I70" s="47" t="inlineStr">
        <is>
          <t>Negative</t>
        </is>
      </c>
    </row>
    <row r="71" ht="36" customHeight="1">
      <c r="A71" s="46" t="inlineStr">
        <is>
          <t>Security</t>
        </is>
      </c>
      <c r="B71" s="47" t="inlineStr">
        <is>
          <t>TC-ACH-70</t>
        </is>
      </c>
      <c r="C71" s="46" t="inlineStr">
        <is>
          <t>Missing ADMIN_RELEASE_POS_ACH_TRANSFERS privilege is rejected</t>
        </is>
      </c>
      <c r="D71" s="47" t="inlineStr">
        <is>
          <t>High</t>
        </is>
      </c>
      <c r="E71" s="46" t="inlineStr">
        <is>
          <t>A token with ADMIN_GET_POS_ACH_TRANSFERS but NOT the release privilege.</t>
        </is>
      </c>
      <c r="F71" s="46" t="inlineStr">
        <is>
          <t>1. POST release with a valid body.
2. Re-read the transfer.</t>
        </is>
      </c>
      <c r="G71" s="46" t="inlineStr">
        <is>
          <t>403 Forbidden, UNAUTHORIZED_USER.
The transfer status is unchanged - a read-only admin must not be able to move money.</t>
        </is>
      </c>
      <c r="H71" s="47" t="inlineStr">
        <is>
          <t>Not Tested</t>
        </is>
      </c>
      <c r="I71" s="47" t="inlineStr">
        <is>
          <t>Security</t>
        </is>
      </c>
    </row>
    <row r="72" ht="36" customHeight="1">
      <c r="A72" s="46" t="inlineStr">
        <is>
          <t>Positive</t>
        </is>
      </c>
      <c r="B72" s="47" t="inlineStr">
        <is>
          <t>TC-ACH-71</t>
        </is>
      </c>
      <c r="C72" s="46" t="inlineStr">
        <is>
          <t>Reject a transfer that is awaiting approval</t>
        </is>
      </c>
      <c r="D72" s="47" t="inlineStr">
        <is>
          <t>High</t>
        </is>
      </c>
      <c r="E72" s="46" t="inlineStr">
        <is>
          <t>Valid JWT with ADMIN_REJECT_POS_ACH_TRANSFERS and an AWAITING_APPROVAL batch.</t>
        </is>
      </c>
      <c r="F72" s="46" t="inlineStr">
        <is>
          <t>1. POST reject with the batchRef and a reason.
2. Re-read the transfer.</t>
        </is>
      </c>
      <c r="G72" s="46" t="inlineStr">
        <is>
          <t>200 OK, items[0].result = REJECTED.
On re-read: status = REJECTED, statusReason carries the supplied reason, allowedActions is empty.
No bank call is made.</t>
        </is>
      </c>
      <c r="H72" s="47" t="inlineStr">
        <is>
          <t>Not Tested</t>
        </is>
      </c>
      <c r="I72" s="47" t="inlineStr">
        <is>
          <t>Negative</t>
        </is>
      </c>
    </row>
    <row r="73" ht="36" customHeight="1">
      <c r="A73" s="46" t="inlineStr">
        <is>
          <t>Negative</t>
        </is>
      </c>
      <c r="B73" s="47" t="inlineStr">
        <is>
          <t>TC-ACH-72</t>
        </is>
      </c>
      <c r="C73" s="46" t="inlineStr">
        <is>
          <t>Rejecting a non-AWAITING_APPROVAL transfer is refused</t>
        </is>
      </c>
      <c r="D73" s="47" t="inlineStr">
        <is>
          <t>High</t>
        </is>
      </c>
      <c r="E73" s="46" t="inlineStr">
        <is>
          <t>Transfers in SUCCESSFUL, APPROVED, PENDING and REJECTED statuses.</t>
        </is>
      </c>
      <c r="F73" s="46" t="inlineStr">
        <is>
          <t>1. POST reject for each of those statuses in turn.</t>
        </is>
      </c>
      <c r="G73" s="46" t="inlineStr">
        <is>
          <t>200 OK each time with items[0].result = INVALID_STATUS and skipped=1.
An already-settled transfer can never be rejected after the fact.</t>
        </is>
      </c>
      <c r="H73" s="47" t="inlineStr">
        <is>
          <t>Not Tested</t>
        </is>
      </c>
      <c r="I73" s="47" t="inlineStr">
        <is>
          <t>Negative</t>
        </is>
      </c>
    </row>
    <row r="74" ht="36" customHeight="1">
      <c r="A74" s="46" t="inlineStr">
        <is>
          <t>Negative</t>
        </is>
      </c>
      <c r="B74" s="47" t="inlineStr">
        <is>
          <t>TC-ACH-73</t>
        </is>
      </c>
      <c r="C74" s="46" t="inlineStr">
        <is>
          <t>Rejecting an unknown batchRef reports NOT_FOUND</t>
        </is>
      </c>
      <c r="D74" s="47" t="inlineStr">
        <is>
          <t>Medium</t>
        </is>
      </c>
      <c r="E74" s="46" t="inlineStr">
        <is>
          <t>Valid reject privilege.</t>
        </is>
      </c>
      <c r="F74" s="46" t="inlineStr">
        <is>
          <t>1. POST reject with a non-existent batchRef.</t>
        </is>
      </c>
      <c r="G74" s="46" t="inlineStr">
        <is>
          <t>200 OK, items[0].result = NOT_FOUND, skipped=1.</t>
        </is>
      </c>
      <c r="H74" s="47" t="inlineStr">
        <is>
          <t>Not Tested</t>
        </is>
      </c>
      <c r="I74" s="47" t="inlineStr">
        <is>
          <t>Negative</t>
        </is>
      </c>
    </row>
    <row r="75" ht="36" customHeight="1">
      <c r="A75" s="46" t="inlineStr">
        <is>
          <t>Positive</t>
        </is>
      </c>
      <c r="B75" s="47" t="inlineStr">
        <is>
          <t>TC-ACH-74</t>
        </is>
      </c>
      <c r="C75" s="46" t="inlineStr">
        <is>
          <t>Reject response never carries release-only result codes</t>
        </is>
      </c>
      <c r="D75" s="47" t="inlineStr">
        <is>
          <t>Medium</t>
        </is>
      </c>
      <c r="E75" s="46" t="inlineStr">
        <is>
          <t>Mixed set of batchRefs.</t>
        </is>
      </c>
      <c r="F75" s="46" t="inlineStr">
        <is>
          <t>1. POST reject with a valid AWAITING_APPROVAL ref, an unknown ref and a SUCCESSFUL ref.
2. Read every items[].result.</t>
        </is>
      </c>
      <c r="G75" s="46" t="inlineStr">
        <is>
          <t>Results are drawn only from REJECTED, NOT_FOUND and INVALID_STATUS.
RELEASED, REJECTED_BY_BANK, FAILED and ALREADY_RELEASED must never appear on this endpoint.</t>
        </is>
      </c>
      <c r="H75" s="47" t="inlineStr">
        <is>
          <t>Not Tested</t>
        </is>
      </c>
      <c r="I75" s="47" t="inlineStr">
        <is>
          <t>Negative</t>
        </is>
      </c>
    </row>
    <row r="76" ht="36" customHeight="1">
      <c r="A76" s="46" t="inlineStr">
        <is>
          <t>Negative</t>
        </is>
      </c>
      <c r="B76" s="47" t="inlineStr">
        <is>
          <t>TC-ACH-75</t>
        </is>
      </c>
      <c r="C76" s="46" t="inlineStr">
        <is>
          <t>Reject applies the same request validation as release</t>
        </is>
      </c>
      <c r="D76" s="47" t="inlineStr">
        <is>
          <t>Medium</t>
        </is>
      </c>
      <c r="E76" s="46" t="inlineStr">
        <is>
          <t>Valid reject privilege.</t>
        </is>
      </c>
      <c r="F76" s="46" t="inlineStr">
        <is>
          <t>1. POST reject with batchRefs = [].
2. With a blank entry.
3. With 101 refs.
4. With a 256-character reason.</t>
        </is>
      </c>
      <c r="G76" s="46" t="inlineStr">
        <is>
          <t>400 Bad Request in all four cases - the validator is shared between the two endpoints.</t>
        </is>
      </c>
      <c r="H76" s="47" t="inlineStr">
        <is>
          <t>Not Tested</t>
        </is>
      </c>
      <c r="I76" s="47" t="inlineStr">
        <is>
          <t>Negative</t>
        </is>
      </c>
    </row>
    <row r="77" ht="36" customHeight="1">
      <c r="A77" s="46" t="inlineStr">
        <is>
          <t>Negative</t>
        </is>
      </c>
      <c r="B77" s="47" t="inlineStr">
        <is>
          <t>TC-ACH-76</t>
        </is>
      </c>
      <c r="C77" s="46" t="inlineStr">
        <is>
          <t>Concurrent release and reject on the same batch</t>
        </is>
      </c>
      <c r="D77" s="47" t="inlineStr">
        <is>
          <t>High</t>
        </is>
      </c>
      <c r="E77" s="46" t="inlineStr">
        <is>
          <t>One AWAITING_APPROVAL batch. Two Postman tabs or a Runner set up to fire simultaneously.</t>
        </is>
      </c>
      <c r="F77" s="46" t="inlineStr">
        <is>
          <t>1. Fire release and reject for the same batchRef at the same moment.
2. Re-read the transfer.
3. Check the audit log.</t>
        </is>
      </c>
      <c r="G77" s="46" t="inlineStr">
        <is>
          <t>Exactly one action wins (the atomic compare-and-set).
The loser returns INVALID_STATUS.
Final status is either SUCCESSFUL/PENDING or REJECTED - never both, never a mixed state.
No duplicate bank instruction.</t>
        </is>
      </c>
      <c r="H77" s="47" t="inlineStr">
        <is>
          <t>Not Tested</t>
        </is>
      </c>
      <c r="I77" s="47" t="inlineStr">
        <is>
          <t>Integration</t>
        </is>
      </c>
    </row>
    <row r="78" ht="36" customHeight="1">
      <c r="A78" s="46" t="inlineStr">
        <is>
          <t>Security</t>
        </is>
      </c>
      <c r="B78" s="47" t="inlineStr">
        <is>
          <t>TC-ACH-77</t>
        </is>
      </c>
      <c r="C78" s="46" t="inlineStr">
        <is>
          <t>Missing ADMIN_REJECT_POS_ACH_TRANSFERS privilege is rejected</t>
        </is>
      </c>
      <c r="D78" s="47" t="inlineStr">
        <is>
          <t>High</t>
        </is>
      </c>
      <c r="E78" s="46" t="inlineStr">
        <is>
          <t>Token with the release privilege but not the reject privilege.</t>
        </is>
      </c>
      <c r="F78" s="46" t="inlineStr">
        <is>
          <t>1. POST reject with a valid body.
2. Re-read the transfer.</t>
        </is>
      </c>
      <c r="G78" s="46" t="inlineStr">
        <is>
          <t>403 Forbidden, UNAUTHORIZED_USER, and the transfer is unchanged.
Release and reject are separate privileges.</t>
        </is>
      </c>
      <c r="H78" s="47" t="inlineStr">
        <is>
          <t>Not Tested</t>
        </is>
      </c>
      <c r="I78" s="47" t="inlineStr">
        <is>
          <t>Security</t>
        </is>
      </c>
    </row>
    <row r="79" ht="36" customHeight="1">
      <c r="A79" s="46" t="inlineStr">
        <is>
          <t>Intraday Settlement</t>
        </is>
      </c>
      <c r="B79" s="47" t="inlineStr">
        <is>
          <t>TC-ACH-78</t>
        </is>
      </c>
      <c r="C79" s="46" t="inlineStr">
        <is>
          <t>Valid Payment ID and exact amount clears the matching pending aggregate</t>
        </is>
      </c>
      <c r="D79" s="47" t="inlineStr">
        <is>
          <t>Critical</t>
        </is>
      </c>
      <c r="E79" s="46" t="inlineStr">
        <is>
          <t>A pending POS settlement aggregate exists with a valid Payment id and known expected amount. An inbound bank statement credit is available.</t>
        </is>
      </c>
      <c r="F79" s="46" t="inlineStr">
        <is>
          <t>1. Process the inbound statement.
2. Provide the matching Payment id.
3. Verify the credited amount equals the pending aggregate amount.
4. Run the intraday settlement job.</t>
        </is>
      </c>
      <c r="G79" s="46" t="inlineStr">
        <is>
          <t>The correct pending aggregate is identified and cleared. Settlement is completed against the existing aggregate.</t>
        </is>
      </c>
      <c r="H79" s="47" t="inlineStr">
        <is>
          <t>Not Tested</t>
        </is>
      </c>
      <c r="I79" s="47" t="inlineStr">
        <is>
          <t>Functional</t>
        </is>
      </c>
    </row>
    <row r="80" ht="36" customHeight="1">
      <c r="A80" s="46" t="inlineStr">
        <is>
          <t>Intraday Settlement</t>
        </is>
      </c>
      <c r="B80" s="47" t="inlineStr">
        <is>
          <t>TC-ACH-79</t>
        </is>
      </c>
      <c r="C80" s="46" t="inlineStr">
        <is>
          <t>Intraday credit does not create a new CASH IN</t>
        </is>
      </c>
      <c r="D80" s="47" t="inlineStr">
        <is>
          <t>Critical</t>
        </is>
      </c>
      <c r="E80" s="46" t="inlineStr">
        <is>
          <t>A pending POS aggregate exists and its corresponding bank credit is available.</t>
        </is>
      </c>
      <c r="F80" s="46" t="inlineStr">
        <is>
          <t>1. Record the ledger state before processing.
2. Process the inbound statement through the intraday job.
3. Review the ledger after processing.</t>
        </is>
      </c>
      <c r="G80" s="46" t="inlineStr">
        <is>
          <t>The existing pending aggregate is cleared. No additional/new CASH IN transaction is created for the same settlement.</t>
        </is>
      </c>
      <c r="H80" s="47" t="inlineStr">
        <is>
          <t>Not Tested</t>
        </is>
      </c>
      <c r="I80" s="47" t="inlineStr">
        <is>
          <t>Functional</t>
        </is>
      </c>
    </row>
    <row r="81" ht="36" customHeight="1">
      <c r="A81" s="46" t="inlineStr">
        <is>
          <t>Intraday Settlement</t>
        </is>
      </c>
      <c r="B81" s="47" t="inlineStr">
        <is>
          <t>TC-ACH-80</t>
        </is>
      </c>
      <c r="C81" s="46" t="inlineStr">
        <is>
          <t>Successful aggregate settlement settles all member POS transactions</t>
        </is>
      </c>
      <c r="D81" s="47" t="inlineStr">
        <is>
          <t>Critical</t>
        </is>
      </c>
      <c r="E81" s="46" t="inlineStr">
        <is>
          <t>A settlement aggregate contains multiple POS member transactions. Matching bank credit is available.</t>
        </is>
      </c>
      <c r="F81" s="46" t="inlineStr">
        <is>
          <t>1. Process the matching bank credit.
2. Run intraday settlement.
3. Review the aggregate and all member transactions.</t>
        </is>
      </c>
      <c r="G81" s="46" t="inlineStr">
        <is>
          <t>The aggregate is settled and all eligible member POS transactions are moved to the appropriate settled state.</t>
        </is>
      </c>
      <c r="H81" s="47" t="inlineStr">
        <is>
          <t>Not Tested</t>
        </is>
      </c>
      <c r="I81" s="47" t="inlineStr">
        <is>
          <t>Functional</t>
        </is>
      </c>
    </row>
    <row r="82" ht="36" customHeight="1">
      <c r="A82" s="46" t="inlineStr">
        <is>
          <t>Amount Validation</t>
        </is>
      </c>
      <c r="B82" s="47" t="inlineStr">
        <is>
          <t>TC-ACH-81</t>
        </is>
      </c>
      <c r="C82" s="46" t="inlineStr">
        <is>
          <t>Amount mismatch does not clear the pending aggregate</t>
        </is>
      </c>
      <c r="D82" s="47" t="inlineStr">
        <is>
          <t>Critical</t>
        </is>
      </c>
      <c r="E82" s="46" t="inlineStr">
        <is>
          <t>A pending aggregate exists with a known expected amount. Bank statement contains the same Payment id but a different amount.</t>
        </is>
      </c>
      <c r="F82" s="46" t="inlineStr">
        <is>
          <t>1. Process the inbound statement.
2. Run the intraday settlement job.
3. Check the aggregate and reconciliation/discrepancy records.</t>
        </is>
      </c>
      <c r="G82" s="46" t="inlineStr">
        <is>
          <t>The aggregate is not cleared. The mismatch is recorded/parked according to the reconciliation process. No settlement is performed.</t>
        </is>
      </c>
      <c r="H82" s="47" t="inlineStr">
        <is>
          <t>The current implementation does not check on the mismatch</t>
        </is>
      </c>
      <c r="I82" s="47" t="inlineStr">
        <is>
          <t>Negative</t>
        </is>
      </c>
    </row>
    <row r="83" ht="36" customHeight="1">
      <c r="A83" s="46" t="inlineStr">
        <is>
          <t>Reference Validation</t>
        </is>
      </c>
      <c r="B83" s="47" t="inlineStr">
        <is>
          <t>TC-ACH-82</t>
        </is>
      </c>
      <c r="C83" s="46" t="inlineStr">
        <is>
          <t>Unknown or missing Payment ID is parked without fallback matching</t>
        </is>
      </c>
      <c r="D83" s="47" t="inlineStr">
        <is>
          <t>Critical</t>
        </is>
      </c>
      <c r="E83" s="46" t="inlineStr">
        <is>
          <t>A pending aggregate exists. The inbound statement has either a missing or unknown Payment id.</t>
        </is>
      </c>
      <c r="F83" s="46" t="inlineStr">
        <is>
          <t>1. Process the inbound statement.
2. Run the intraday settlement job.
3. Verify whether the system attempts amount/date-based fallback matching.</t>
        </is>
      </c>
      <c r="G83" s="46" t="inlineStr">
        <is>
          <t>The credit is parked/unmatched. No aggregate is cleared and no settlement occurs. The system does not use amount/date as a fallback to identify the batch.</t>
        </is>
      </c>
      <c r="H83" s="47" t="inlineStr">
        <is>
          <t>Not Tested</t>
        </is>
      </c>
      <c r="I83" s="47" t="inlineStr">
        <is>
          <t>Negative</t>
        </is>
      </c>
    </row>
    <row r="84" ht="36" customHeight="1">
      <c r="A84" s="46" t="inlineStr">
        <is>
          <t>Idempotency</t>
        </is>
      </c>
      <c r="B84" s="47" t="inlineStr">
        <is>
          <t>TC-ACH-83</t>
        </is>
      </c>
      <c r="C84" s="46" t="inlineStr">
        <is>
          <t>Duplicate processing of the same Payment ID does not cause duplicate settlement</t>
        </is>
      </c>
      <c r="D84" s="47" t="inlineStr">
        <is>
          <t>Critical</t>
        </is>
      </c>
      <c r="E84" s="46" t="inlineStr">
        <is>
          <t>A settlement has already been successfully processed for a specific Payment id. The same statement/credit is available for reprocessing.</t>
        </is>
      </c>
      <c r="F84" s="46" t="inlineStr">
        <is>
          <t>1. Process the original credit successfully.
2. Re-run/re-submit the same credit with the same Payment id.
3. Review ledger and settlement records.</t>
        </is>
      </c>
      <c r="G84" s="46" t="inlineStr">
        <is>
          <t>The second processing does not create another settlement, duplicate credit, or duplicate member settlement.</t>
        </is>
      </c>
      <c r="H84" s="47" t="inlineStr">
        <is>
          <t>Not Tested</t>
        </is>
      </c>
      <c r="I84" s="47" t="inlineStr">
        <is>
          <t>Integration</t>
        </is>
      </c>
    </row>
    <row r="85" ht="36" customHeight="1">
      <c r="A85" s="46" t="inlineStr">
        <is>
          <t>Settlement Gates</t>
        </is>
      </c>
      <c r="B85" s="47" t="inlineStr">
        <is>
          <t>TC-ACH-84</t>
        </is>
      </c>
      <c r="C85" s="46" t="inlineStr">
        <is>
          <t>Gate 3 is executed only after successful reference and amount matching</t>
        </is>
      </c>
      <c r="D85" s="47" t="inlineStr">
        <is>
          <t>Critical</t>
        </is>
      </c>
      <c r="E85" s="46" t="inlineStr">
        <is>
          <t>A pending aggregate and corresponding inbound credit are available.</t>
        </is>
      </c>
      <c r="F85" s="46" t="inlineStr">
        <is>
          <t>1. Process a credit with an invalid reference.
2. Process a credit with an amount mismatch.
3. Monitor Gate 3 execution.
4. Process a valid reference with an exact amount.</t>
        </is>
      </c>
      <c r="G85" s="46" t="inlineStr">
        <is>
          <t>Gate 3 is not executed for invalid reference or amount mismatch. Gate 3 is executed only after reference and amount validation succeeds.</t>
        </is>
      </c>
      <c r="H85" s="47" t="inlineStr">
        <is>
          <t>Not Tested</t>
        </is>
      </c>
      <c r="I85" s="47" t="inlineStr">
        <is>
          <t>Negative</t>
        </is>
      </c>
    </row>
    <row r="86" ht="36" customHeight="1">
      <c r="A86" s="46" t="inlineStr">
        <is>
          <t>Settlement Gates</t>
        </is>
      </c>
      <c r="B86" s="47" t="inlineStr">
        <is>
          <t>TC-ACH-85</t>
        </is>
      </c>
      <c r="C86" s="46" t="inlineStr">
        <is>
          <t>Gate 3 success clears the pending aggregate and makes funds available</t>
        </is>
      </c>
      <c r="D86" s="47" t="inlineStr">
        <is>
          <t>Critical</t>
        </is>
      </c>
      <c r="E86" s="46" t="inlineStr">
        <is>
          <t>Valid pending aggregate exists. Matching inbound credit passes reference and amount validation. Merchant passes Gate 3 controls.</t>
        </is>
      </c>
      <c r="F86" s="46" t="inlineStr">
        <is>
          <t>1. Process the inbound credit.
2. Run Gate 3.
3. Check aggregate status and merchant available balance.</t>
        </is>
      </c>
      <c r="G86" s="46" t="inlineStr">
        <is>
          <t>Gate 3 succeeds. The pending aggregate is cleared and the corresponding funds become available according to the settlement rules.</t>
        </is>
      </c>
      <c r="H86" s="47" t="inlineStr">
        <is>
          <t>Not Tested</t>
        </is>
      </c>
      <c r="I86" s="47" t="inlineStr">
        <is>
          <t>Functional</t>
        </is>
      </c>
    </row>
    <row r="87" ht="36" customHeight="1">
      <c r="A87" s="46" t="inlineStr">
        <is>
          <t>Settlement Gates</t>
        </is>
      </c>
      <c r="B87" s="47" t="inlineStr">
        <is>
          <t>TC-ACH-86</t>
        </is>
      </c>
      <c r="C87" s="46" t="inlineStr">
        <is>
          <t>Gate 3 failure moves funds to suspense and does not make them available</t>
        </is>
      </c>
      <c r="D87" s="47" t="inlineStr">
        <is>
          <t>Critical</t>
        </is>
      </c>
      <c r="E87" s="46" t="inlineStr">
        <is>
          <t>Valid aggregate and matching bank credit exist. Merchant fails a Gate 3 control.</t>
        </is>
      </c>
      <c r="F87" s="46" t="inlineStr">
        <is>
          <t>1. Process the inbound credit.
2. Trigger Gate 3 failure.
3. Review ledger, suspense and available balance.</t>
        </is>
      </c>
      <c r="G87" s="46" t="inlineStr">
        <is>
          <t>Funds are moved/recorded in the required suspense state. Funds are not made available to the merchant and the pending settlement is not incorrectly marked successful.</t>
        </is>
      </c>
      <c r="H87" s="47" t="inlineStr">
        <is>
          <t>Not Tested</t>
        </is>
      </c>
      <c r="I87" s="47" t="inlineStr">
        <is>
          <t>Negative</t>
        </is>
      </c>
    </row>
    <row r="88" ht="36" customHeight="1">
      <c r="A88" s="46" t="inlineStr">
        <is>
          <t>Settlement Gates</t>
        </is>
      </c>
      <c r="B88" s="47" t="inlineStr">
        <is>
          <t>TC-ACH-87</t>
        </is>
      </c>
      <c r="C88" s="46" t="inlineStr">
        <is>
          <t>Gate 3 failure does not trigger ACH re-issue</t>
        </is>
      </c>
      <c r="D88" s="47" t="inlineStr">
        <is>
          <t>Critical</t>
        </is>
      </c>
      <c r="E88" s="46" t="inlineStr">
        <is>
          <t>A settlement reaches Gate 3 and fails after the bank credit has been recognised.</t>
        </is>
      </c>
      <c r="F88" s="46" t="inlineStr">
        <is>
          <t>1. Process the inbound credit.
2. Force Gate 3 failure.
3. Review ACH instructions and retry/re-issue records.</t>
        </is>
      </c>
      <c r="G88" s="46" t="inlineStr">
        <is>
          <t>No new ACH instruction or automatic re-issue is generated as a result of the Gate 3 failure.</t>
        </is>
      </c>
      <c r="H88" s="47" t="inlineStr">
        <is>
          <t>Not Tested</t>
        </is>
      </c>
      <c r="I88" s="47" t="inlineStr">
        <is>
          <t>Negative</t>
        </is>
      </c>
    </row>
    <row r="89" ht="36" customHeight="1">
      <c r="A89" s="46" t="inlineStr">
        <is>
          <t>Limits / Controls</t>
        </is>
      </c>
      <c r="B89" s="47" t="inlineStr">
        <is>
          <t>TC-ACH-88</t>
        </is>
      </c>
      <c r="C89" s="46" t="inlineStr">
        <is>
          <t>Balance and turnover limits are checked at Gate 3, not during ACH generation</t>
        </is>
      </c>
      <c r="D89" s="47" t="inlineStr">
        <is>
          <t>Critical</t>
        </is>
      </c>
      <c r="E89" s="46" t="inlineStr">
        <is>
          <t>A settlement batch is ready for ACH generation. Merchant has a condition that would cause a balance/turnover limit failure at Gate 3.</t>
        </is>
      </c>
      <c r="F89" s="46" t="inlineStr">
        <is>
          <t>1. Generate the ACH run.
2. Verify balance/turnover controls are not applied as a Gate 2/ACH-generation decision.
3. Process the inbound credit.
4. Execute Gate 3.</t>
        </is>
      </c>
      <c r="G89" s="46" t="inlineStr">
        <is>
          <t>ACH generation is not rejected solely because of the Gate 3 balance/turnover limits. The relevant limits are evaluated when the inbound credit is recognised at Gate 3.</t>
        </is>
      </c>
      <c r="H89" s="47" t="inlineStr">
        <is>
          <t>Not Tested</t>
        </is>
      </c>
      <c r="I89" s="47" t="inlineStr">
        <is>
          <t>Negative</t>
        </is>
      </c>
    </row>
    <row r="90" ht="36" customHeight="1">
      <c r="A90" s="46" t="inlineStr">
        <is>
          <t>Reversal / Failure Handling</t>
        </is>
      </c>
      <c r="B90" s="47" t="inlineStr">
        <is>
          <t>TC-ACH-89</t>
        </is>
      </c>
      <c r="C90" s="46" t="inlineStr">
        <is>
          <t>Failed or returned transfer creates a compensating reversal without modifying the original entry</t>
        </is>
      </c>
      <c r="D90" s="47" t="inlineStr">
        <is>
          <t>Critical</t>
        </is>
      </c>
      <c r="E90" s="46" t="inlineStr">
        <is>
          <t>A settlement/transfer has been recorded and subsequently receives a return/failure notification.</t>
        </is>
      </c>
      <c r="F90" s="46" t="inlineStr">
        <is>
          <t>1. Process the original settlement.
2. Process the bank return/failure.
3. Review the original ledger entry and reversal entry.</t>
        </is>
      </c>
      <c r="G90" s="46" t="inlineStr">
        <is>
          <t>A compensating reversal is created. The original settlement entry remains unchanged and traceable. No deletion or modification of the original ledger transaction occurs.</t>
        </is>
      </c>
      <c r="H90" s="47" t="inlineStr">
        <is>
          <t>Not Tested</t>
        </is>
      </c>
      <c r="I90" s="47" t="inlineStr">
        <is>
          <t>Integration</t>
        </is>
      </c>
    </row>
    <row r="91" ht="36" customHeight="1">
      <c r="A91" s="46" t="inlineStr">
        <is>
          <t>Reference Integrity</t>
        </is>
      </c>
      <c r="B91" s="47" t="inlineStr">
        <is>
          <t>TC-ACH-90</t>
        </is>
      </c>
      <c r="C91" s="46" t="inlineStr">
        <is>
          <t>Payment ID remains unchanged from ACH instruction through inbound settlement</t>
        </is>
      </c>
      <c r="D91" s="47" t="inlineStr">
        <is>
          <t>Critical</t>
        </is>
      </c>
      <c r="E91" s="46" t="inlineStr">
        <is>
          <t>An ACH instruction is generated with a unique Payment id. Corresponding bank statement credit is available.</t>
        </is>
      </c>
      <c r="F91" s="46" t="inlineStr">
        <is>
          <t>1. Generate the ACH instruction.
2. Capture the Payment id.
3. Process the bank statement credit.
4. Compare the reference across ACH, statement and settlement records.</t>
        </is>
      </c>
      <c r="G91" s="46" t="inlineStr">
        <is>
          <t>The exact same Payment id is preserved end-to-end and is used to identify the correct settlement aggregate.</t>
        </is>
      </c>
      <c r="H91" s="47" t="inlineStr">
        <is>
          <t>Not Tested</t>
        </is>
      </c>
      <c r="I91" s="47" t="inlineStr">
        <is>
          <t>Negative</t>
        </is>
      </c>
    </row>
    <row r="92" ht="36" customHeight="1">
      <c r="A92" s="46" t="inlineStr">
        <is>
          <t>Concurrency / Idempotency</t>
        </is>
      </c>
      <c r="B92" s="47" t="inlineStr">
        <is>
          <t>TC-ACH-91</t>
        </is>
      </c>
      <c r="C92" s="46" t="inlineStr">
        <is>
          <t>Concurrent processing of the same Payment ID results in only one successful settlement</t>
        </is>
      </c>
      <c r="D92" s="47" t="inlineStr">
        <is>
          <t>Critical</t>
        </is>
      </c>
      <c r="E92" s="46" t="inlineStr">
        <is>
          <t>A valid pending aggregate and matching inbound credit exist. Two intraday processes can process the same Payment id concurrently.</t>
        </is>
      </c>
      <c r="F92" s="46" t="inlineStr">
        <is>
          <t>1. Trigger two concurrent processing requests/jobs for the same Payment id.
2. Allow both processes to complete.
3. Review settlement and ledger records.</t>
        </is>
      </c>
      <c r="G92" s="46" t="inlineStr">
        <is>
          <t>Exactly one process successfully clears/settles the aggregate. No duplicate settlement, duplicate credit, or inconsistent final state is created.</t>
        </is>
      </c>
      <c r="H92" s="47" t="inlineStr">
        <is>
          <t>Not Tested</t>
        </is>
      </c>
      <c r="I92" s="47" t="inlineStr">
        <is>
          <t>Integration</t>
        </is>
      </c>
    </row>
    <row r="93" ht="36" customHeight="1">
      <c r="A93" s="46" t="inlineStr">
        <is>
          <t>ACH Generation</t>
        </is>
      </c>
      <c r="B93" s="47" t="inlineStr">
        <is>
          <t>TC-ACH-92</t>
        </is>
      </c>
      <c r="C93" s="46" t="inlineStr">
        <is>
          <t>ACH generation is idempotent and does not create duplicate ACH instructions</t>
        </is>
      </c>
      <c r="D93" s="47" t="inlineStr">
        <is>
          <t>Critical</t>
        </is>
      </c>
      <c r="E93" s="46" t="inlineStr">
        <is>
          <t>A valid settlement batch is eligible for ACH generation.</t>
        </is>
      </c>
      <c r="F93" s="46" t="inlineStr">
        <is>
          <t>1. Generate the ACH instruction.
2. Re-run the ACH generation process for the same batch.
3. Review generated ACH instructions.</t>
        </is>
      </c>
      <c r="G93" s="46" t="inlineStr">
        <is>
          <t>Only one ACH instruction exists for the settlement batch. Reprocessing does not create a duplicate instruction.</t>
        </is>
      </c>
      <c r="H93" s="47" t="inlineStr">
        <is>
          <t>Not Tested</t>
        </is>
      </c>
      <c r="I93" s="47" t="inlineStr">
        <is>
          <t>Integration</t>
        </is>
      </c>
    </row>
    <row r="94" ht="36" customHeight="1">
      <c r="A94" s="46" t="inlineStr">
        <is>
          <t>Merchant Balance</t>
        </is>
      </c>
      <c r="B94" s="47" t="inlineStr">
        <is>
          <t>TC-ACH-93</t>
        </is>
      </c>
      <c r="C94" s="46" t="inlineStr">
        <is>
          <t>ACH release does not make merchant funds available before successful bank settlement</t>
        </is>
      </c>
      <c r="D94" s="47" t="inlineStr">
        <is>
          <t>Critical</t>
        </is>
      </c>
      <c r="E94" s="46" t="inlineStr">
        <is>
          <t>An eligible settlement batch is released through ACH but the corresponding bank settlement has not yet been received.</t>
        </is>
      </c>
      <c r="F94" s="46" t="inlineStr">
        <is>
          <t>1. Generate and release the ACH instruction.
2. Check merchant available balance before bank settlement.
3. Process the bank settlement.
4. Check balance again.</t>
        </is>
      </c>
      <c r="G94" s="46" t="inlineStr">
        <is>
          <t>Merchant funds do not become available merely because the ACH instruction was generated/released. Availability changes only after the required successful settlement flow.</t>
        </is>
      </c>
      <c r="H94" s="47" t="inlineStr">
        <is>
          <t>Not Tested</t>
        </is>
      </c>
      <c r="I94" s="47" t="inlineStr">
        <is>
          <t>Functional</t>
        </is>
      </c>
    </row>
    <row r="95" ht="36" customHeight="1">
      <c r="A95" s="46" t="inlineStr">
        <is>
          <t>Gate 2 / Eligibility</t>
        </is>
      </c>
      <c r="B95" s="47" t="inlineStr">
        <is>
          <t>TC-ACH-94</t>
        </is>
      </c>
      <c r="C95" s="46" t="inlineStr">
        <is>
          <t>Gate 2 failure prevents ACH release and keeps funds in the required held/omnibus state</t>
        </is>
      </c>
      <c r="D95" s="47" t="inlineStr">
        <is>
          <t>Critical</t>
        </is>
      </c>
      <c r="E95" s="46" t="inlineStr">
        <is>
          <t>A settlement batch exists but the merchant fails a Gate 2 eligibility/compliance check.</t>
        </is>
      </c>
      <c r="F95" s="46" t="inlineStr">
        <is>
          <t>1. Run Gate 2 validation.
2. Attempt to generate/release ACH.
3. Check settlement and omnibus/held balances.</t>
        </is>
      </c>
      <c r="G95" s="46" t="inlineStr">
        <is>
          <t>ACH release is prevented. Funds remain in the required held/omnibus state. No ACH payment is sent for the failed batch.</t>
        </is>
      </c>
      <c r="H95" s="47" t="inlineStr">
        <is>
          <t>Not Tested</t>
        </is>
      </c>
      <c r="I95" s="47" t="inlineStr">
        <is>
          <t>Negative</t>
        </is>
      </c>
    </row>
    <row r="96" ht="36" customHeight="1">
      <c r="A96" s="46" t="inlineStr">
        <is>
          <t>ACH Cut-off</t>
        </is>
      </c>
      <c r="B96" s="47" t="inlineStr">
        <is>
          <t>TC-ACH-95</t>
        </is>
      </c>
      <c r="C96" s="46" t="inlineStr">
        <is>
          <t>ACH cut-off is enforced and items beyond the cut-off are held for the next processing window</t>
        </is>
      </c>
      <c r="D96" s="47" t="inlineStr">
        <is>
          <t>High</t>
        </is>
      </c>
      <c r="E96" s="46" t="inlineStr">
        <is>
          <t>ACH cut-off time is configured. A settlement batch becomes eligible after the configured cut-off.</t>
        </is>
      </c>
      <c r="F96" s="46" t="inlineStr">
        <is>
          <t>1. Create/prepare a settlement after the cut-off time.
2. Run ACH generation/release.
3. Review the batch status and ACH instruction.
4. Run the next processing window.</t>
        </is>
      </c>
      <c r="G96" s="46" t="inlineStr">
        <is>
          <t>The item is not released in the closed processing window. It remains pending/held and becomes eligible for the next permitted processing window.</t>
        </is>
      </c>
      <c r="H96" s="47" t="inlineStr">
        <is>
          <t>Not Tested</t>
        </is>
      </c>
      <c r="I96" s="47" t="inlineStr">
        <is>
          <t>Functional</t>
        </is>
      </c>
    </row>
  </sheetData>
  <autoFilter ref="A1:I96"/>
  <conditionalFormatting sqref="H2:H96">
    <cfRule type="cellIs" priority="7" operator="equal" dxfId="54">
      <formula>"Passed"</formula>
    </cfRule>
    <cfRule type="cellIs" priority="8" operator="equal" dxfId="55">
      <formula>"Failed"</formula>
    </cfRule>
    <cfRule type="cellIs" priority="9" operator="equal" dxfId="56">
      <formula>"Partially Passed"</formula>
    </cfRule>
    <cfRule type="cellIs" priority="10" operator="equal" dxfId="57">
      <formula>"Not Tested"</formula>
    </cfRule>
    <cfRule type="cellIs" priority="11" operator="equal" dxfId="58">
      <formula>"Not Implemented"</formula>
    </cfRule>
    <cfRule type="cellIs" priority="12" operator="equal" dxfId="59">
      <formula>"NA"</formula>
    </cfRule>
  </conditionalFormatting>
  <dataValidations count="2">
    <dataValidation sqref="H2:H52" showDropDown="0" showInputMessage="0" showErrorMessage="0" allowBlank="1" errorTitle="Invalid Status" error="Your entry is not in the allowed list of statuses" promptTitle="Test Status" prompt="Select execution status" type="list">
      <formula1>"Passed,Failed,Partially Passed,Not Tested,Not Implemented,NA"</formula1>
    </dataValidation>
    <dataValidation sqref="H2:H96" showDropDown="0" showInputMessage="0" showErrorMessage="0" allowBlank="1" type="list">
      <formula1>"Passed,Failed,Partially Passed,Not Tested,Not Implemented,NA"</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9"/>
  <sheetViews>
    <sheetView showGridLines="1" workbookViewId="0">
      <pane ySplit="1" topLeftCell="A2" activePane="bottomLeft" state="frozen"/>
      <selection pane="bottomLeft" activeCell="B2" sqref="B2:B19"/>
    </sheetView>
  </sheetViews>
  <sheetFormatPr baseColWidth="8" defaultRowHeight="14.4"/>
  <cols>
    <col width="20" customWidth="1" min="1" max="1"/>
    <col width="18" customWidth="1" min="2" max="2"/>
    <col width="36" customWidth="1" min="3" max="3"/>
    <col width="14" customWidth="1" min="4" max="4"/>
    <col width="38" customWidth="1" min="5" max="5"/>
    <col width="45" customWidth="1" min="6" max="7"/>
    <col width="45" customWidth="1" min="7" max="7"/>
    <col width="18" customWidth="1" min="8" max="8"/>
    <col width="20" customWidth="1" min="9" max="9"/>
  </cols>
  <sheetData>
    <row r="1" ht="28.05" customHeight="1" thickBot="1">
      <c r="A1" s="34" t="inlineStr">
        <is>
          <t>Subtopic / Category</t>
        </is>
      </c>
      <c r="B1" s="34" t="inlineStr">
        <is>
          <t>TC ID</t>
        </is>
      </c>
      <c r="C1" s="34" t="inlineStr">
        <is>
          <t>Title</t>
        </is>
      </c>
      <c r="D1" s="34" t="inlineStr">
        <is>
          <t>Priority</t>
        </is>
      </c>
      <c r="E1" s="34" t="inlineStr">
        <is>
          <t>Preconditions</t>
        </is>
      </c>
      <c r="F1" s="34" t="inlineStr">
        <is>
          <t>Steps</t>
        </is>
      </c>
      <c r="G1" s="34" t="inlineStr">
        <is>
          <t>Expected Result</t>
        </is>
      </c>
      <c r="H1" s="34" t="inlineStr">
        <is>
          <t>Status</t>
        </is>
      </c>
      <c r="I1" s="34" t="inlineStr">
        <is>
          <t>Test Type</t>
        </is>
      </c>
    </row>
    <row r="2" ht="36" customHeight="1">
      <c r="A2" s="46" t="inlineStr">
        <is>
          <t>Compliance</t>
        </is>
      </c>
      <c r="B2" s="47" t="inlineStr">
        <is>
          <t>TC-Compliance-01</t>
        </is>
      </c>
      <c r="C2" s="46" t="inlineStr">
        <is>
          <t>Gate 1 Hold on AML-Reviewed Wallet</t>
        </is>
      </c>
      <c r="D2" s="47" t="inlineStr">
        <is>
          <t>High</t>
        </is>
      </c>
      <c r="E2" s="46" t="inlineStr">
        <is>
          <t>Wallet is flagged under AML review at the moment a PoS callback arrives</t>
        </is>
      </c>
      <c r="F2" s="46" t="inlineStr">
        <is>
          <t>1. Submit a valid PoS callback for the flagged wallet
2. Run Gate 1 at booking
3. Inspect ledger and case management</t>
        </is>
      </c>
      <c r="G2" s="46" t="inlineStr">
        <is>
          <t>Transaction is COMPLIANCE_HOLD with the failing check code recorded; zero wallet entries (not even Pending); device-journal HOLD entry written; a compliance case is opened.</t>
        </is>
      </c>
      <c r="H2" s="47" t="inlineStr">
        <is>
          <t>NA</t>
        </is>
      </c>
      <c r="I2" s="47" t="inlineStr">
        <is>
          <t>Edge / Boundary</t>
        </is>
      </c>
    </row>
    <row r="3" ht="36" customHeight="1">
      <c r="A3" s="46" t="inlineStr">
        <is>
          <t>Compliance</t>
        </is>
      </c>
      <c r="B3" s="47" t="inlineStr">
        <is>
          <t>TC-Compliance-02</t>
        </is>
      </c>
      <c r="C3" s="46" t="inlineStr">
        <is>
          <t>Cleared Case Re-Enters Next Batch via Gate 2</t>
        </is>
      </c>
      <c r="D3" s="47" t="inlineStr">
        <is>
          <t>High</t>
        </is>
      </c>
      <c r="E3" s="46" t="inlineStr">
        <is>
          <t>A previously held transaction's compliance case has been cleared by Compliance/MLRO</t>
        </is>
      </c>
      <c r="F3" s="46" t="inlineStr">
        <is>
          <t>1. Clear the case
2. Allow the transaction to reach the next batch build
3. Observe Gate 2 evaluation and settlement</t>
        </is>
      </c>
      <c r="G3" s="46" t="inlineStr">
        <is>
          <t>The transaction re-enters the next batch via Gate 2 and settles normally if it passes.</t>
        </is>
      </c>
      <c r="H3" s="47" t="inlineStr">
        <is>
          <t>NA</t>
        </is>
      </c>
      <c r="I3" s="47" t="inlineStr">
        <is>
          <t>Compliance</t>
        </is>
      </c>
    </row>
    <row r="4" ht="36" customHeight="1">
      <c r="A4" s="46" t="inlineStr">
        <is>
          <t>Compliance</t>
        </is>
      </c>
      <c r="B4" s="47" t="inlineStr">
        <is>
          <t>TC-Compliance-03</t>
        </is>
      </c>
      <c r="C4" s="46" t="inlineStr">
        <is>
          <t>Gate 2 Excludes Item Blocked Between Booking and Batch Build</t>
        </is>
      </c>
      <c r="D4" s="47" t="inlineStr">
        <is>
          <t>High</t>
        </is>
      </c>
      <c r="E4" s="46" t="inlineStr">
        <is>
          <t>Wallet is eligible at booking (Gate 1 pass) but becomes blocked before batch build</t>
        </is>
      </c>
      <c r="F4" s="46" t="inlineStr">
        <is>
          <t>1. Book the transaction (Gate 1 pass)
2. Block the wallet
3. Run Gate 2 at batch build</t>
        </is>
      </c>
      <c r="G4" s="46" t="inlineStr">
        <is>
          <t>Gate 2 excludes the item from the ACH batch; funds stay in the PoS omnibus; case raised.</t>
        </is>
      </c>
      <c r="H4" s="47" t="inlineStr">
        <is>
          <t>NA</t>
        </is>
      </c>
      <c r="I4" s="47" t="inlineStr">
        <is>
          <t>Compliance</t>
        </is>
      </c>
    </row>
    <row r="5" ht="36" customHeight="1">
      <c r="A5" s="46" t="inlineStr">
        <is>
          <t>Compliance</t>
        </is>
      </c>
      <c r="B5" s="47" t="inlineStr">
        <is>
          <t>TC-Compliance-04</t>
        </is>
      </c>
      <c r="C5" s="46" t="inlineStr">
        <is>
          <t>Gate 3 — Credit Would Breach SAMA Balance Cap</t>
        </is>
      </c>
      <c r="D5" s="47" t="inlineStr">
        <is>
          <t>Critical</t>
        </is>
      </c>
      <c r="E5" s="46" t="inlineStr">
        <is>
          <t>Crediting this amount at this instant would breach the wallet's SAMA balance cap</t>
        </is>
      </c>
      <c r="F5" s="46" t="inlineStr">
        <is>
          <t>1. Run Gate 3 immediately before Pending → Available
2. Attempt the credit</t>
        </is>
      </c>
      <c r="G5" s="46" t="inlineStr">
        <is>
          <t>Gate 3 → HOLD + ledger suspense position; no partial credit; merchant is notified with neutral, tier/cash-out wording only (no tipping-off).</t>
        </is>
      </c>
      <c r="H5" s="47" t="inlineStr">
        <is>
          <t>NA</t>
        </is>
      </c>
      <c r="I5" s="47" t="inlineStr">
        <is>
          <t>Security</t>
        </is>
      </c>
    </row>
    <row r="6" ht="36" customHeight="1">
      <c r="A6" s="46" t="inlineStr">
        <is>
          <t>Compliance</t>
        </is>
      </c>
      <c r="B6" s="47" t="inlineStr">
        <is>
          <t>TC-Compliance-05</t>
        </is>
      </c>
      <c r="C6" s="46" t="inlineStr">
        <is>
          <t>Sanctions List Update Between Recon and Release</t>
        </is>
      </c>
      <c r="D6" s="47" t="inlineStr">
        <is>
          <t>Critical</t>
        </is>
      </c>
      <c r="E6" s="46" t="inlineStr">
        <is>
          <t>A sanctions list update lands after EMI-5920 matching but before EMI-5922 release</t>
        </is>
      </c>
      <c r="F6" s="46" t="inlineStr">
        <is>
          <t>1. Match and fund the aggregate
2. Update the sanctions list with a hit against the merchant
3. Run the pre-release re-screen</t>
        </is>
      </c>
      <c r="G6" s="46" t="inlineStr">
        <is>
          <t>The re-screen catches the new hit and the item is excluded before release.</t>
        </is>
      </c>
      <c r="H6" s="47" t="inlineStr">
        <is>
          <t>NA</t>
        </is>
      </c>
      <c r="I6" s="47" t="inlineStr">
        <is>
          <t>Compliance</t>
        </is>
      </c>
    </row>
    <row r="7" ht="36" customHeight="1">
      <c r="A7" s="46" t="inlineStr">
        <is>
          <t>UX</t>
        </is>
      </c>
      <c r="B7" s="47" t="inlineStr">
        <is>
          <t>TC-Compliance-06</t>
        </is>
      </c>
      <c r="C7" s="46" t="inlineStr">
        <is>
          <t>Neutral State Across All Merchant-Facing Surfaces During Hold</t>
        </is>
      </c>
      <c r="D7" s="47" t="inlineStr">
        <is>
          <t>High</t>
        </is>
      </c>
      <c r="E7" s="46" t="inlineStr">
        <is>
          <t>A transaction/group is currently COMPLIANCE_HOLD or in suspense</t>
        </is>
      </c>
      <c r="F7" s="46" t="inlineStr">
        <is>
          <t>1. Inspect the merchant app, portal, notifications, statements and support views for the held item
2. Compare wording/state across every surface</t>
        </is>
      </c>
      <c r="G7" s="46" t="inlineStr">
        <is>
          <t>Every merchant-facing surface shows a neutral 'processing' state only; no review indicator, hold label, or compliance signal leaks anywhere in the payload.</t>
        </is>
      </c>
      <c r="H7" s="47" t="inlineStr">
        <is>
          <t>NA</t>
        </is>
      </c>
      <c r="I7" s="47" t="inlineStr">
        <is>
          <t>Security</t>
        </is>
      </c>
    </row>
    <row r="8" ht="36" customHeight="1">
      <c r="A8" s="46" t="inlineStr">
        <is>
          <t>Reporting</t>
        </is>
      </c>
      <c r="B8" s="47" t="inlineStr">
        <is>
          <t>TC-Compliance-07</t>
        </is>
      </c>
      <c r="C8" s="46" t="inlineStr">
        <is>
          <t>Held-Funds Daily Report Reconciles Exactly</t>
        </is>
      </c>
      <c r="D8" s="47" t="inlineStr">
        <is>
          <t>High</t>
        </is>
      </c>
      <c r="E8" s="46" t="inlineStr">
        <is>
          <t>A day's activity includes credited, held (Gate 1 and Gate 3) and in-transit amounts</t>
        </is>
      </c>
      <c r="F8" s="46" t="inlineStr">
        <is>
          <t>1. Generate the daily held-funds report
2. Compare gross received against credited + held + in-transit, to the halalah</t>
        </is>
      </c>
      <c r="G8" s="46" t="inlineStr">
        <is>
          <t>Gross received = credited + held + in-transit exactly; this is the safeguarding evidence figure.</t>
        </is>
      </c>
      <c r="H8" s="47" t="inlineStr">
        <is>
          <t>NA</t>
        </is>
      </c>
      <c r="I8" s="47" t="inlineStr">
        <is>
          <t>Edge / Boundary</t>
        </is>
      </c>
    </row>
    <row r="9" ht="36" customHeight="1">
      <c r="A9" s="46" t="inlineStr">
        <is>
          <t>Compliance</t>
        </is>
      </c>
      <c r="B9" s="47" t="inlineStr">
        <is>
          <t>TC-Compliance-08</t>
        </is>
      </c>
      <c r="C9" s="46" t="inlineStr">
        <is>
          <t>Hold Aging Past SLA Escalates to MLRO</t>
        </is>
      </c>
      <c r="D9" s="47" t="inlineStr">
        <is>
          <t>Medium</t>
        </is>
      </c>
      <c r="E9" s="46" t="inlineStr">
        <is>
          <t>A held case has been open beyond the proposed 5-business-day SLA without a decision</t>
        </is>
      </c>
      <c r="F9" s="46" t="inlineStr">
        <is>
          <t>1. Let a held case age past the SLA
2. Observe the aging job</t>
        </is>
      </c>
      <c r="G9" s="46" t="inlineStr">
        <is>
          <t>RF-10 escalation is raised to the MLRO once the SLA is breached.</t>
        </is>
      </c>
      <c r="H9" s="47" t="inlineStr">
        <is>
          <t>NA</t>
        </is>
      </c>
      <c r="I9" s="47" t="inlineStr">
        <is>
          <t>Compliance</t>
        </is>
      </c>
    </row>
    <row r="10" ht="36" customHeight="1">
      <c r="A10" s="46" t="inlineStr">
        <is>
          <t>Functional</t>
        </is>
      </c>
      <c r="B10" s="47" t="inlineStr">
        <is>
          <t>TC-Compliance-09</t>
        </is>
      </c>
      <c r="C10" s="46" t="inlineStr">
        <is>
          <t>Gate 1 Fail Writes Zero Wallet Entries, Not Even Pending</t>
        </is>
      </c>
      <c r="D10" s="47" t="inlineStr">
        <is>
          <t>High</t>
        </is>
      </c>
      <c r="E10" s="46" t="inlineStr">
        <is>
          <t>Wallet fails a Gate 1 check (status/AML/sanctions/SAMA/fraud)</t>
        </is>
      </c>
      <c r="F10" s="46" t="inlineStr">
        <is>
          <t>1. Trigger a Gate 1 fail on booking
2. Query all wallet ledger tables for the transaction</t>
        </is>
      </c>
      <c r="G10" s="46" t="inlineStr">
        <is>
          <t>No wallet entries exist at all for the transaction — not Pending, not any other bucket — confirming the AC's stricter-than-usual 'no wallet entries at all (not even Pending)' requirement.</t>
        </is>
      </c>
      <c r="H10" s="47" t="inlineStr">
        <is>
          <t>NA</t>
        </is>
      </c>
      <c r="I10" s="47" t="inlineStr">
        <is>
          <t>Edge / Boundary</t>
        </is>
      </c>
    </row>
    <row r="11" ht="36" customHeight="1">
      <c r="A11" s="46" t="inlineStr">
        <is>
          <t>Reliability</t>
        </is>
      </c>
      <c r="B11" s="47" t="inlineStr">
        <is>
          <t>TC-Compliance-10</t>
        </is>
      </c>
      <c r="C11" s="46" t="inlineStr">
        <is>
          <t>Gate 1 Check-Service Timeout Fails Safe to HOLD</t>
        </is>
      </c>
      <c r="D11" s="47" t="inlineStr">
        <is>
          <t>High</t>
        </is>
      </c>
      <c r="E11" s="46" t="inlineStr">
        <is>
          <t>The Gate 1 check service (wallet status/AML/sanctions/SAMA/fraud) is made unresponsive</t>
        </is>
      </c>
      <c r="F11" s="46" t="inlineStr">
        <is>
          <t>1. Submit a valid callback while the Gate 1 service times out</t>
        </is>
      </c>
      <c r="G11" s="46" t="inlineStr">
        <is>
          <t>Fail-safe to HOLD; the transaction is never fail-open to booking.</t>
        </is>
      </c>
      <c r="H11" s="47" t="inlineStr">
        <is>
          <t>NA</t>
        </is>
      </c>
      <c r="I11" s="47" t="inlineStr">
        <is>
          <t>Negative</t>
        </is>
      </c>
    </row>
    <row r="12" ht="36" customHeight="1">
      <c r="A12" s="46" t="inlineStr">
        <is>
          <t>Reliability</t>
        </is>
      </c>
      <c r="B12" s="47" t="inlineStr">
        <is>
          <t>TC-Compliance-11</t>
        </is>
      </c>
      <c r="C12" s="46" t="inlineStr">
        <is>
          <t>Gate 3 Check-Service Timeout Defers, Retries and Alarms</t>
        </is>
      </c>
      <c r="D12" s="47" t="inlineStr">
        <is>
          <t>High</t>
        </is>
      </c>
      <c r="E12" s="46" t="inlineStr">
        <is>
          <t>The Gate 3 check service (SAMA balance-cap headroom) is made unresponsive at the instant of crediting</t>
        </is>
      </c>
      <c r="F12" s="46" t="inlineStr">
        <is>
          <t>1. Attempt a credit while the Gate 3 service times out</t>
        </is>
      </c>
      <c r="G12" s="46" t="inlineStr">
        <is>
          <t>Credit is deferred and retried (not immediately failed to HOLD as Gate 1 is); the timeout is alarmed for Ops visibility.</t>
        </is>
      </c>
      <c r="H12" s="47" t="inlineStr">
        <is>
          <t>NA</t>
        </is>
      </c>
      <c r="I12" s="47" t="inlineStr">
        <is>
          <t>Functional</t>
        </is>
      </c>
    </row>
    <row r="13" ht="36" customHeight="1">
      <c r="A13" s="46" t="inlineStr">
        <is>
          <t>Functional</t>
        </is>
      </c>
      <c r="B13" s="47" t="inlineStr">
        <is>
          <t>TC-Compliance-12</t>
        </is>
      </c>
      <c r="C13" s="46" t="inlineStr">
        <is>
          <t>Wallet Payment Pre-Authorization Synchronous Check (EMI-5917)</t>
        </is>
      </c>
      <c r="D13" s="47" t="inlineStr">
        <is>
          <t>High</t>
        </is>
      </c>
      <c r="E13" s="46" t="inlineStr">
        <is>
          <t>A wallet-to-wallet payment (not PoS) is initiated and would fail a compliance check</t>
        </is>
      </c>
      <c r="F13" s="46" t="inlineStr">
        <is>
          <t>1. Initiate a wallet payment that should fail a check in the full C01-C11 set
2. Observe the pre-authorization path</t>
        </is>
      </c>
      <c r="G13" s="46" t="inlineStr">
        <is>
          <t>The full check set runs synchronously in the pre-authorization path; a failing check produces a terminal decline and nothing moves — distinct from the async PoS hold/suspense model.</t>
        </is>
      </c>
      <c r="H13" s="47" t="inlineStr">
        <is>
          <t>NA</t>
        </is>
      </c>
      <c r="I13" s="47" t="inlineStr">
        <is>
          <t>Functional</t>
        </is>
      </c>
    </row>
    <row r="14" ht="36" customHeight="1">
      <c r="A14" s="46" t="inlineStr">
        <is>
          <t>Idempotency</t>
        </is>
      </c>
      <c r="B14" s="47" t="inlineStr">
        <is>
          <t>TC-Compliance-13</t>
        </is>
      </c>
      <c r="C14" s="46" t="inlineStr">
        <is>
          <t>Gate 1 Hold Is Idempotent on Retries</t>
        </is>
      </c>
      <c r="D14" s="47" t="inlineStr">
        <is>
          <t>Medium</t>
        </is>
      </c>
      <c r="E14" s="46" t="inlineStr">
        <is>
          <t>A transaction has already been placed COMPLIANCE_HOLD by Gate 1</t>
        </is>
      </c>
      <c r="F14" s="46" t="inlineStr">
        <is>
          <t>1. Resubmit the identical callback that originally triggered the hold
2. Inspect case management and ledger</t>
        </is>
      </c>
      <c r="G14" s="46" t="inlineStr">
        <is>
          <t>The retry is absorbed idempotently — no second case is opened, no duplicate journal entry is written.</t>
        </is>
      </c>
      <c r="H14" s="47" t="inlineStr">
        <is>
          <t>NA</t>
        </is>
      </c>
      <c r="I14" s="47" t="inlineStr">
        <is>
          <t>Integration</t>
        </is>
      </c>
    </row>
    <row r="15" ht="36" customHeight="1">
      <c r="A15" s="46" t="inlineStr">
        <is>
          <t>Compliance</t>
        </is>
      </c>
      <c r="B15" s="47" t="inlineStr">
        <is>
          <t>TC-Compliance-14</t>
        </is>
      </c>
      <c r="C15" s="46" t="inlineStr">
        <is>
          <t>SAR Evidence Pack Exportable on Confirmed Finding</t>
        </is>
      </c>
      <c r="D15" s="47" t="inlineStr">
        <is>
          <t>Medium</t>
        </is>
      </c>
      <c r="E15" s="46" t="inlineStr">
        <is>
          <t>A compliance case reaches a 'confirmed finding' resolution</t>
        </is>
      </c>
      <c r="F15" s="46" t="inlineStr">
        <is>
          <t>1. Resolve a case as a confirmed finding
2. Export the SAR evidence pack</t>
        </is>
      </c>
      <c r="G15" s="46" t="inlineStr">
        <is>
          <t>The pack contains the transaction set, device journals and timelines; export is available for the confirmed-finding path specifically (distinct from the 'cleared' path in TC-EMI-5923-02).</t>
        </is>
      </c>
      <c r="H15" s="47" t="inlineStr">
        <is>
          <t>NA</t>
        </is>
      </c>
      <c r="I15" s="47" t="inlineStr">
        <is>
          <t>Compliance</t>
        </is>
      </c>
    </row>
    <row r="16" ht="36" customHeight="1">
      <c r="A16" s="46" t="inlineStr">
        <is>
          <t>Compliance</t>
        </is>
      </c>
      <c r="B16" s="47" t="inlineStr">
        <is>
          <t>TC-Compliance-15</t>
        </is>
      </c>
      <c r="C16" s="46" t="inlineStr">
        <is>
          <t>Funds Disposition Executes Only on Recorded Instruction</t>
        </is>
      </c>
      <c r="D16" s="47" t="inlineStr">
        <is>
          <t>High</t>
        </is>
      </c>
      <c r="E16" s="46" t="inlineStr">
        <is>
          <t>A confirmed-finding case exists with funds held in suspense</t>
        </is>
      </c>
      <c r="F16" s="46" t="inlineStr">
        <is>
          <t>1. Attempt to move/dispose of the held funds without a recorded Compliance/legal instruction
2. Then repeat with a properly recorded instruction</t>
        </is>
      </c>
      <c r="G16" s="46" t="inlineStr">
        <is>
          <t>Disposition is blocked without a recorded instruction; it proceeds, and is logged with actor + timestamp + check results, once a recorded Compliance/legal instruction exists.</t>
        </is>
      </c>
      <c r="H16" s="47" t="inlineStr">
        <is>
          <t>NA</t>
        </is>
      </c>
      <c r="I16" s="47" t="inlineStr">
        <is>
          <t>Compliance</t>
        </is>
      </c>
    </row>
    <row r="17" ht="36" customHeight="1">
      <c r="A17" s="46" t="inlineStr">
        <is>
          <t>Validation</t>
        </is>
      </c>
      <c r="B17" s="47" t="inlineStr">
        <is>
          <t>TC-Compliance-16</t>
        </is>
      </c>
      <c r="C17" s="46" t="inlineStr">
        <is>
          <t>Unknown Check Code Rejected at Config Time</t>
        </is>
      </c>
      <c r="D17" s="47" t="inlineStr">
        <is>
          <t>Low</t>
        </is>
      </c>
      <c r="E17" s="46" t="inlineStr">
        <is>
          <t>Gate configuration is being updated with a new check code</t>
        </is>
      </c>
      <c r="F17" s="46" t="inlineStr">
        <is>
          <t>1. Attempt to configure a gate with a check code outside the documented C01-C11 register</t>
        </is>
      </c>
      <c r="G17" s="46" t="inlineStr">
        <is>
          <t>The unknown check code is rejected at configuration time, before it can ever run against a live transaction.</t>
        </is>
      </c>
      <c r="H17" s="47" t="inlineStr">
        <is>
          <t>NA</t>
        </is>
      </c>
      <c r="I17" s="47" t="inlineStr">
        <is>
          <t>Negative</t>
        </is>
      </c>
    </row>
    <row r="18" ht="36" customHeight="1">
      <c r="A18" s="46" t="inlineStr">
        <is>
          <t>Audit</t>
        </is>
      </c>
      <c r="B18" s="47" t="inlineStr">
        <is>
          <t>TC-Compliance-17</t>
        </is>
      </c>
      <c r="C18" s="46" t="inlineStr">
        <is>
          <t>Every Gate Decision Logged With Actor, Timestamp and Check Results</t>
        </is>
      </c>
      <c r="D18" s="47" t="inlineStr">
        <is>
          <t>Medium</t>
        </is>
      </c>
      <c r="E18" s="46" t="inlineStr">
        <is>
          <t>Transactions have passed through Gate 1, Gate 2 and Gate 3 with a mix of pass/fail outcomes</t>
        </is>
      </c>
      <c r="F18" s="46" t="inlineStr">
        <is>
          <t>1. For a sample of gate decisions across all three gates, inspect the audit log entry for each</t>
        </is>
      </c>
      <c r="G18" s="46" t="inlineStr">
        <is>
          <t>Every decision — pass or fail, at every gate — is immutably logged with actor, timestamp and the underlying check results.</t>
        </is>
      </c>
      <c r="H18" s="47" t="inlineStr">
        <is>
          <t>NA</t>
        </is>
      </c>
      <c r="I18" s="47" t="inlineStr">
        <is>
          <t>Security</t>
        </is>
      </c>
    </row>
    <row r="19" ht="36" customHeight="1">
      <c r="A19" s="46" t="inlineStr">
        <is>
          <t>Performance</t>
        </is>
      </c>
      <c r="B19" s="47" t="inlineStr">
        <is>
          <t>TC-Compliance-18</t>
        </is>
      </c>
      <c r="C19" s="46" t="inlineStr">
        <is>
          <t>Gate Decision Latency Budget</t>
        </is>
      </c>
      <c r="D19" s="47" t="inlineStr">
        <is>
          <t>Low</t>
        </is>
      </c>
      <c r="E19" s="46" t="inlineStr">
        <is>
          <t>Gate 1 is on the synchronous booking path</t>
        </is>
      </c>
      <c r="F19" s="46" t="inlineStr">
        <is>
          <t>1. Measure Gate 1 decision latency under normal load across a representative sample</t>
        </is>
      </c>
      <c r="G19" s="46" t="inlineStr">
        <is>
          <t>Gate decisions complete at p99 &lt; 500 ms, within the booking path's overall p99 &lt; 1 s budget shared with EMI-5915.</t>
        </is>
      </c>
      <c r="H19" s="47" t="inlineStr">
        <is>
          <t>NA</t>
        </is>
      </c>
      <c r="I19" s="47" t="inlineStr">
        <is>
          <t>Performance / NFR</t>
        </is>
      </c>
    </row>
  </sheetData>
  <autoFilter ref="A1:I19"/>
  <conditionalFormatting sqref="H2:H19">
    <cfRule type="cellIs" priority="7" operator="equal" dxfId="54">
      <formula>"Passed"</formula>
    </cfRule>
    <cfRule type="cellIs" priority="8" operator="equal" dxfId="55">
      <formula>"Failed"</formula>
    </cfRule>
    <cfRule type="cellIs" priority="9" operator="equal" dxfId="56">
      <formula>"Partially Passed"</formula>
    </cfRule>
    <cfRule type="cellIs" priority="10" operator="equal" dxfId="57">
      <formula>"Not Tested"</formula>
    </cfRule>
    <cfRule type="cellIs" priority="11" operator="equal" dxfId="58">
      <formula>"Not Implemented"</formula>
    </cfRule>
    <cfRule type="cellIs" priority="12" operator="equal" dxfId="59">
      <formula>"NA"</formula>
    </cfRule>
  </conditionalFormatting>
  <dataValidations count="2">
    <dataValidation sqref="H2:H52" showDropDown="0" showInputMessage="0" showErrorMessage="0" allowBlank="1" errorTitle="Invalid Status" error="Your entry is not in the allowed list of statuses" promptTitle="Test Status" prompt="Select execution status" type="list">
      <formula1>"Passed,Failed,Partially Passed,Not Tested,Not Implemented,NA"</formula1>
    </dataValidation>
    <dataValidation sqref="H2:H19" showDropDown="0" showInputMessage="0" showErrorMessage="0" allowBlank="1" type="list">
      <formula1>"Passed,Failed,Partially Passed,Not Tested,Not Implemented,NA"</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30"/>
  <sheetViews>
    <sheetView showGridLines="1" workbookViewId="0">
      <pane ySplit="1" topLeftCell="A2" activePane="bottomLeft" state="frozen"/>
      <selection pane="bottomLeft" activeCell="B2" sqref="B2:B20"/>
    </sheetView>
  </sheetViews>
  <sheetFormatPr baseColWidth="8" defaultRowHeight="14.4"/>
  <cols>
    <col width="20" customWidth="1" min="1" max="1"/>
    <col width="18" customWidth="1" min="2" max="2"/>
    <col width="36" customWidth="1" min="3" max="3"/>
    <col width="14" customWidth="1" min="4" max="4"/>
    <col width="38" customWidth="1" min="5" max="5"/>
    <col width="45" customWidth="1" min="6" max="7"/>
    <col width="45" customWidth="1" min="7" max="7"/>
    <col width="18" customWidth="1" min="8" max="8"/>
    <col width="20" customWidth="1" min="9" max="9"/>
  </cols>
  <sheetData>
    <row r="1" ht="28.05" customHeight="1" thickBot="1">
      <c r="A1" s="34" t="inlineStr">
        <is>
          <t>Subtopic / Category</t>
        </is>
      </c>
      <c r="B1" s="34" t="inlineStr">
        <is>
          <t>TC ID</t>
        </is>
      </c>
      <c r="C1" s="34" t="inlineStr">
        <is>
          <t>Title</t>
        </is>
      </c>
      <c r="D1" s="34" t="inlineStr">
        <is>
          <t>Priority</t>
        </is>
      </c>
      <c r="E1" s="34" t="inlineStr">
        <is>
          <t>Preconditions</t>
        </is>
      </c>
      <c r="F1" s="34" t="inlineStr">
        <is>
          <t>Steps</t>
        </is>
      </c>
      <c r="G1" s="34" t="inlineStr">
        <is>
          <t>Expected Result</t>
        </is>
      </c>
      <c r="H1" s="34" t="inlineStr">
        <is>
          <t>Status</t>
        </is>
      </c>
      <c r="I1" s="34" t="inlineStr">
        <is>
          <t>Test Type</t>
        </is>
      </c>
    </row>
    <row r="2" ht="36" customHeight="1">
      <c r="A2" s="46" t="inlineStr">
        <is>
          <t>Functional</t>
        </is>
      </c>
      <c r="B2" s="47" t="inlineStr">
        <is>
          <t>TC-Settlement-01</t>
        </is>
      </c>
      <c r="C2" s="46" t="inlineStr">
        <is>
          <t>Clean Date — All Rows Already in Per-TID Ledger</t>
        </is>
      </c>
      <c r="D2" s="47" t="inlineStr">
        <is>
          <t>High</t>
        </is>
      </c>
      <c r="E2" s="46" t="inlineStr">
        <is>
          <t>A pull date's validated PTS rows all already have a matching EMI-5915 per-TID ledger entry</t>
        </is>
      </c>
      <c r="F2" s="46" t="inlineStr">
        <is>
          <t>1. Feed a clean, fully-matched date's validated rows into grouping
2. Run grouping and Gate 1</t>
        </is>
      </c>
      <c r="G2" s="46" t="inlineStr">
        <is>
          <t>Every row resolves as a no-op on the shared identity key; groups are built by TR_SLIP; exactly one aggregate is written per group.</t>
        </is>
      </c>
      <c r="H2" s="47" t="inlineStr">
        <is>
          <t>NA</t>
        </is>
      </c>
      <c r="I2" s="47" t="inlineStr">
        <is>
          <t>Edge / Boundary</t>
        </is>
      </c>
    </row>
    <row r="3" ht="36" customHeight="1">
      <c r="A3" s="46" t="inlineStr">
        <is>
          <t>Functional</t>
        </is>
      </c>
      <c r="B3" s="47" t="inlineStr">
        <is>
          <t>TC-Settlement-02</t>
        </is>
      </c>
      <c r="C3" s="46" t="inlineStr">
        <is>
          <t>Row Never Received Creates RECON_BACKFILL Entry</t>
        </is>
      </c>
      <c r="D3" s="47" t="inlineStr">
        <is>
          <t>High</t>
        </is>
      </c>
      <c r="E3" s="46" t="inlineStr">
        <is>
          <t>A validated PTS row has no matching EMI-5915 ledger entry</t>
        </is>
      </c>
      <c r="F3" s="46" t="inlineStr">
        <is>
          <t>1. Push the row through EMI-5915's write path
2. Inspect the created entry's origin field
3. Continue grouping</t>
        </is>
      </c>
      <c r="G3" s="46" t="inlineStr">
        <is>
          <t>A per-TID ledger entry is created with origin=RECON_BACKFILL via EMI-5915's own write path — no second write path is introduced — then the row is grouped normally.</t>
        </is>
      </c>
      <c r="H3" s="47" t="inlineStr">
        <is>
          <t>NA</t>
        </is>
      </c>
      <c r="I3" s="47" t="inlineStr">
        <is>
          <t>Functional</t>
        </is>
      </c>
    </row>
    <row r="4" ht="36" customHeight="1">
      <c r="A4" s="46" t="inlineStr">
        <is>
          <t>Functional</t>
        </is>
      </c>
      <c r="B4" s="47" t="inlineStr">
        <is>
          <t>TC-Settlement-03</t>
        </is>
      </c>
      <c r="C4" s="46" t="inlineStr">
        <is>
          <t>One Date File, Many Groups Across Many Terminals</t>
        </is>
      </c>
      <c r="D4" s="47" t="inlineStr">
        <is>
          <t>High</t>
        </is>
      </c>
      <c r="E4" s="46" t="inlineStr">
        <is>
          <t>A single date's pull covers many terminals under the CIF, each with its own TR_SLIP</t>
        </is>
      </c>
      <c r="F4" s="46" t="inlineStr">
        <is>
          <t>1. Ingest one date file spanning multiple terminals and slips
2. Run grouping</t>
        </is>
      </c>
      <c r="G4" s="46" t="inlineStr">
        <is>
          <t>Exactly one group is built per TR_SLIP — never per file, never per terminal.</t>
        </is>
      </c>
      <c r="H4" s="47" t="inlineStr">
        <is>
          <t>NA</t>
        </is>
      </c>
      <c r="I4" s="47" t="inlineStr">
        <is>
          <t>Edge / Boundary</t>
        </is>
      </c>
    </row>
    <row r="5" ht="36" customHeight="1">
      <c r="A5" s="46" t="inlineStr">
        <is>
          <t>Functional</t>
        </is>
      </c>
      <c r="B5" s="47" t="inlineStr">
        <is>
          <t>TC-Settlement-04</t>
        </is>
      </c>
      <c r="C5" s="46" t="inlineStr">
        <is>
          <t>Group Containing Refunds Nets Correctly</t>
        </is>
      </c>
      <c r="D5" s="47" t="inlineStr">
        <is>
          <t>Medium</t>
        </is>
      </c>
      <c r="E5" s="46" t="inlineStr">
        <is>
          <t>A group contains both purchase and refund rows</t>
        </is>
      </c>
      <c r="F5" s="46" t="inlineStr">
        <is>
          <t>1. Build a group containing mixed-direction rows
2. Compute the aggregate</t>
        </is>
      </c>
      <c r="G5" s="46" t="inlineStr">
        <is>
          <t>Aggregate = sum of member net (TOTAL_AMOUNT) with direction applied; exactly one aggregate is written, not one per direction.</t>
        </is>
      </c>
      <c r="H5" s="47" t="inlineStr">
        <is>
          <t>NA</t>
        </is>
      </c>
      <c r="I5" s="47" t="inlineStr">
        <is>
          <t>Edge / Boundary</t>
        </is>
      </c>
    </row>
    <row r="6" ht="36" customHeight="1">
      <c r="A6" s="46" t="inlineStr">
        <is>
          <t>Compliance</t>
        </is>
      </c>
      <c r="B6" s="47" t="inlineStr">
        <is>
          <t>TC-Settlement-05</t>
        </is>
      </c>
      <c r="C6" s="46" t="inlineStr">
        <is>
          <t>Gate 1 Fails on the Aggregate — Whole Group Held</t>
        </is>
      </c>
      <c r="D6" s="47" t="inlineStr">
        <is>
          <t>Critical</t>
        </is>
      </c>
      <c r="E6" s="46" t="inlineStr">
        <is>
          <t>The aggregate net for a group would fail Gate 1 (wallet status/AML/sanctions/SAMA/fraud, plus C09/C11)</t>
        </is>
      </c>
      <c r="F6" s="46" t="inlineStr">
        <is>
          <t>1. Run Gate 1 once against the group's aggregate net
2. Inspect the group and its members</t>
        </is>
      </c>
      <c r="G6" s="46" t="inlineStr">
        <is>
          <t>The whole group is HELD; no aggregate is written; no partial credit is ever created; members are marked held via the group; a compliance case is opened.</t>
        </is>
      </c>
      <c r="H6" s="47" t="inlineStr">
        <is>
          <t>NA</t>
        </is>
      </c>
      <c r="I6" s="47" t="inlineStr">
        <is>
          <t>Negative</t>
        </is>
      </c>
    </row>
    <row r="7" ht="36" customHeight="1">
      <c r="A7" s="46" t="inlineStr">
        <is>
          <t>Reliability</t>
        </is>
      </c>
      <c r="B7" s="47" t="inlineStr">
        <is>
          <t>TC-Settlement-06</t>
        </is>
      </c>
      <c r="C7" s="46" t="inlineStr">
        <is>
          <t>Gate 1 Service Timeout Fails Safe to Held</t>
        </is>
      </c>
      <c r="D7" s="47" t="inlineStr">
        <is>
          <t>High</t>
        </is>
      </c>
      <c r="E7" s="46" t="inlineStr">
        <is>
          <t>The Gate 1 service is made unresponsive during group screening</t>
        </is>
      </c>
      <c r="F7" s="46" t="inlineStr">
        <is>
          <t>1. Attempt Gate 1 evaluation on a group's aggregate while the check service times out</t>
        </is>
      </c>
      <c r="G7" s="46" t="inlineStr">
        <is>
          <t>Fail-safe to HELD; never fail-open.</t>
        </is>
      </c>
      <c r="H7" s="47" t="inlineStr">
        <is>
          <t>NA</t>
        </is>
      </c>
      <c r="I7" s="47" t="inlineStr">
        <is>
          <t>Negative</t>
        </is>
      </c>
    </row>
    <row r="8" ht="36" customHeight="1">
      <c r="A8" s="46" t="inlineStr">
        <is>
          <t>Functional</t>
        </is>
      </c>
      <c r="B8" s="47" t="inlineStr">
        <is>
          <t>TC-Settlement-07</t>
        </is>
      </c>
      <c r="C8" s="46" t="inlineStr">
        <is>
          <t>New Rows Joining an Open-Date Group Is Normal</t>
        </is>
      </c>
      <c r="D8" s="47" t="inlineStr">
        <is>
          <t>Medium</t>
        </is>
      </c>
      <c r="E8" s="46" t="inlineStr">
        <is>
          <t>A group's source date is still open (not yet closed out by EMI-5991)</t>
        </is>
      </c>
      <c r="F8" s="46" t="inlineStr">
        <is>
          <t>1. Add new rows to an existing group while its date remains open
2. Inspect for any immutability alarm</t>
        </is>
      </c>
      <c r="G8" s="46" t="inlineStr">
        <is>
          <t>The group is simply updated; no immutability alarm fires — this is expected behaviour while the date is open.</t>
        </is>
      </c>
      <c r="H8" s="47" t="inlineStr">
        <is>
          <t>NA</t>
        </is>
      </c>
      <c r="I8" s="47" t="inlineStr">
        <is>
          <t>Functional</t>
        </is>
      </c>
    </row>
    <row r="9" ht="36" customHeight="1">
      <c r="A9" s="46" t="inlineStr">
        <is>
          <t>Exception</t>
        </is>
      </c>
      <c r="B9" s="47" t="inlineStr">
        <is>
          <t>TC-Settlement-08</t>
        </is>
      </c>
      <c r="C9" s="46" t="inlineStr">
        <is>
          <t>Grouped Row Changes After Date Closed — E23</t>
        </is>
      </c>
      <c r="D9" s="47" t="inlineStr">
        <is>
          <t>Critical</t>
        </is>
      </c>
      <c r="E9" s="46" t="inlineStr">
        <is>
          <t>A previously grouped TR_SLIP's row content changes (amended/removed row, changed total) after EMI-5991 has closed the date</t>
        </is>
      </c>
      <c r="F9" s="46" t="inlineStr">
        <is>
          <t>1. Close out the date
2. Re-pull the same TR_SLIP with changed row content
3. Inspect the group state</t>
        </is>
      </c>
      <c r="G9" s="46" t="inlineStr">
        <is>
          <t>E23 raised: the group is frozen, an Ops case is opened, and the original content is preserved — never silently overwritten.</t>
        </is>
      </c>
      <c r="H9" s="47" t="inlineStr">
        <is>
          <t>NA</t>
        </is>
      </c>
      <c r="I9" s="47" t="inlineStr">
        <is>
          <t>Functional</t>
        </is>
      </c>
    </row>
    <row r="10" ht="36" customHeight="1">
      <c r="A10" s="46" t="inlineStr">
        <is>
          <t>Exception</t>
        </is>
      </c>
      <c r="B10" s="47" t="inlineStr">
        <is>
          <t>TC-Settlement-09</t>
        </is>
      </c>
      <c r="C10" s="46" t="inlineStr">
        <is>
          <t>E23 on a Group Whose Aggregate Is Already Credited</t>
        </is>
      </c>
      <c r="D10" s="47" t="inlineStr">
        <is>
          <t>Critical</t>
        </is>
      </c>
      <c r="E10" s="46" t="inlineStr">
        <is>
          <t>An E23 immutability breach is detected on a group whose aggregate has already cleared to Available (EMI-5922)</t>
        </is>
      </c>
      <c r="F10" s="46" t="inlineStr">
        <is>
          <t>1. Trigger an E23 breach on an already-credited group
2. Inspect how the system flags it</t>
        </is>
      </c>
      <c r="G10" s="46" t="inlineStr">
        <is>
          <t>This is flagged as a financial incident (not a routine data issue); the group is frozen and the aggregate is flagged; resolution requires an explicit Ops/Finance decision — no automatic rewrite occurs.</t>
        </is>
      </c>
      <c r="H10" s="47" t="inlineStr">
        <is>
          <t>NA</t>
        </is>
      </c>
      <c r="I10" s="47" t="inlineStr">
        <is>
          <t>Functional</t>
        </is>
      </c>
    </row>
    <row r="11" ht="36" customHeight="1">
      <c r="A11" s="46" t="inlineStr">
        <is>
          <t>Idempotency</t>
        </is>
      </c>
      <c r="B11" s="47" t="inlineStr">
        <is>
          <t>TC-Settlement-10</t>
        </is>
      </c>
      <c r="C11" s="46" t="inlineStr">
        <is>
          <t>Catch-Up Re-Processing Does Not Duplicate Aggregates</t>
        </is>
      </c>
      <c r="D11" s="47" t="inlineStr">
        <is>
          <t>Critical</t>
        </is>
      </c>
      <c r="E11" s="46" t="inlineStr">
        <is>
          <t>A date whose groups already produced aggregates is re-processed by a catch-up job</t>
        </is>
      </c>
      <c r="F11" s="46" t="inlineStr">
        <is>
          <t>1. Re-run the catch-up job over an already-processed date
2. Inspect aggregate counts per group key</t>
        </is>
      </c>
      <c r="G11" s="46" t="inlineStr">
        <is>
          <t>The unique constraint on the group key holds; no second aggregate is created for any group.</t>
        </is>
      </c>
      <c r="H11" s="47" t="inlineStr">
        <is>
          <t>NA</t>
        </is>
      </c>
      <c r="I11" s="47" t="inlineStr">
        <is>
          <t>Integration</t>
        </is>
      </c>
    </row>
    <row r="12" ht="36" customHeight="1">
      <c r="A12" s="46" t="inlineStr">
        <is>
          <t>Functional</t>
        </is>
      </c>
      <c r="B12" s="47" t="inlineStr">
        <is>
          <t>TC-Settlement-11</t>
        </is>
      </c>
      <c r="C12" s="46" t="inlineStr">
        <is>
          <t>Ledger Type Check — Standard CASH IN With Platform=PoS</t>
        </is>
      </c>
      <c r="D12" s="47" t="inlineStr">
        <is>
          <t>High</t>
        </is>
      </c>
      <c r="E12" s="46" t="inlineStr">
        <is>
          <t>A group passes Gate 1 and its aggregate is written</t>
        </is>
      </c>
      <c r="F12" s="46" t="inlineStr">
        <is>
          <t>1. Inspect the written aggregate transaction's type and platform fields</t>
        </is>
      </c>
      <c r="G12" s="46" t="inlineStr">
        <is>
          <t>The entry is a standard CASH IN. No custom PoS transaction type exists anywhere in the ledger; Platform=PoS is set and carries the PoS context in metadata only.</t>
        </is>
      </c>
      <c r="H12" s="47" t="inlineStr">
        <is>
          <t>NA</t>
        </is>
      </c>
      <c r="I12" s="47" t="inlineStr">
        <is>
          <t>Functional</t>
        </is>
      </c>
    </row>
    <row r="13" ht="36" customHeight="1">
      <c r="A13" s="46" t="inlineStr">
        <is>
          <t>Integration</t>
        </is>
      </c>
      <c r="B13" s="47" t="inlineStr">
        <is>
          <t>TC-Settlement-12</t>
        </is>
      </c>
      <c r="C13" s="46" t="inlineStr">
        <is>
          <t>Commission Engine Prices on TXN Type + Platform</t>
        </is>
      </c>
      <c r="D13" s="47" t="inlineStr">
        <is>
          <t>Medium</t>
        </is>
      </c>
      <c r="E13" s="46" t="inlineStr">
        <is>
          <t>A PoS settlement CASH IN with Platform=PoS exists alongside an ordinary wallet top-up CASH IN</t>
        </is>
      </c>
      <c r="F13" s="46" t="inlineStr">
        <is>
          <t>1. Feed both transactions to the commission engine
2. Compare the pricing applied to each</t>
        </is>
      </c>
      <c r="G13" s="46" t="inlineStr">
        <is>
          <t>The commission engine distinguishes and prices the PoS settlement cash-in differently from an ordinary top-up, keyed on TXN type + Platform. This closes O29.</t>
        </is>
      </c>
      <c r="H13" s="47" t="inlineStr">
        <is>
          <t>NA</t>
        </is>
      </c>
      <c r="I13" s="47" t="inlineStr">
        <is>
          <t>Integration</t>
        </is>
      </c>
    </row>
    <row r="14" ht="36" customHeight="1">
      <c r="A14" s="46" t="inlineStr">
        <is>
          <t>Exception</t>
        </is>
      </c>
      <c r="B14" s="47" t="inlineStr">
        <is>
          <t>TC-Settlement-13</t>
        </is>
      </c>
      <c r="C14" s="46" t="inlineStr">
        <is>
          <t>Group Nets to Zero or Negative — E25</t>
        </is>
      </c>
      <c r="D14" s="47" t="inlineStr">
        <is>
          <t>High</t>
        </is>
      </c>
      <c r="E14" s="46" t="inlineStr">
        <is>
          <t>A group's refunds exceed its sales, producing a zero or negative aggregate net</t>
        </is>
      </c>
      <c r="F14" s="46" t="inlineStr">
        <is>
          <t>1. Build a group whose net is zero or negative
2. Run Gate 1 / aggregation</t>
        </is>
      </c>
      <c r="G14" s="46" t="inlineStr">
        <is>
          <t>E25 raised: the group is held pending O25; it is never credited by default.</t>
        </is>
      </c>
      <c r="H14" s="47" t="inlineStr">
        <is>
          <t>NA</t>
        </is>
      </c>
      <c r="I14" s="47" t="inlineStr">
        <is>
          <t>Edge / Boundary</t>
        </is>
      </c>
    </row>
    <row r="15" ht="36" customHeight="1">
      <c r="A15" s="46" t="inlineStr">
        <is>
          <t>Audit</t>
        </is>
      </c>
      <c r="B15" s="47" t="inlineStr">
        <is>
          <t>TC-Settlement-14</t>
        </is>
      </c>
      <c r="C15" s="46" t="inlineStr">
        <is>
          <t>Aggregate Traceability to Members, Group Key, Pull Date and File Hash</t>
        </is>
      </c>
      <c r="D15" s="47" t="inlineStr">
        <is>
          <t>Medium</t>
        </is>
      </c>
      <c r="E15" s="46" t="inlineStr">
        <is>
          <t>An aggregate has been written for a group</t>
        </is>
      </c>
      <c r="F15" s="46" t="inlineStr">
        <is>
          <t>1. From the aggregate, resolve back to its exact member entries, group key, source pull date and file hash</t>
        </is>
      </c>
      <c r="G15" s="46" t="inlineStr">
        <is>
          <t>Full traceability resolves without a join through any other system — the aggregate's metadata alone is sufficient.</t>
        </is>
      </c>
      <c r="H15" s="47" t="inlineStr">
        <is>
          <t>NA</t>
        </is>
      </c>
      <c r="I15" s="47" t="inlineStr">
        <is>
          <t>Integration</t>
        </is>
      </c>
    </row>
    <row r="16" ht="36" customHeight="1">
      <c r="A16" s="46" t="inlineStr">
        <is>
          <t>Conservation</t>
        </is>
      </c>
      <c r="B16" s="47" t="inlineStr">
        <is>
          <t>TC-Settlement-15</t>
        </is>
      </c>
      <c r="C16" s="46" t="inlineStr">
        <is>
          <t>Group Conservation — No Member Belongs to Two Groups</t>
        </is>
      </c>
      <c r="D16" s="47" t="inlineStr">
        <is>
          <t>Critical</t>
        </is>
      </c>
      <c r="E16" s="46" t="inlineStr">
        <is>
          <t>Multiple groups exist with distinct member entries</t>
        </is>
      </c>
      <c r="F16" s="46" t="inlineStr">
        <is>
          <t>1. Verify aggregate net = sum of member directions applied, for each group
2. Confirm no per-TID entry is referenced by more than one group</t>
        </is>
      </c>
      <c r="G16" s="46" t="inlineStr">
        <is>
          <t>Conservation holds per group; each member entry belongs to at most one group.</t>
        </is>
      </c>
      <c r="H16" s="47" t="inlineStr">
        <is>
          <t>NA</t>
        </is>
      </c>
      <c r="I16" s="47" t="inlineStr">
        <is>
          <t>Functional</t>
        </is>
      </c>
    </row>
    <row r="17" ht="36" customHeight="1">
      <c r="A17" s="46" t="inlineStr">
        <is>
          <t>Lifecycle</t>
        </is>
      </c>
      <c r="B17" s="47" t="inlineStr">
        <is>
          <t>TC-Settlement-16</t>
        </is>
      </c>
      <c r="C17" s="46" t="inlineStr">
        <is>
          <t>Group on an Open Date Is Provisional</t>
        </is>
      </c>
      <c r="D17" s="47" t="inlineStr">
        <is>
          <t>High</t>
        </is>
      </c>
      <c r="E17" s="46" t="inlineStr">
        <is>
          <t>A group's source date has not yet been closed out by EMI-5991</t>
        </is>
      </c>
      <c r="F17" s="46" t="inlineStr">
        <is>
          <t>1. Build and screen the group while its date is open
2. Attempt to hand it off to EMI-5920 for final matching</t>
        </is>
      </c>
      <c r="G17" s="46" t="inlineStr">
        <is>
          <t>The group is marked provisional; it is not eligible for final handoff to EMI-5920 until its date closes.</t>
        </is>
      </c>
      <c r="H17" s="47" t="inlineStr">
        <is>
          <t>NA</t>
        </is>
      </c>
      <c r="I17" s="47" t="inlineStr">
        <is>
          <t>Functional</t>
        </is>
      </c>
    </row>
    <row r="18" ht="36" customHeight="1">
      <c r="A18" s="46" t="inlineStr">
        <is>
          <t>Observability</t>
        </is>
      </c>
      <c r="B18" s="47" t="inlineStr">
        <is>
          <t>TC-Settlement-17</t>
        </is>
      </c>
      <c r="C18" s="46" t="inlineStr">
        <is>
          <t>Backfill-Rate Alarm on Sustained RECON_BACKFILL Rise</t>
        </is>
      </c>
      <c r="D18" s="47" t="inlineStr">
        <is>
          <t>Medium</t>
        </is>
      </c>
      <c r="E18" s="46" t="inlineStr">
        <is>
          <t>The rate of rows created with origin=RECON_BACKFILL rises above baseline over a sustained window</t>
        </is>
      </c>
      <c r="F18" s="46" t="inlineStr">
        <is>
          <t>1. Simulate a sustained rise in RECON_BACKFILL-origin row creation
2. Observe alarming</t>
        </is>
      </c>
      <c r="G18" s="46" t="inlineStr">
        <is>
          <t>A rising backfill rate raises an integration alert (the live-feed delivery is likely losing deliveries) rather than being silently absorbed.</t>
        </is>
      </c>
      <c r="H18" s="47" t="inlineStr">
        <is>
          <t>NA</t>
        </is>
      </c>
      <c r="I18" s="47" t="inlineStr">
        <is>
          <t>Observability</t>
        </is>
      </c>
    </row>
    <row r="19" ht="36" customHeight="1">
      <c r="A19" s="46" t="inlineStr">
        <is>
          <t>Observability</t>
        </is>
      </c>
      <c r="B19" s="47" t="inlineStr">
        <is>
          <t>TC-Settlement-18</t>
        </is>
      </c>
      <c r="C19" s="46" t="inlineStr">
        <is>
          <t>Gate 1 Hold-Rate Alarm on Spike</t>
        </is>
      </c>
      <c r="D19" s="47" t="inlineStr">
        <is>
          <t>Medium</t>
        </is>
      </c>
      <c r="E19" s="46" t="inlineStr">
        <is>
          <t>The proportion of groups held at Gate 1 spikes above baseline</t>
        </is>
      </c>
      <c r="F19" s="46" t="inlineStr">
        <is>
          <t>1. Simulate a spike in Gate 1 holds across groups in a short window
2. Observe alarming</t>
        </is>
      </c>
      <c r="G19" s="46" t="inlineStr">
        <is>
          <t>A spike raises an alarm same-day — it may indicate a compliance event or a screening defect, and both need review promptly.</t>
        </is>
      </c>
      <c r="H19" s="47" t="inlineStr">
        <is>
          <t>NA</t>
        </is>
      </c>
      <c r="I19" s="47" t="inlineStr">
        <is>
          <t>Observability</t>
        </is>
      </c>
    </row>
    <row r="20" ht="36" customHeight="1">
      <c r="A20" s="46" t="inlineStr">
        <is>
          <t>Conservation</t>
        </is>
      </c>
      <c r="B20" s="47" t="inlineStr">
        <is>
          <t>TC-Settlement-19</t>
        </is>
      </c>
      <c r="C20" s="46" t="inlineStr">
        <is>
          <t>Monetary Arithmetic Uses Exact Decimal, Never Float</t>
        </is>
      </c>
      <c r="D20" s="47" t="inlineStr">
        <is>
          <t>High</t>
        </is>
      </c>
      <c r="E20" s="46" t="inlineStr">
        <is>
          <t>Group totals involve fractional halalah-level amounts across multiple rows</t>
        </is>
      </c>
      <c r="F20" s="46" t="inlineStr">
        <is>
          <t>1. Aggregate a group whose member amounts would expose floating-point rounding error if handled as floats
2. Inspect the stored aggregate net</t>
        </is>
      </c>
      <c r="G20" s="46" t="inlineStr">
        <is>
          <t>All monetary handling uses exact decimal arithmetic; no floating-point arithmetic appears anywhere in grouping or aggregation.</t>
        </is>
      </c>
      <c r="H20" s="47" t="inlineStr">
        <is>
          <t>NA</t>
        </is>
      </c>
      <c r="I20" s="47" t="inlineStr">
        <is>
          <t>Functional</t>
        </is>
      </c>
    </row>
    <row r="21" ht="36" customHeight="1">
      <c r="A21" s="46" t="inlineStr">
        <is>
          <t>Conservation</t>
        </is>
      </c>
      <c r="B21" s="47" t="inlineStr">
        <is>
          <t>TC-Settlement-20</t>
        </is>
      </c>
      <c r="C21" s="46" t="inlineStr">
        <is>
          <t>Group Conservation — No Member Belongs to Two Batches</t>
        </is>
      </c>
      <c r="D21" s="47" t="inlineStr">
        <is>
          <t>Critical</t>
        </is>
      </c>
      <c r="E21" s="46" t="inlineStr">
        <is>
          <t>Multiple batches exist with distinct member entries</t>
        </is>
      </c>
      <c r="F21" s="46" t="inlineStr">
        <is>
          <t>1. Verify aggregate net = sum of member Net Settlement Amount, for each batch.
2. Confirm no per-TID entry is referenced by more than one batch.</t>
        </is>
      </c>
      <c r="G21" s="46" t="inlineStr">
        <is>
          <t>Conservation holds per batch; each member entry belongs to at most one batch.</t>
        </is>
      </c>
      <c r="H21" s="47" t="inlineStr">
        <is>
          <t>Not Tested</t>
        </is>
      </c>
      <c r="I21" s="47" t="inlineStr">
        <is>
          <t>Functional</t>
        </is>
      </c>
    </row>
    <row r="22" ht="36" customHeight="1">
      <c r="A22" s="46" t="inlineStr">
        <is>
          <t>Lifecycle</t>
        </is>
      </c>
      <c r="B22" s="47" t="inlineStr">
        <is>
          <t>TC-Settlement-21</t>
        </is>
      </c>
      <c r="C22" s="46" t="inlineStr">
        <is>
          <t>Batch on an Open Date Stays Provisional for Days, Not Hours</t>
        </is>
      </c>
      <c r="D22" s="47" t="inlineStr">
        <is>
          <t>High</t>
        </is>
      </c>
      <c r="E22" s="46" t="inlineStr">
        <is>
          <t>A batch's source date has not yet been closed out by Settlement Grouping &amp; Gate 1, across three consecutive nightly runs</t>
        </is>
      </c>
      <c r="F22" s="46" t="inlineStr">
        <is>
          <t>1. Build and screen the batch while its date is open, across three nights.
2. Attempt handoff to EMI-5920 for final matching each night.</t>
        </is>
      </c>
      <c r="G22" s="46" t="inlineStr">
        <is>
          <t>The batch is marked provisional and not eligible for final handoff until its date closes. Ops reporting ages it without flagging it as stuck.</t>
        </is>
      </c>
      <c r="H22" s="47" t="inlineStr">
        <is>
          <t>Not Tested</t>
        </is>
      </c>
      <c r="I22" s="47" t="inlineStr">
        <is>
          <t>Functional</t>
        </is>
      </c>
    </row>
    <row r="23" ht="36" customHeight="1">
      <c r="A23" s="46" t="inlineStr">
        <is>
          <t>Audit</t>
        </is>
      </c>
      <c r="B23" s="47" t="inlineStr">
        <is>
          <t>TC-Settlement-22</t>
        </is>
      </c>
      <c r="C23" s="46" t="inlineStr">
        <is>
          <t>Member Count Persisted and Exposed for EMI-5920's Cross-Check</t>
        </is>
      </c>
      <c r="D23" s="47" t="inlineStr">
        <is>
          <t>High</t>
        </is>
      </c>
      <c r="E23" s="46" t="inlineStr">
        <is>
          <t>A batch aggregate has been written with its member count stored</t>
        </is>
      </c>
      <c r="F23" s="46" t="inlineStr">
        <is>
          <t>1. Inspect the persisted batch record.
2. Confirm the member count is available to EMI-5920.</t>
        </is>
      </c>
      <c r="G23" s="46" t="inlineStr">
        <is>
          <t>Member count is stored as a control, not a statistic, and is available for comparison against the MT940 narrative's TX_n in EMI-5920.</t>
        </is>
      </c>
      <c r="H23" s="47" t="inlineStr">
        <is>
          <t>Not Tested</t>
        </is>
      </c>
      <c r="I23" s="47" t="inlineStr">
        <is>
          <t>Security</t>
        </is>
      </c>
    </row>
    <row r="24" ht="36" customHeight="1">
      <c r="A24" s="46" t="inlineStr">
        <is>
          <t>Ordering</t>
        </is>
      </c>
      <c r="B24" s="47" t="inlineStr">
        <is>
          <t>TC-Settlement-23</t>
        </is>
      </c>
      <c r="C24" s="46" t="inlineStr">
        <is>
          <t>Gate 1 Invoked Before the Aggregate Is Written, Never After</t>
        </is>
      </c>
      <c r="D24" s="47" t="inlineStr">
        <is>
          <t>Critical</t>
        </is>
      </c>
      <c r="E24" s="46" t="inlineStr">
        <is>
          <t>A batch is ready for screening and aggregation</t>
        </is>
      </c>
      <c r="F24" s="46" t="inlineStr">
        <is>
          <t>1. Trace the processing order: reconcile, group, assert scope, Gate 1, then write.
2. Force a Gate 1 hold and confirm no aggregate exists afterward.</t>
        </is>
      </c>
      <c r="G24" s="46" t="inlineStr">
        <is>
          <t>Ordering is enforced. A held batch leaves no balance-bearing record behind it — Gate 1 always runs before anything balance-bearing is written.</t>
        </is>
      </c>
      <c r="H24" s="47" t="inlineStr">
        <is>
          <t>Not Tested</t>
        </is>
      </c>
      <c r="I24" s="47" t="inlineStr">
        <is>
          <t>Integration</t>
        </is>
      </c>
    </row>
    <row r="25" ht="36" customHeight="1">
      <c r="A25" s="46" t="inlineStr">
        <is>
          <t>Ordering</t>
        </is>
      </c>
      <c r="B25" s="47" t="inlineStr">
        <is>
          <t>TC-Settlement-24</t>
        </is>
      </c>
      <c r="C25" s="46" t="inlineStr">
        <is>
          <t>Scope Invariants Evaluated Before Gate 1</t>
        </is>
      </c>
      <c r="D25" s="47" t="inlineStr">
        <is>
          <t>High</t>
        </is>
      </c>
      <c r="E25" s="46" t="inlineStr">
        <is>
          <t>A batch would fail the E30 or E31 scope check</t>
        </is>
      </c>
      <c r="F25" s="46" t="inlineStr">
        <is>
          <t>1. Build a batch with a scope disagreement or mixed currency.
2. Run the grouping pipeline.</t>
        </is>
      </c>
      <c r="G25" s="46" t="inlineStr">
        <is>
          <t>The E30/E31 batch never reaches Gate 1 and never produces an aggregate — scope invariants are asserted first.</t>
        </is>
      </c>
      <c r="H25" s="47" t="inlineStr">
        <is>
          <t>Not Tested</t>
        </is>
      </c>
      <c r="I25" s="47" t="inlineStr">
        <is>
          <t>Integration</t>
        </is>
      </c>
    </row>
    <row r="26" ht="36" customHeight="1">
      <c r="A26" s="46" t="inlineStr">
        <is>
          <t>Ops/Reporting</t>
        </is>
      </c>
      <c r="B26" s="47" t="inlineStr">
        <is>
          <t>TC-Settlement-25</t>
        </is>
      </c>
      <c r="C26" s="46" t="inlineStr">
        <is>
          <t>Held-Batch Queue Has No Release or Partial-Credit Action</t>
        </is>
      </c>
      <c r="D26" s="47" t="inlineStr">
        <is>
          <t>Critical</t>
        </is>
      </c>
      <c r="E26" s="46" t="inlineStr">
        <is>
          <t>A batch is held under E27, E30, or E31</t>
        </is>
      </c>
      <c r="F26" s="46" t="inlineStr">
        <is>
          <t>1. Open the Ops held-batch queue.
2. Attempt to find a release, partial-credit, or edit action.</t>
        </is>
      </c>
      <c r="G26" s="46" t="inlineStr">
        <is>
          <t>No such action is present anywhere on the screen or in the API. E30 names the disagreeing field and members; the absence of a release path is deliberate.</t>
        </is>
      </c>
      <c r="H26" s="47" t="inlineStr">
        <is>
          <t>Not Tested</t>
        </is>
      </c>
      <c r="I26" s="47" t="inlineStr">
        <is>
          <t>Reporting</t>
        </is>
      </c>
    </row>
    <row r="27" ht="36" customHeight="1">
      <c r="A27" s="46" t="inlineStr">
        <is>
          <t>Risk</t>
        </is>
      </c>
      <c r="B27" s="47" t="inlineStr">
        <is>
          <t>TC-Settlement-26</t>
        </is>
      </c>
      <c r="C27" s="46" t="inlineStr">
        <is>
          <t>Aggregate That Would Exceed the SAMA Balance Cap if Credited Tonight</t>
        </is>
      </c>
      <c r="D27" s="47" t="inlineStr">
        <is>
          <t>Critical</t>
        </is>
      </c>
      <c r="E27" s="46" t="inlineStr">
        <is>
          <t>The batch's aggregate value would exceed the merchant's SAMA balance cap if it were credited immediately</t>
        </is>
      </c>
      <c r="F27" s="46" t="inlineStr">
        <is>
          <t>1. Run Gate 1 on the aggregate.
2. Inspect the outcome.</t>
        </is>
      </c>
      <c r="G27" s="46" t="inlineStr">
        <is>
          <t>Gate 1 passes on party state alone. The aggregate is written PENDING and handed on normally — no hold, no E27. The cap is not this story's question; it belongs to Gate 3 in EMI-5916.</t>
        </is>
      </c>
      <c r="H27" s="47" t="inlineStr">
        <is>
          <t>Not Tested</t>
        </is>
      </c>
      <c r="I27" s="47" t="inlineStr">
        <is>
          <t>Functional</t>
        </is>
      </c>
    </row>
    <row r="28" ht="36" customHeight="1">
      <c r="A28" s="46" t="inlineStr">
        <is>
          <t>Risk</t>
        </is>
      </c>
      <c r="B28" s="47" t="inlineStr">
        <is>
          <t>TC-Settlement-27</t>
        </is>
      </c>
      <c r="C28" s="46" t="inlineStr">
        <is>
          <t>Turnover Window Rolls Between Grouping and Crediting</t>
        </is>
      </c>
      <c r="D28" s="47" t="inlineStr">
        <is>
          <t>High</t>
        </is>
      </c>
      <c r="E28" s="46" t="inlineStr">
        <is>
          <t>The merchant is over their turnover limit on the night of grouping, and the turnover window rolls before the credit lands</t>
        </is>
      </c>
      <c r="F28" s="46" t="inlineStr">
        <is>
          <t>1. Group and screen the batch tonight.
2. Advance past the turnover window boundary before the credit lands.</t>
        </is>
      </c>
      <c r="G28" s="46" t="inlineStr">
        <is>
          <t>Not held here. Gate 3 (EMI-5916) evaluates the turnover limit against the window in force when the money actually arrives, not the window open at grouping.</t>
        </is>
      </c>
      <c r="H28" s="47" t="inlineStr">
        <is>
          <t>Not Tested</t>
        </is>
      </c>
      <c r="I28" s="47" t="inlineStr">
        <is>
          <t>Edge / Boundary</t>
        </is>
      </c>
    </row>
    <row r="29" ht="36" customHeight="1">
      <c r="A29" s="46" t="inlineStr">
        <is>
          <t>Reliability</t>
        </is>
      </c>
      <c r="B29" s="47" t="inlineStr">
        <is>
          <t>TC-Settlement-28</t>
        </is>
      </c>
      <c r="C29" s="46" t="inlineStr">
        <is>
          <t>Limits Service Unreachable During Grouping Has No Effect</t>
        </is>
      </c>
      <c r="D29" s="47" t="inlineStr">
        <is>
          <t>High</t>
        </is>
      </c>
      <c r="E29" s="46" t="inlineStr">
        <is>
          <t>The limits service is made unavailable while grouping and Gate 1 run</t>
        </is>
      </c>
      <c r="F29" s="46" t="inlineStr">
        <is>
          <t>1. Run grouping and Gate 1 while the limits service is unreachable.</t>
        </is>
      </c>
      <c r="G29" s="46" t="inlineStr">
        <is>
          <t>No effect at all. Gate 1 does not call the limits service, so grouping and screening complete normally on party-state checks alone.</t>
        </is>
      </c>
      <c r="H29" s="47" t="inlineStr">
        <is>
          <t>Not Tested</t>
        </is>
      </c>
      <c r="I29" s="47" t="inlineStr">
        <is>
          <t>Functional</t>
        </is>
      </c>
    </row>
    <row r="30" ht="36" customHeight="1">
      <c r="A30" s="46" t="inlineStr">
        <is>
          <t>Compliance</t>
        </is>
      </c>
      <c r="B30" s="47" t="inlineStr">
        <is>
          <t>TC-Settlement-29</t>
        </is>
      </c>
      <c r="C30" s="46" t="inlineStr">
        <is>
          <t>Merchant Blocked, Under AML Review, or Sanctions-Hit at Grouping Time</t>
        </is>
      </c>
      <c r="D30" s="47" t="inlineStr">
        <is>
          <t>Critical</t>
        </is>
      </c>
      <c r="E30" s="46" t="inlineStr">
        <is>
          <t>The merchant fails a party-state check (blocked status, AML review flag, or a sanctions hit) at the moment of grouping</t>
        </is>
      </c>
      <c r="F30" s="46" t="inlineStr">
        <is>
          <t>1. Run Gate 1 on the aggregate for a merchant failing a party-state check.</t>
        </is>
      </c>
      <c r="G30" s="46" t="inlineStr">
        <is>
          <t>E27, HELD. Party-state checks are squarely within Gate 1's scope, unlike limits, which are not evaluated here at all.</t>
        </is>
      </c>
      <c r="H30" s="47" t="inlineStr">
        <is>
          <t>Not Tested</t>
        </is>
      </c>
      <c r="I30" s="47" t="inlineStr">
        <is>
          <t>Compliance</t>
        </is>
      </c>
    </row>
  </sheetData>
  <autoFilter ref="A1:I30"/>
  <conditionalFormatting sqref="H2:H30">
    <cfRule type="cellIs" priority="7" operator="equal" dxfId="54">
      <formula>"Passed"</formula>
    </cfRule>
    <cfRule type="cellIs" priority="8" operator="equal" dxfId="55">
      <formula>"Failed"</formula>
    </cfRule>
    <cfRule type="cellIs" priority="9" operator="equal" dxfId="56">
      <formula>"Partially Passed"</formula>
    </cfRule>
    <cfRule type="cellIs" priority="10" operator="equal" dxfId="57">
      <formula>"Not Tested"</formula>
    </cfRule>
    <cfRule type="cellIs" priority="11" operator="equal" dxfId="58">
      <formula>"Not Implemented"</formula>
    </cfRule>
    <cfRule type="cellIs" priority="12" operator="equal" dxfId="59">
      <formula>"NA"</formula>
    </cfRule>
  </conditionalFormatting>
  <dataValidations count="2">
    <dataValidation sqref="H2:H52" showDropDown="0" showInputMessage="0" showErrorMessage="0" allowBlank="1" errorTitle="Invalid Status" error="Your entry is not in the allowed list of statuses" promptTitle="Test Status" prompt="Select execution status" type="list">
      <formula1>"Passed,Failed,Partially Passed,Not Tested,Not Implemented,NA"</formula1>
    </dataValidation>
    <dataValidation sqref="H2:H30" showDropDown="0" showInputMessage="0" showErrorMessage="0" allowBlank="1" type="list">
      <formula1>"Passed,Failed,Partially Passed,Not Tested,Not Implemented,NA"</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37"/>
  <sheetViews>
    <sheetView showGridLines="1" workbookViewId="0">
      <pane ySplit="1" topLeftCell="A2" activePane="bottomLeft" state="frozen"/>
      <selection pane="bottomLeft" activeCell="B2" sqref="B2:B21"/>
    </sheetView>
  </sheetViews>
  <sheetFormatPr baseColWidth="8" defaultRowHeight="14.4"/>
  <cols>
    <col width="20" customWidth="1" min="1" max="1"/>
    <col width="18" customWidth="1" min="2" max="2"/>
    <col width="36" customWidth="1" min="3" max="3"/>
    <col width="14" customWidth="1" min="4" max="4"/>
    <col width="38" customWidth="1" min="5" max="5"/>
    <col width="45" customWidth="1" min="6" max="7"/>
    <col width="45" customWidth="1" min="7" max="7"/>
    <col width="18" customWidth="1" min="8" max="8"/>
    <col width="20" customWidth="1" min="9" max="9"/>
  </cols>
  <sheetData>
    <row r="1" ht="28.05" customHeight="1" thickBot="1">
      <c r="A1" s="34" t="inlineStr">
        <is>
          <t>Subtopic / Category</t>
        </is>
      </c>
      <c r="B1" s="34" t="inlineStr">
        <is>
          <t>TC ID</t>
        </is>
      </c>
      <c r="C1" s="34" t="inlineStr">
        <is>
          <t>Title</t>
        </is>
      </c>
      <c r="D1" s="34" t="inlineStr">
        <is>
          <t>Priority</t>
        </is>
      </c>
      <c r="E1" s="34" t="inlineStr">
        <is>
          <t>Preconditions</t>
        </is>
      </c>
      <c r="F1" s="34" t="inlineStr">
        <is>
          <t>Steps</t>
        </is>
      </c>
      <c r="G1" s="34" t="inlineStr">
        <is>
          <t>Expected Result</t>
        </is>
      </c>
      <c r="H1" s="34" t="inlineStr">
        <is>
          <t>Status</t>
        </is>
      </c>
      <c r="I1" s="34" t="inlineStr">
        <is>
          <t>Test Type</t>
        </is>
      </c>
    </row>
    <row r="2" ht="36" customHeight="1">
      <c r="A2" s="46" t="inlineStr">
        <is>
          <t>Functional</t>
        </is>
      </c>
      <c r="B2" s="47" t="inlineStr">
        <is>
          <t>TC-PTS-01</t>
        </is>
      </c>
      <c r="C2" s="46" t="inlineStr">
        <is>
          <t>Normal Window — File Parses Cleanly</t>
        </is>
      </c>
      <c r="D2" s="47" t="inlineStr">
        <is>
          <t>High</t>
        </is>
      </c>
      <c r="E2" s="46" t="inlineStr">
        <is>
          <t>A scheduled 2-hourly pull window runs against a well-formed ANB PTS file</t>
        </is>
      </c>
      <c r="F2" s="46" t="inlineStr">
        <is>
          <t>1. Trigger the pull for the current date
2. Parse the returned file
3. Inspect the handed-off rows</t>
        </is>
      </c>
      <c r="G2" s="46" t="inlineStr">
        <is>
          <t>Validated rows are handed on to EMI-5989 with full lineage (source_pull_date, source_file_hash).</t>
        </is>
      </c>
      <c r="H2" s="47" t="inlineStr">
        <is>
          <t>NA</t>
        </is>
      </c>
      <c r="I2" s="47" t="inlineStr">
        <is>
          <t>Functional</t>
        </is>
      </c>
    </row>
    <row r="3" ht="36" customHeight="1">
      <c r="A3" s="46" t="inlineStr">
        <is>
          <t>Idempotency</t>
        </is>
      </c>
      <c r="B3" s="47" t="inlineStr">
        <is>
          <t>TC-PTS-02</t>
        </is>
      </c>
      <c r="C3" s="46" t="inlineStr">
        <is>
          <t>Same Date Pulled Twice in Consecutive Windows</t>
        </is>
      </c>
      <c r="D3" s="47" t="inlineStr">
        <is>
          <t>High</t>
        </is>
      </c>
      <c r="E3" s="46" t="inlineStr">
        <is>
          <t>A date has already been pulled and accepted once</t>
        </is>
      </c>
      <c r="F3" s="46" t="inlineStr">
        <is>
          <t>1. Pull the same date again in the next window
2. Inspect row counts and identity keys</t>
        </is>
      </c>
      <c r="G3" s="46" t="inlineStr">
        <is>
          <t>No duplicate rows are produced — this is the normal case (every window re-reads the whole date), not an edge case.</t>
        </is>
      </c>
      <c r="H3" s="47" t="inlineStr">
        <is>
          <t>NA</t>
        </is>
      </c>
      <c r="I3" s="47" t="inlineStr">
        <is>
          <t>Integration</t>
        </is>
      </c>
    </row>
    <row r="4" ht="36" customHeight="1">
      <c r="A4" s="46" t="inlineStr">
        <is>
          <t>Functional</t>
        </is>
      </c>
      <c r="B4" s="47" t="inlineStr">
        <is>
          <t>TC-PTS-03</t>
        </is>
      </c>
      <c r="C4" s="46" t="inlineStr">
        <is>
          <t>Date File Grows Between Windows</t>
        </is>
      </c>
      <c r="D4" s="47" t="inlineStr">
        <is>
          <t>Medium</t>
        </is>
      </c>
      <c r="E4" s="46" t="inlineStr">
        <is>
          <t>A date file has new rows added by ANB between two pull windows</t>
        </is>
      </c>
      <c r="F4" s="46" t="inlineStr">
        <is>
          <t>1. Pull the date, capturing the row set
2. Pull again after new rows are added on ANB's side
3. Compare row sets</t>
        </is>
      </c>
      <c r="G4" s="46" t="inlineStr">
        <is>
          <t>New rows are accepted; existing rows are left untouched.</t>
        </is>
      </c>
      <c r="H4" s="47" t="inlineStr">
        <is>
          <t>NA</t>
        </is>
      </c>
      <c r="I4" s="47" t="inlineStr">
        <is>
          <t>Functional</t>
        </is>
      </c>
    </row>
    <row r="5" ht="36" customHeight="1">
      <c r="A5" s="46" t="inlineStr">
        <is>
          <t>Reliability</t>
        </is>
      </c>
      <c r="B5" s="47" t="inlineStr">
        <is>
          <t>TC-PTS-04</t>
        </is>
      </c>
      <c r="C5" s="46" t="inlineStr">
        <is>
          <t>API Unavailable for Three Consecutive Windows</t>
        </is>
      </c>
      <c r="D5" s="47" t="inlineStr">
        <is>
          <t>High</t>
        </is>
      </c>
      <c r="E5" s="46" t="inlineStr">
        <is>
          <t>The ANB PTS API is made unavailable across three consecutive 2-hourly windows</t>
        </is>
      </c>
      <c r="F5" s="46" t="inlineStr">
        <is>
          <t>1. Simulate three consecutive failed windows
2. Inspect the cursor, alarms and notifications</t>
        </is>
      </c>
      <c r="G5" s="46" t="inlineStr">
        <is>
          <t>Backoff occurs; an Ops alarm AND a Finance notification are both raised (an unpulled statement stalls settlement silently otherwise); the per-date cursor is NOT advanced; catch-up re-pulls on recovery.</t>
        </is>
      </c>
      <c r="H5" s="47" t="inlineStr">
        <is>
          <t>NA</t>
        </is>
      </c>
      <c r="I5" s="47" t="inlineStr">
        <is>
          <t>Functional</t>
        </is>
      </c>
    </row>
    <row r="6" ht="36" customHeight="1">
      <c r="A6" s="46" t="inlineStr">
        <is>
          <t>Validation</t>
        </is>
      </c>
      <c r="B6" s="47" t="inlineStr">
        <is>
          <t>TC-PTS-05</t>
        </is>
      </c>
      <c r="C6" s="46" t="inlineStr">
        <is>
          <t>Row Fails Arithmetic Identity — E24</t>
        </is>
      </c>
      <c r="D6" s="47" t="inlineStr">
        <is>
          <t>Critical</t>
        </is>
      </c>
      <c r="E6" s="46" t="inlineStr">
        <is>
          <t>A row's TOTAL_AMOUNT does not equal AMOUNT + TR_CASH_BACK minus the three deductions</t>
        </is>
      </c>
      <c r="F6" s="46" t="inlineStr">
        <is>
          <t>1. Ingest a row whose components don't reconcile to TOTAL_AMOUNT
2. Inspect the outcome</t>
        </is>
      </c>
      <c r="G6" s="46" t="inlineStr">
        <is>
          <t>E24 raised: the row is quarantined and never handed on to EMI-5989.</t>
        </is>
      </c>
      <c r="H6" s="47" t="inlineStr">
        <is>
          <t>NA</t>
        </is>
      </c>
      <c r="I6" s="47" t="inlineStr">
        <is>
          <t>Negative</t>
        </is>
      </c>
    </row>
    <row r="7" ht="36" customHeight="1">
      <c r="A7" s="46" t="inlineStr">
        <is>
          <t>Validation</t>
        </is>
      </c>
      <c r="B7" s="47" t="inlineStr">
        <is>
          <t>TC-PTS-06</t>
        </is>
      </c>
      <c r="C7" s="46" t="inlineStr">
        <is>
          <t>Mixed-Sign TR_FEE Rows Both Treated as Deductions</t>
        </is>
      </c>
      <c r="D7" s="47" t="inlineStr">
        <is>
          <t>Medium</t>
        </is>
      </c>
      <c r="E7" s="46" t="inlineStr">
        <is>
          <t>One row has TR_FEE positive, the next has TR_FEE negative</t>
        </is>
      </c>
      <c r="F7" s="46" t="inlineStr">
        <is>
          <t>1. Ingest both rows
2. Verify the arithmetic identity check on each</t>
        </is>
      </c>
      <c r="G7" s="46" t="inlineStr">
        <is>
          <t>Both are treated as deductions (absolute value taken); the identity holds on each; no double subtraction occurs.</t>
        </is>
      </c>
      <c r="H7" s="47" t="inlineStr">
        <is>
          <t>NA</t>
        </is>
      </c>
      <c r="I7" s="47" t="inlineStr">
        <is>
          <t>Negative</t>
        </is>
      </c>
    </row>
    <row r="8" ht="36" customHeight="1">
      <c r="A8" s="46" t="inlineStr">
        <is>
          <t>Validation</t>
        </is>
      </c>
      <c r="B8" s="47" t="inlineStr">
        <is>
          <t>TC-PTS-07</t>
        </is>
      </c>
      <c r="C8" s="46" t="inlineStr">
        <is>
          <t>Exact-Decimal Amount Parsing — No Truncation</t>
        </is>
      </c>
      <c r="D8" s="47" t="inlineStr">
        <is>
          <t>High</t>
        </is>
      </c>
      <c r="E8" s="46" t="inlineStr">
        <is>
          <t>A row carries the amount -00000000000000000000.06 (fixed-width, zero-padded, embedded decimal)</t>
        </is>
      </c>
      <c r="F8" s="46" t="inlineStr">
        <is>
          <t>1. Parse the row
2. Inspect the stored amount</t>
        </is>
      </c>
      <c r="G8" s="46" t="inlineStr">
        <is>
          <t>The amount parses to exact decimal minus 0.06; no truncation, no float coercion anywhere in the parse path.</t>
        </is>
      </c>
      <c r="H8" s="47" t="inlineStr">
        <is>
          <t>NA</t>
        </is>
      </c>
      <c r="I8" s="47" t="inlineStr">
        <is>
          <t>Negative</t>
        </is>
      </c>
    </row>
    <row r="9" ht="36" customHeight="1">
      <c r="A9" s="46" t="inlineStr">
        <is>
          <t>Exception</t>
        </is>
      </c>
      <c r="B9" s="47" t="inlineStr">
        <is>
          <t>TC-PTS-08</t>
        </is>
      </c>
      <c r="C9" s="46" t="inlineStr">
        <is>
          <t>Row for TID Not in Registry — E21</t>
        </is>
      </c>
      <c r="D9" s="47" t="inlineStr">
        <is>
          <t>Medium</t>
        </is>
      </c>
      <c r="E9" s="46" t="inlineStr">
        <is>
          <t>A row's TERMINAL_ID is absent from the TID registry</t>
        </is>
      </c>
      <c r="F9" s="46" t="inlineStr">
        <is>
          <t>1. Ingest the row
2. Inspect its handling</t>
        </is>
      </c>
      <c r="G9" s="46" t="inlineStr">
        <is>
          <t>E21 raised: the row is parked and alarmed, but handed on flagged — never silently dropped.</t>
        </is>
      </c>
      <c r="H9" s="47" t="inlineStr">
        <is>
          <t>NA</t>
        </is>
      </c>
      <c r="I9" s="47" t="inlineStr">
        <is>
          <t>Functional</t>
        </is>
      </c>
    </row>
    <row r="10" ht="36" customHeight="1">
      <c r="A10" s="46" t="inlineStr">
        <is>
          <t>Exception</t>
        </is>
      </c>
      <c r="B10" s="47" t="inlineStr">
        <is>
          <t>TC-PTS-09</t>
        </is>
      </c>
      <c r="C10" s="46" t="inlineStr">
        <is>
          <t>Date With No Activity — E20</t>
        </is>
      </c>
      <c r="D10" s="47" t="inlineStr">
        <is>
          <t>Medium</t>
        </is>
      </c>
      <c r="E10" s="46" t="inlineStr">
        <is>
          <t>A pull date returns no rows</t>
        </is>
      </c>
      <c r="F10" s="46" t="inlineStr">
        <is>
          <t>1. Pull a date with no activity
2. Inspect the outcome</t>
        </is>
      </c>
      <c r="G10" s="46" t="inlineStr">
        <is>
          <t>E20 raised (absence is not treated as 'no activity') unless ANB's documented empty-response form is received (O20).</t>
        </is>
      </c>
      <c r="H10" s="47" t="inlineStr">
        <is>
          <t>NA</t>
        </is>
      </c>
      <c r="I10" s="47" t="inlineStr">
        <is>
          <t>Functional</t>
        </is>
      </c>
    </row>
    <row r="11" ht="36" customHeight="1">
      <c r="A11" s="46" t="inlineStr">
        <is>
          <t>Functional</t>
        </is>
      </c>
      <c r="B11" s="47" t="inlineStr">
        <is>
          <t>TC-PTS-10</t>
        </is>
      </c>
      <c r="C11" s="46" t="inlineStr">
        <is>
          <t>Look-Back Window Picks Up a Late-Arriving D+1 Row</t>
        </is>
      </c>
      <c r="D11" s="47" t="inlineStr">
        <is>
          <t>High</t>
        </is>
      </c>
      <c r="E11" s="46" t="inlineStr">
        <is>
          <t>A transaction dated D appears only in the D+1 file (POSTING_DATE is T+1 in ANB's sample)</t>
        </is>
      </c>
      <c r="F11" s="46" t="inlineStr">
        <is>
          <t>1. Pull date D — row absent
2. Pull date D+1 within the look-back window
3. Inspect which LOCALDATE the row is keyed on</t>
        </is>
      </c>
      <c r="G11" s="46" t="inlineStr">
        <is>
          <t>The row is picked up by the look-back window and keyed on its own LOCALDATE, not the pull date it happened to appear in.</t>
        </is>
      </c>
      <c r="H11" s="47" t="inlineStr">
        <is>
          <t>NA</t>
        </is>
      </c>
      <c r="I11" s="47" t="inlineStr">
        <is>
          <t>Functional</t>
        </is>
      </c>
    </row>
    <row r="12" ht="36" customHeight="1">
      <c r="A12" s="46" t="inlineStr">
        <is>
          <t>Exception</t>
        </is>
      </c>
      <c r="B12" s="47" t="inlineStr">
        <is>
          <t>TC-PTS-11</t>
        </is>
      </c>
      <c r="C12" s="46" t="inlineStr">
        <is>
          <t>Identity-Key Collision With Differing Content</t>
        </is>
      </c>
      <c r="D12" s="47" t="inlineStr">
        <is>
          <t>High</t>
        </is>
      </c>
      <c r="E12" s="46" t="inlineStr">
        <is>
          <t>Two rows share TERMINAL_ID + TR_ARF + LOCALDATE but have different content</t>
        </is>
      </c>
      <c r="F12" s="46" t="inlineStr">
        <is>
          <t>1. Ingest both rows
2. Inspect how the collision is handled</t>
        </is>
      </c>
      <c r="G12" s="46" t="inlineStr">
        <is>
          <t>The collision is surfaced explicitly — never silently deduplicated. Ties to O35 (RRN uniqueness per terminal per day not yet guaranteed by ANB).</t>
        </is>
      </c>
      <c r="H12" s="47" t="inlineStr">
        <is>
          <t>NA</t>
        </is>
      </c>
      <c r="I12" s="47" t="inlineStr">
        <is>
          <t>Integration</t>
        </is>
      </c>
    </row>
    <row r="13" ht="36" customHeight="1">
      <c r="A13" s="46" t="inlineStr">
        <is>
          <t>Routing</t>
        </is>
      </c>
      <c r="B13" s="47" t="inlineStr">
        <is>
          <t>TC-PTS-12</t>
        </is>
      </c>
      <c r="C13" s="46" t="inlineStr">
        <is>
          <t>ECOM Channel Row Parked — E26</t>
        </is>
      </c>
      <c r="D13" s="47" t="inlineStr">
        <is>
          <t>Medium</t>
        </is>
      </c>
      <c r="E13" s="46" t="inlineStr">
        <is>
          <t>A row carries CHANNEL=ECOM (ECOM is out of scope pending O38)</t>
        </is>
      </c>
      <c r="F13" s="46" t="inlineStr">
        <is>
          <t>1. Ingest the row
2. Inspect its handling</t>
        </is>
      </c>
      <c r="G13" s="46" t="inlineStr">
        <is>
          <t>E26 raised: the row is parked pending O38 — not silently accepted, not silently dropped.</t>
        </is>
      </c>
      <c r="H13" s="47" t="inlineStr">
        <is>
          <t>NA</t>
        </is>
      </c>
      <c r="I13" s="47" t="inlineStr">
        <is>
          <t>Functional</t>
        </is>
      </c>
    </row>
    <row r="14" ht="36" customHeight="1">
      <c r="A14" s="46" t="inlineStr">
        <is>
          <t>Validation</t>
        </is>
      </c>
      <c r="B14" s="47" t="inlineStr">
        <is>
          <t>TC-PTS-13</t>
        </is>
      </c>
      <c r="C14" s="46" t="inlineStr">
        <is>
          <t>mada Scheme With Empty ARN Accepted Normally</t>
        </is>
      </c>
      <c r="D14" s="47" t="inlineStr">
        <is>
          <t>Low</t>
        </is>
      </c>
      <c r="E14" s="46" t="inlineStr">
        <is>
          <t>A row has SCHEME=mada and an empty ARN field</t>
        </is>
      </c>
      <c r="F14" s="46" t="inlineStr">
        <is>
          <t>1. Ingest the row
2. Inspect acceptance</t>
        </is>
      </c>
      <c r="G14" s="46" t="inlineStr">
        <is>
          <t>The row is accepted normally; ARN is never required (ANB state it isn't populated for mada or GCC) and is never used as a key.</t>
        </is>
      </c>
      <c r="H14" s="47" t="inlineStr">
        <is>
          <t>NA</t>
        </is>
      </c>
      <c r="I14" s="47" t="inlineStr">
        <is>
          <t>Negative</t>
        </is>
      </c>
    </row>
    <row r="15" ht="36" customHeight="1">
      <c r="A15" s="46" t="inlineStr">
        <is>
          <t>Validation</t>
        </is>
      </c>
      <c r="B15" s="47" t="inlineStr">
        <is>
          <t>TC-PTS-14</t>
        </is>
      </c>
      <c r="C15" s="46" t="inlineStr">
        <is>
          <t>TR_SLIP Carried Byte-for-Byte</t>
        </is>
      </c>
      <c r="D15" s="47" t="inlineStr">
        <is>
          <t>High</t>
        </is>
      </c>
      <c r="E15" s="46" t="inlineStr">
        <is>
          <t>A row's TR_SLIP has leading zeros or unusual padding</t>
        </is>
      </c>
      <c r="F15" s="46" t="inlineStr">
        <is>
          <t>1. Ingest the row
2. Inspect the TR_SLIP value handed to EMI-5989</t>
        </is>
      </c>
      <c r="G15" s="46" t="inlineStr">
        <is>
          <t>TR_SLIP is carried through byte-for-byte — never normalised, padded or trimmed by this story.</t>
        </is>
      </c>
      <c r="H15" s="47" t="inlineStr">
        <is>
          <t>NA</t>
        </is>
      </c>
      <c r="I15" s="47" t="inlineStr">
        <is>
          <t>Negative</t>
        </is>
      </c>
    </row>
    <row r="16" ht="36" customHeight="1">
      <c r="A16" s="46" t="inlineStr">
        <is>
          <t>Lifecycle</t>
        </is>
      </c>
      <c r="B16" s="47" t="inlineStr">
        <is>
          <t>TC-PTS-15</t>
        </is>
      </c>
      <c r="C16" s="46" t="inlineStr">
        <is>
          <t>Date Closes Out After N Stable Pulls Into D+1</t>
        </is>
      </c>
      <c r="D16" s="47" t="inlineStr">
        <is>
          <t>High</t>
        </is>
      </c>
      <c r="E16" s="46" t="inlineStr">
        <is>
          <t>A date's row content and count stop changing across N consecutive pulls, and D+1 has begun</t>
        </is>
      </c>
      <c r="F16" s="46" t="inlineStr">
        <is>
          <t>1. Observe a date stabilise across N pulls
2. Confirm close-out
3. Inspect what is published to EMI-5989</t>
        </is>
      </c>
      <c r="G16" s="46" t="inlineStr">
        <is>
          <t>The date is marked closed; row count and totals are frozen as the baseline; close-out state is published to EMI-5989.</t>
        </is>
      </c>
      <c r="H16" s="47" t="inlineStr">
        <is>
          <t>NA</t>
        </is>
      </c>
      <c r="I16" s="47" t="inlineStr">
        <is>
          <t>Functional</t>
        </is>
      </c>
    </row>
    <row r="17" ht="36" customHeight="1">
      <c r="A17" s="46" t="inlineStr">
        <is>
          <t>Reliability</t>
        </is>
      </c>
      <c r="B17" s="47" t="inlineStr">
        <is>
          <t>TC-PTS-16</t>
        </is>
      </c>
      <c r="C17" s="46" t="inlineStr">
        <is>
          <t>Whole-Day Outage Recovered by Catch-Up</t>
        </is>
      </c>
      <c r="D17" s="47" t="inlineStr">
        <is>
          <t>High</t>
        </is>
      </c>
      <c r="E17" s="46" t="inlineStr">
        <is>
          <t>The ANB PTS API is unavailable for an entire day</t>
        </is>
      </c>
      <c r="F17" s="46" t="inlineStr">
        <is>
          <t>1. Simulate a full-day outage
2. Restore availability
3. Run the catch-up job</t>
        </is>
      </c>
      <c r="G17" s="46" t="inlineStr">
        <is>
          <t>Catch-up re-pulls the entire look-back window within one cut-off cycle, rate-limited so it does not starve the live window.</t>
        </is>
      </c>
      <c r="H17" s="47" t="inlineStr">
        <is>
          <t>NA</t>
        </is>
      </c>
      <c r="I17" s="47" t="inlineStr">
        <is>
          <t>Functional</t>
        </is>
      </c>
    </row>
    <row r="18" ht="36" customHeight="1">
      <c r="A18" s="46" t="inlineStr">
        <is>
          <t>Idempotency</t>
        </is>
      </c>
      <c r="B18" s="47" t="inlineStr">
        <is>
          <t>TC-PTS-17</t>
        </is>
      </c>
      <c r="C18" s="46" t="inlineStr">
        <is>
          <t>Full Re-Run End to End Is Fully Idempotent</t>
        </is>
      </c>
      <c r="D18" s="47" t="inlineStr">
        <is>
          <t>Critical</t>
        </is>
      </c>
      <c r="E18" s="46" t="inlineStr">
        <is>
          <t>A representative multi-day period has already been fully ingested</t>
        </is>
      </c>
      <c r="F18" s="46" t="inlineStr">
        <is>
          <t>1. Re-run the entire pull/parse/validate/archive pipeline over the same period
2. Compare before/after row and exception counts</t>
        </is>
      </c>
      <c r="G18" s="46" t="inlineStr">
        <is>
          <t>No duplicates appear anywhere — the pipeline is fully idempotent end to end.</t>
        </is>
      </c>
      <c r="H18" s="47" t="inlineStr">
        <is>
          <t>NA</t>
        </is>
      </c>
      <c r="I18" s="47" t="inlineStr">
        <is>
          <t>Integration</t>
        </is>
      </c>
    </row>
    <row r="19" ht="36" customHeight="1">
      <c r="A19" s="46" t="inlineStr">
        <is>
          <t>Security</t>
        </is>
      </c>
      <c r="B19" s="47" t="inlineStr">
        <is>
          <t>TC-PTS-18</t>
        </is>
      </c>
      <c r="C19" s="46" t="inlineStr">
        <is>
          <t>Authentication Beyond x-cif — BLOCKED (O32)</t>
        </is>
      </c>
      <c r="D19" s="47" t="inlineStr">
        <is>
          <t>High</t>
        </is>
      </c>
      <c r="E19" s="46" t="inlineStr">
        <is>
          <t>O32 (authentication scheme beyond the x-cif header) has not been answered by ANB</t>
        </is>
      </c>
      <c r="F19" s="46" t="inlineStr">
        <is>
          <t>1. Once O32 is answered, verify the documented authentication mechanism is enforced
2. Confirm x-cif alone is never treated as authenticating the caller</t>
        </is>
      </c>
      <c r="G19" s="46" t="inlineStr">
        <is>
          <t>BLOCKED until O32 is answered. The story is explicit that 'x-cif identifies us, it does not authenticate us' — this must not be silently treated as sufficient auth.</t>
        </is>
      </c>
      <c r="H19" s="47" t="inlineStr">
        <is>
          <t>NA</t>
        </is>
      </c>
      <c r="I19" s="47" t="inlineStr">
        <is>
          <t>Security</t>
        </is>
      </c>
    </row>
    <row r="20" ht="36" customHeight="1">
      <c r="A20" s="46" t="inlineStr">
        <is>
          <t>Validation</t>
        </is>
      </c>
      <c r="B20" s="47" t="inlineStr">
        <is>
          <t>TC-PTS-19</t>
        </is>
      </c>
      <c r="C20" s="46" t="inlineStr">
        <is>
          <t>Physical File Format — BLOCKED (O36)</t>
        </is>
      </c>
      <c r="D20" s="47" t="inlineStr">
        <is>
          <t>High</t>
        </is>
      </c>
      <c r="E20" s="46" t="inlineStr">
        <is>
          <t>O36 (the physical file format: delimiter, encoding, header/trailer, line terminator) has not been answered by ANB</t>
        </is>
      </c>
      <c r="F20" s="46" t="inlineStr">
        <is>
          <t>1. Once O36 is answered, verify the format adapter parses the real format correctly
2. Confirm amounts are parsed by content, never by fixed offset (ANB's own Length column contradicts its description)</t>
        </is>
      </c>
      <c r="G20" s="46" t="inlineStr">
        <is>
          <t>BLOCKED until O36 is answered; build behind a format adapter in the meantime. This is the single most build-blocking open item in the story.</t>
        </is>
      </c>
      <c r="H20" s="47" t="inlineStr">
        <is>
          <t>NA</t>
        </is>
      </c>
      <c r="I20" s="47" t="inlineStr">
        <is>
          <t>Negative</t>
        </is>
      </c>
    </row>
    <row r="21" ht="36" customHeight="1">
      <c r="A21" s="46" t="inlineStr">
        <is>
          <t>Validation</t>
        </is>
      </c>
      <c r="B21" s="47" t="inlineStr">
        <is>
          <t>TC-PTS-20</t>
        </is>
      </c>
      <c r="C21" s="46" t="inlineStr">
        <is>
          <t>Whole-File Rejection on Parse Failure — No Partial Ingestion</t>
        </is>
      </c>
      <c r="D21" s="47" t="inlineStr">
        <is>
          <t>High</t>
        </is>
      </c>
      <c r="E21" s="46" t="inlineStr">
        <is>
          <t>A file cannot be parsed (structurally broken)</t>
        </is>
      </c>
      <c r="F21" s="46" t="inlineStr">
        <is>
          <t>1. Submit an unparsable file for a pull window
2. Inspect what, if anything, is ingested</t>
        </is>
      </c>
      <c r="G21" s="46" t="inlineStr">
        <is>
          <t>E22 raised: the whole file is rejected, re-pull is scheduled, and an alarm fires. There is no 'take the good rows' path — a half-ingested file is treated as worse than no file.</t>
        </is>
      </c>
      <c r="H21" s="47" t="inlineStr">
        <is>
          <t>NA</t>
        </is>
      </c>
      <c r="I21" s="47" t="inlineStr">
        <is>
          <t>Negative</t>
        </is>
      </c>
    </row>
    <row r="22" ht="36" customHeight="1">
      <c r="A22" s="46" t="inlineStr">
        <is>
          <t>Reliability</t>
        </is>
      </c>
      <c r="B22" s="47" t="inlineStr">
        <is>
          <t>TC-PTS-21</t>
        </is>
      </c>
      <c r="C22" s="46" t="inlineStr">
        <is>
          <t>Whole-Day Outage Recovered by Catch-Up</t>
        </is>
      </c>
      <c r="D22" s="47" t="inlineStr">
        <is>
          <t>High</t>
        </is>
      </c>
      <c r="E22" s="46" t="inlineStr">
        <is>
          <t>The ANB PTS API is unavailable for an entire day</t>
        </is>
      </c>
      <c r="F22" s="46" t="inlineStr">
        <is>
          <t>1. Simulate a full-day outage
2. Restore availability
3. Run catch-up</t>
        </is>
      </c>
      <c r="G22" s="46" t="inlineStr">
        <is>
          <t>Catch-up re-pulls every date in the look-back window on recovery, rate-limited so it does not starve the live/current-night window, rather than waiting for the next scheduled 23:30 slot.</t>
        </is>
      </c>
      <c r="H22" s="47" t="inlineStr">
        <is>
          <t>Not Tested</t>
        </is>
      </c>
      <c r="I22" s="47" t="inlineStr">
        <is>
          <t>Functional</t>
        </is>
      </c>
    </row>
    <row r="23" ht="36" customHeight="1">
      <c r="A23" s="46" t="inlineStr">
        <is>
          <t>Idempotency</t>
        </is>
      </c>
      <c r="B23" s="47" t="inlineStr">
        <is>
          <t>TC-PTS-22</t>
        </is>
      </c>
      <c r="C23" s="46" t="inlineStr">
        <is>
          <t>Full Re-Run End to End Is Fully Idempotent</t>
        </is>
      </c>
      <c r="D23" s="47" t="inlineStr">
        <is>
          <t>Critical</t>
        </is>
      </c>
      <c r="E23" s="46" t="inlineStr">
        <is>
          <t>A representative multi-day period has already been fully ingested</t>
        </is>
      </c>
      <c r="F23" s="46" t="inlineStr">
        <is>
          <t>1. Re-run the entire pull/parse/validate/archive pipeline over the same period
2. Compare before/after row and exception counts</t>
        </is>
      </c>
      <c r="G23" s="46" t="inlineStr">
        <is>
          <t>No duplicates appear anywhere — the pipeline is fully idempotent end to end.</t>
        </is>
      </c>
      <c r="H23" s="47" t="inlineStr">
        <is>
          <t>Not Tested</t>
        </is>
      </c>
      <c r="I23" s="47" t="inlineStr">
        <is>
          <t>Integration</t>
        </is>
      </c>
    </row>
    <row r="24" ht="36" customHeight="1">
      <c r="A24" s="46" t="inlineStr">
        <is>
          <t>Validation</t>
        </is>
      </c>
      <c r="B24" s="47" t="inlineStr">
        <is>
          <t>TC-PTS-23</t>
        </is>
      </c>
      <c r="C24" s="46" t="inlineStr">
        <is>
          <t>Header Normalisation — Double Space, Typo, En Dash</t>
        </is>
      </c>
      <c r="D24" s="47" t="inlineStr">
        <is>
          <t>High</t>
        </is>
      </c>
      <c r="E24" s="46" t="inlineStr">
        <is>
          <t>ANB's header row contains known quirks: "Client  ID" (double space), "Oder id" (typo), "MSP - Name" (non-ASCII en dash) — or ANB silently fixes one of them</t>
        </is>
      </c>
      <c r="F24" s="46" t="inlineStr">
        <is>
          <t>1. Ingest a file with the headers in their current (quirky) form
2. Ingest a file where ANB has silently corrected one header
3. Inspect mapping in both cases</t>
        </is>
      </c>
      <c r="G24" s="46" t="inlineStr">
        <is>
          <t>Headers are matched normalised (case, whitespace, dash characters) in both cases, never literally. A silent ANB fix to any of these headers must not break ingestion.</t>
        </is>
      </c>
      <c r="H24" s="47" t="inlineStr">
        <is>
          <t>Not Tested</t>
        </is>
      </c>
      <c r="I24" s="47" t="inlineStr">
        <is>
          <t>Negative</t>
        </is>
      </c>
    </row>
    <row r="25" ht="36" customHeight="1">
      <c r="A25" s="46" t="inlineStr">
        <is>
          <t>Validation</t>
        </is>
      </c>
      <c r="B25" s="47" t="inlineStr">
        <is>
          <t>TC-PTS-24</t>
        </is>
      </c>
      <c r="C25" s="46" t="inlineStr">
        <is>
          <t>Unrecognised Header Column — E22</t>
        </is>
      </c>
      <c r="D25" s="47" t="inlineStr">
        <is>
          <t>High</t>
        </is>
      </c>
      <c r="E25" s="46" t="inlineStr">
        <is>
          <t>The header row contains a column that cannot be mapped to the handover contract</t>
        </is>
      </c>
      <c r="F25" s="46" t="inlineStr">
        <is>
          <t>1. Ingest a file with an unmappable/unrecognised header
2. Inspect the outcome</t>
        </is>
      </c>
      <c r="G25" s="46" t="inlineStr">
        <is>
          <t>E22 is raised: the whole file is rejected loudly, re-pull is scheduled, and an alarm fires. The column is never silently ignored.</t>
        </is>
      </c>
      <c r="H25" s="47" t="inlineStr">
        <is>
          <t>Not Tested</t>
        </is>
      </c>
      <c r="I25" s="47" t="inlineStr">
        <is>
          <t>Negative</t>
        </is>
      </c>
    </row>
    <row r="26" ht="36" customHeight="1">
      <c r="A26" s="46" t="inlineStr">
        <is>
          <t>Validation</t>
        </is>
      </c>
      <c r="B26" s="47" t="inlineStr">
        <is>
          <t>TC-PTS-25</t>
        </is>
      </c>
      <c r="C26" s="46" t="inlineStr">
        <is>
          <t>Cross-Currency Row Requires a Conversion Rate — E24</t>
        </is>
      </c>
      <c r="D26" s="47" t="inlineStr">
        <is>
          <t>Medium</t>
        </is>
      </c>
      <c r="E26" s="46" t="inlineStr">
        <is>
          <t>A row's Currency differs from its Settlement Currency</t>
        </is>
      </c>
      <c r="F26" s="46" t="inlineStr">
        <is>
          <t>1. Ingest a cross-currency row with a present, non-zero Conversion Rate
2. Ingest a cross-currency row with an absent or zero Conversion Rate</t>
        </is>
      </c>
      <c r="G26" s="46" t="inlineStr">
        <is>
          <t>The first is accepted normally. The second raises E24. Every sample row today is SAR-to-SAR at rate 1, so this path is otherwise entirely untested against real data.</t>
        </is>
      </c>
      <c r="H26" s="47" t="inlineStr">
        <is>
          <t>Not Tested</t>
        </is>
      </c>
      <c r="I26" s="47" t="inlineStr">
        <is>
          <t>Edge / Boundary</t>
        </is>
      </c>
    </row>
    <row r="27" ht="36" customHeight="1">
      <c r="A27" s="46" t="inlineStr">
        <is>
          <t>Configuration</t>
        </is>
      </c>
      <c r="B27" s="47" t="inlineStr">
        <is>
          <t>TC-PTS-26</t>
        </is>
      </c>
      <c r="C27" s="46" t="inlineStr">
        <is>
          <t>Schedule Changed by Configuration, Not Release</t>
        </is>
      </c>
      <c r="D27" s="47" t="inlineStr">
        <is>
          <t>Medium</t>
        </is>
      </c>
      <c r="E27" s="46" t="inlineStr">
        <is>
          <t>The nightly run time, timezone, look-back days, retry policy/window and close-out N are all currently set to their defaults</t>
        </is>
      </c>
      <c r="F27" s="46" t="inlineStr">
        <is>
          <t>1. Change the run time and timezone via configuration
2. Confirm the change takes effect on the next scheduled run
3. Confirm no code deployment was required</t>
        </is>
      </c>
      <c r="G27" s="46" t="inlineStr">
        <is>
          <t>The new schedule takes effect without a release. No hardcoded 23:30 (or any other time) exists anywhere in the code.</t>
        </is>
      </c>
      <c r="H27" s="47" t="inlineStr">
        <is>
          <t>Not working
https://digitalcash.atlassian.net/browse/EMI-6043</t>
        </is>
      </c>
      <c r="I27" s="47" t="inlineStr">
        <is>
          <t>Configuration</t>
        </is>
      </c>
    </row>
    <row r="28" ht="36" customHeight="1">
      <c r="A28" s="46" t="inlineStr">
        <is>
          <t>Functional</t>
        </is>
      </c>
      <c r="B28" s="47" t="inlineStr">
        <is>
          <t>TC-PTS-27</t>
        </is>
      </c>
      <c r="C28" s="46" t="inlineStr">
        <is>
          <t>Empty Terminal Master-Data Columns Do Not Gate Ingestion</t>
        </is>
      </c>
      <c r="D28" s="47" t="inlineStr">
        <is>
          <t>Low</t>
        </is>
      </c>
      <c r="E28" s="46" t="inlineStr">
        <is>
          <t>A row's terminal master-data columns (Terminal Status, Last Transaction Date, Terminal Model, MSP-Name, Registration Date, Location, City, Branch) are all empty, as in every sample row</t>
        </is>
      </c>
      <c r="F28" s="46" t="inlineStr">
        <is>
          <t>1. Ingest the row
2. Inspect whether ingestion or settlement is affected</t>
        </is>
      </c>
      <c r="G28" s="46" t="inlineStr">
        <is>
          <t>Ingestion is unaffected. These columns are captured for reporting only and never gate settlement.</t>
        </is>
      </c>
      <c r="H28" s="47" t="inlineStr">
        <is>
          <t>Not Tested</t>
        </is>
      </c>
      <c r="I28" s="47" t="inlineStr">
        <is>
          <t>Functional</t>
        </is>
      </c>
    </row>
    <row r="29" ht="36" customHeight="1">
      <c r="A29" s="46" t="inlineStr">
        <is>
          <t>Validation</t>
        </is>
      </c>
      <c r="B29" s="47" t="inlineStr">
        <is>
          <t>TC-PTS-28</t>
        </is>
      </c>
      <c r="C29" s="46" t="inlineStr">
        <is>
          <t>Whole-File Rejection on Parse Failure — No Partial Ingestion</t>
        </is>
      </c>
      <c r="D29" s="47" t="inlineStr">
        <is>
          <t>High</t>
        </is>
      </c>
      <c r="E29" s="46" t="inlineStr">
        <is>
          <t>A file cannot be parsed (structurally broken, or fails halfway through)</t>
        </is>
      </c>
      <c r="F29" s="46" t="inlineStr">
        <is>
          <t>1. Submit an unparsable file, or one that fails partway through parsing, for a scheduled pull
2. Inspect what, if anything, is ingested and whether the cursor moved</t>
        </is>
      </c>
      <c r="G29" s="46" t="inlineStr">
        <is>
          <t>E22 is raised: nothing is handed on and the per-date cursor does not move. There is no "take the good rows" path — a half-ingested file looks complete and is treated as worse than no file at all.</t>
        </is>
      </c>
      <c r="H29" s="47" t="inlineStr">
        <is>
          <t>https://digitalcash.atlassian.net/browse/EMI-6061</t>
        </is>
      </c>
      <c r="I29" s="47" t="inlineStr">
        <is>
          <t>Negative</t>
        </is>
      </c>
    </row>
    <row r="30" ht="36" customHeight="1">
      <c r="A30" s="46" t="inlineStr">
        <is>
          <t>Ops/Reporting</t>
        </is>
      </c>
      <c r="B30" s="47" t="inlineStr">
        <is>
          <t>TC-PTS-29</t>
        </is>
      </c>
      <c r="C30" s="46" t="inlineStr">
        <is>
          <t>Run Monitor Distinguishes "Did Not Run" From "Ran, Found Nothing"</t>
        </is>
      </c>
      <c r="D30" s="47" t="inlineStr">
        <is>
          <t>High</t>
        </is>
      </c>
      <c r="E30" s="46" t="inlineStr">
        <is>
          <t>A night passes during which the scheduled job never fires (vs. a night where it fires and finds no data)</t>
        </is>
      </c>
      <c r="F30" s="46" t="inlineStr">
        <is>
          <t>1. Simulate a night where the scheduler itself does not fire
2. Simulate a separate night where it fires but the pull returns no data
3. Compare what the Ops run-monitor screen shows for each</t>
        </is>
      </c>
      <c r="G30" s="46" t="inlineStr">
        <is>
          <t>The screen visibly distinguishes "did not run" from "ran and found nothing" — not only in the alert text. A missed nightly run is a business event, not an infrastructure blip, and only the "did not run" case pages.</t>
        </is>
      </c>
      <c r="H30" s="47" t="inlineStr">
        <is>
          <t>Not Tested</t>
        </is>
      </c>
      <c r="I30" s="47" t="inlineStr">
        <is>
          <t>Reporting</t>
        </is>
      </c>
    </row>
    <row r="31" ht="36" customHeight="1">
      <c r="A31" s="46" t="inlineStr">
        <is>
          <t>Boundary</t>
        </is>
      </c>
      <c r="B31" s="47" t="inlineStr">
        <is>
          <t>TC-PTS-30</t>
        </is>
      </c>
      <c r="C31" s="46" t="inlineStr">
        <is>
          <t>No Ledger Write Occurs During PTS Ingestion</t>
        </is>
      </c>
      <c r="D31" s="47" t="inlineStr">
        <is>
          <t>Critical</t>
        </is>
      </c>
      <c r="E31" s="46" t="inlineStr">
        <is>
          <t>A valid and fully validated PTS transaction is available for ingestion.</t>
        </is>
      </c>
      <c r="F31" s="46" t="inlineStr">
        <is>
          <t>1. Ingest the valid PTS transaction.
2. Trace the backend flow and review application logs.
3. Verify the transaction reaches Settlement Grouping &amp; Gate 1.
4. Check whether any ledger write, cash-in aggregation, or ANB /transactions call is triggered
5. Verify the transaction is not written directly to the Ledger as part of the PTS ingestion flow</t>
        </is>
      </c>
      <c r="G31" s="46" t="inlineStr">
        <is>
          <t>No such path exists anywhere in this story. It ends at a validated row handed to Settlement Grouping &amp; Gate 1; grouping, Gate 1, the aggregated cash-in and anything ledger-bearing belong to Settlement Grouping &amp; Gate 1, and matching/MT940 parsing belongs to EMI-5920.</t>
        </is>
      </c>
      <c r="H31" s="47" t="inlineStr">
        <is>
          <t>Not Tested</t>
        </is>
      </c>
      <c r="I31" s="47" t="inlineStr">
        <is>
          <t>Integration</t>
        </is>
      </c>
    </row>
    <row r="32" ht="36" customHeight="1">
      <c r="A32" s="46" t="inlineStr">
        <is>
          <t>Validation</t>
        </is>
      </c>
      <c r="B32" s="47" t="inlineStr">
        <is>
          <t>TC-PTS-31</t>
        </is>
      </c>
      <c r="C32" s="46" t="inlineStr">
        <is>
          <t>No VAT-Derived Assertion Exists in the Validation Code</t>
        </is>
      </c>
      <c r="D32" s="47" t="inlineStr">
        <is>
          <t>Medium</t>
        </is>
      </c>
      <c r="E32" s="46" t="inlineStr">
        <is>
          <t>Vat_Amt is not a consistent percentage of the other fee columns across sample rows (1.5 against fees of 3.5 in one row, 5 against 15 in another — neither reduces to a consistent rate)</t>
        </is>
      </c>
      <c r="F32" s="46" t="inlineStr">
        <is>
          <t>1. Review the validation/parse code path for any rule that derives or checks Vat_Amt against a percentage or formula
2. Confirm none exists</t>
        </is>
      </c>
      <c r="G32" s="46" t="inlineStr">
        <is>
          <t>No VAT-derived assertion is present anywhere in code. Per O47 (open), the gross-to-net bridge cannot be explained without ANB clarifying how Vat_Amt is derived, so none may be added until it is answered.</t>
        </is>
      </c>
      <c r="H32" s="47" t="inlineStr">
        <is>
          <t>Not Tested</t>
        </is>
      </c>
      <c r="I32" s="47" t="inlineStr">
        <is>
          <t>Negative</t>
        </is>
      </c>
    </row>
    <row r="33" ht="36" customHeight="1">
      <c r="A33" s="46" t="inlineStr">
        <is>
          <t>Security</t>
        </is>
      </c>
      <c r="B33" s="47" t="inlineStr">
        <is>
          <t>TC-PTS-32</t>
        </is>
      </c>
      <c r="C33" s="46" t="inlineStr">
        <is>
          <t>Authentication Beyond x-cif — BLOCKED (O32)</t>
        </is>
      </c>
      <c r="D33" s="47" t="inlineStr">
        <is>
          <t>High</t>
        </is>
      </c>
      <c r="E33" s="46" t="inlineStr">
        <is>
          <t>O32 (the authentication scheme beyond the x-cif header) has not been answered by ANB</t>
        </is>
      </c>
      <c r="F33" s="46" t="inlineStr">
        <is>
          <t>1. Once O32 is answered, verify the documented authentication mechanism is enforced
2. Confirm x-cif alone is never treated as authenticating the caller</t>
        </is>
      </c>
      <c r="G33" s="46" t="inlineStr">
        <is>
          <t>BLOCKED until O32 is answered. The story is explicit that "x-cif identifies us, it does not authenticate us" — this must not be silently treated as sufficient auth.</t>
        </is>
      </c>
      <c r="H33" s="47" t="inlineStr">
        <is>
          <t>Not Tested</t>
        </is>
      </c>
      <c r="I33" s="47" t="inlineStr">
        <is>
          <t>Security</t>
        </is>
      </c>
    </row>
    <row r="34" ht="36" customHeight="1">
      <c r="A34" s="46" t="inlineStr">
        <is>
          <t>Validation</t>
        </is>
      </c>
      <c r="B34" s="47" t="inlineStr">
        <is>
          <t>TC-PTS-33</t>
        </is>
      </c>
      <c r="C34" s="46" t="inlineStr">
        <is>
          <t>Date Filter Basis (Txn Date/Time vs. Settlement Date) — BLOCKED (O33)</t>
        </is>
      </c>
      <c r="D34" s="47" t="inlineStr">
        <is>
          <t>High</t>
        </is>
      </c>
      <c r="E34" s="46" t="inlineStr">
        <is>
          <t>O33 (whether the pull's date filter applies to Txn Date/Time or Settlement Date) has not been confirmed by ANB</t>
        </is>
      </c>
      <c r="F34" s="46" t="inlineStr">
        <is>
          <t>1. Once O33 is confirmed, verify the pull's date-filter adapter uses the correct field
2. Confirm the window was widened rather than assumed narrow while this was unconfirmed</t>
        </is>
      </c>
      <c r="G34" s="46" t="inlineStr">
        <is>
          <t>BLOCKED until O33 is confirmed. A 23:30 run sits directly on the day boundary, so a wrong assumption here shifts a whole day of rows; implemented behind an adapter in the meantime.</t>
        </is>
      </c>
      <c r="H34" s="47" t="inlineStr">
        <is>
          <t>Not Tested</t>
        </is>
      </c>
      <c r="I34" s="47" t="inlineStr">
        <is>
          <t>Edge / Boundary</t>
        </is>
      </c>
    </row>
    <row r="35" ht="36" customHeight="1">
      <c r="A35" s="46" t="inlineStr">
        <is>
          <t>Validation</t>
        </is>
      </c>
      <c r="B35" s="47" t="inlineStr">
        <is>
          <t>TC-PTS-34</t>
        </is>
      </c>
      <c r="C35" s="46" t="inlineStr">
        <is>
          <t>Physical Delivery/File Format — BLOCKED (O36)</t>
        </is>
      </c>
      <c r="D35" s="47" t="inlineStr">
        <is>
          <t>High</t>
        </is>
      </c>
      <c r="E35" s="46" t="inlineStr">
        <is>
          <t>O36 (the physical delivery format — CSV, XLSX, JSON or fixed-width) has not been confirmed by ANB</t>
        </is>
      </c>
      <c r="F35" s="46" t="inlineStr">
        <is>
          <t>1. Once O36 is confirmed, verify the format adapter parses the real delivered format correctly
2. Confirm the field-mapping logic is unchanged regardless of which format was ultimately chosen</t>
        </is>
      </c>
      <c r="G35" s="46" t="inlineStr">
        <is>
          <t>BLOCKED until O36 is confirmed; build behind a format adapter in the meantime so the mapping layer never has to change. The sample arrived as a spreadsheet, which is how it was shared, not necessarily how it will be delivered.</t>
        </is>
      </c>
      <c r="H35" s="47" t="inlineStr">
        <is>
          <t>Not Tested</t>
        </is>
      </c>
      <c r="I35" s="47" t="inlineStr">
        <is>
          <t>Negative</t>
        </is>
      </c>
    </row>
    <row r="36" ht="36" customHeight="1">
      <c r="A36" s="46" t="inlineStr">
        <is>
          <t>Functional</t>
        </is>
      </c>
      <c r="B36" s="47" t="inlineStr">
        <is>
          <t>TC-PTS-35</t>
        </is>
      </c>
      <c r="C36" s="46" t="inlineStr">
        <is>
          <t>Refund Handling Path — BLOCKED (O43)</t>
        </is>
      </c>
      <c r="D36" s="47" t="inlineStr">
        <is>
          <t>High</t>
        </is>
      </c>
      <c r="E36" s="46" t="inlineStr">
        <is>
          <t>O43 (how a refund ever settles, given ANB confirm the PTS carries no refunded transactions) has not been answered by ANB</t>
        </is>
      </c>
      <c r="F36" s="46" t="inlineStr">
        <is>
          <t>1. Once O43 is answered, verify refunds are handled via the confirmed mechanism (net-at-source, Adjustment Type columns, a separate file, or explicitly not at all)
2. Confirm the safeguarding line reconciles under the confirmed model</t>
        </is>
      </c>
      <c r="G36" s="46" t="inlineStr">
        <is>
          <t>BLOCKED until O43 is answered. Until then, a merchant refund's value is not visibly accounted for anywhere in this workstream, which is a live risk to the safeguarding reconciliation.</t>
        </is>
      </c>
      <c r="H36" s="47" t="inlineStr">
        <is>
          <t>Not Tested</t>
        </is>
      </c>
      <c r="I36" s="47" t="inlineStr">
        <is>
          <t>Functional</t>
        </is>
      </c>
    </row>
    <row r="37" ht="36" customHeight="1">
      <c r="A37" s="46" t="inlineStr">
        <is>
          <t>Non-Functional</t>
        </is>
      </c>
      <c r="B37" s="47" t="inlineStr">
        <is>
          <t>TC-PTS-36</t>
        </is>
      </c>
      <c r="C37" s="46" t="inlineStr">
        <is>
          <t>Nightly Chain Fits Before the ACH Cut-Off — BLOCKED (O52)</t>
        </is>
      </c>
      <c r="D37" s="47" t="inlineStr">
        <is>
          <t>High</t>
        </is>
      </c>
      <c r="E37" s="46" t="inlineStr">
        <is>
          <t>O52 (whether the full nightly sequence — pull, parse, group, screen, match, cut off, instruct — fits inside one night and lands before ANB's ACH cut-off, O8) has not been confirmed</t>
        </is>
      </c>
      <c r="F37" s="46" t="inlineStr">
        <is>
          <t>1. Once O52 is confirmed, time the full nightly chain end to end from the 23:30 pull through to the ACH instruction
2. Confirm it completes with headroom before the ACH cut-off</t>
        </is>
      </c>
      <c r="G37" s="46" t="inlineStr">
        <is>
          <t>BLOCKED until O52 is confirmed. The schedule has to be designed backwards from the ACH cut-off, not forwards from the pull — a 23:30 pull that finishes after the outbound cut-off delays every merchant by a day.</t>
        </is>
      </c>
      <c r="H37" s="47" t="inlineStr">
        <is>
          <t>Not Tested</t>
        </is>
      </c>
      <c r="I37" s="47" t="inlineStr">
        <is>
          <t>Performance / NFR</t>
        </is>
      </c>
    </row>
  </sheetData>
  <autoFilter ref="A1:I37"/>
  <conditionalFormatting sqref="H2:H37">
    <cfRule type="cellIs" priority="7" operator="equal" dxfId="54">
      <formula>"Passed"</formula>
    </cfRule>
    <cfRule type="cellIs" priority="8" operator="equal" dxfId="55">
      <formula>"Failed"</formula>
    </cfRule>
    <cfRule type="cellIs" priority="9" operator="equal" dxfId="56">
      <formula>"Partially Passed"</formula>
    </cfRule>
    <cfRule type="cellIs" priority="10" operator="equal" dxfId="57">
      <formula>"Not Tested"</formula>
    </cfRule>
    <cfRule type="cellIs" priority="11" operator="equal" dxfId="58">
      <formula>"Not Implemented"</formula>
    </cfRule>
    <cfRule type="cellIs" priority="12" operator="equal" dxfId="59">
      <formula>"NA"</formula>
    </cfRule>
  </conditionalFormatting>
  <dataValidations count="2">
    <dataValidation sqref="H2:H52" showDropDown="0" showInputMessage="0" showErrorMessage="0" allowBlank="1" errorTitle="Invalid Status" error="Your entry is not in the allowed list of statuses" promptTitle="Test Status" prompt="Select execution status" type="list">
      <formula1>"Passed,Failed,Partially Passed,Not Tested,Not Implemented,NA"</formula1>
    </dataValidation>
    <dataValidation sqref="H2:H37" showDropDown="0" showInputMessage="0" showErrorMessage="0" allowBlank="1" type="list">
      <formula1>"Passed,Failed,Partially Passed,Not Tested,Not Implemented,NA"</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3"/>
  <sheetViews>
    <sheetView showGridLines="1" workbookViewId="0">
      <pane ySplit="1" topLeftCell="A2" activePane="bottomLeft" state="frozen"/>
      <selection pane="bottomLeft" activeCell="B2" sqref="B2:B13"/>
    </sheetView>
  </sheetViews>
  <sheetFormatPr baseColWidth="8" defaultRowHeight="14.4"/>
  <cols>
    <col width="20" customWidth="1" min="1" max="1"/>
    <col width="18" customWidth="1" min="2" max="2"/>
    <col width="36" customWidth="1" min="3" max="3"/>
    <col width="14" customWidth="1" min="4" max="4"/>
    <col width="38" customWidth="1" min="5" max="5"/>
    <col width="45" customWidth="1" min="6" max="7"/>
    <col width="45" customWidth="1" min="7" max="7"/>
    <col width="18" customWidth="1" min="8" max="8"/>
    <col width="20" customWidth="1" min="9" max="9"/>
  </cols>
  <sheetData>
    <row r="1" ht="28.05" customHeight="1" thickBot="1">
      <c r="A1" s="34" t="inlineStr">
        <is>
          <t>Subtopic / Category</t>
        </is>
      </c>
      <c r="B1" s="34" t="inlineStr">
        <is>
          <t>TC ID</t>
        </is>
      </c>
      <c r="C1" s="34" t="inlineStr">
        <is>
          <t>Title</t>
        </is>
      </c>
      <c r="D1" s="34" t="inlineStr">
        <is>
          <t>Priority</t>
        </is>
      </c>
      <c r="E1" s="34" t="inlineStr">
        <is>
          <t>Preconditions</t>
        </is>
      </c>
      <c r="F1" s="34" t="inlineStr">
        <is>
          <t>Steps</t>
        </is>
      </c>
      <c r="G1" s="34" t="inlineStr">
        <is>
          <t>Expected Result</t>
        </is>
      </c>
      <c r="H1" s="34" t="inlineStr">
        <is>
          <t>Status</t>
        </is>
      </c>
      <c r="I1" s="34" t="inlineStr">
        <is>
          <t>Test Type</t>
        </is>
      </c>
    </row>
    <row r="2" ht="36" customHeight="1">
      <c r="A2" s="46" t="inlineStr">
        <is>
          <t>Functional</t>
        </is>
      </c>
      <c r="B2" s="47" t="inlineStr">
        <is>
          <t>TC-ZATCA-01</t>
        </is>
      </c>
      <c r="C2" s="46" t="inlineStr">
        <is>
          <t>Invoice Generated for Every Charged Commission Amount</t>
        </is>
      </c>
      <c r="D2" s="47" t="inlineStr">
        <is>
          <t>High</t>
        </is>
      </c>
      <c r="E2" s="46" t="inlineStr">
        <is>
          <t>BLOCKED pending Z1 (per-transaction vs aggregated) and Z4 (invoicing cadence) — MJD Pay commission has been charged to a merchant for the agreed period</t>
        </is>
      </c>
      <c r="F2" s="46" t="inlineStr">
        <is>
          <t>1. Once Z1/Z4 are answered, charge commission for the agreed period
2. Generate the corresponding tax invoice</t>
        </is>
      </c>
      <c r="G2" s="46" t="inlineStr">
        <is>
          <t>A tax invoice is produced covering every commission amount charged in the period, at the cadence Z4 settles on (per settlement / daily / monthly).</t>
        </is>
      </c>
      <c r="H2" s="47" t="inlineStr">
        <is>
          <t>NA</t>
        </is>
      </c>
      <c r="I2" s="47" t="inlineStr">
        <is>
          <t>Functional</t>
        </is>
      </c>
    </row>
    <row r="3" ht="36" customHeight="1">
      <c r="A3" s="46" t="inlineStr">
        <is>
          <t>Financial</t>
        </is>
      </c>
      <c r="B3" s="47" t="inlineStr">
        <is>
          <t>TC-ZATCA-02</t>
        </is>
      </c>
      <c r="C3" s="46" t="inlineStr">
        <is>
          <t>Invoice Reconciles Exactly to Deducted Amounts</t>
        </is>
      </c>
      <c r="D3" s="47" t="inlineStr">
        <is>
          <t>High</t>
        </is>
      </c>
      <c r="E3" s="46" t="inlineStr">
        <is>
          <t>BLOCKED pending Z1 — commission has been deducted from a merchant via the settlement flow</t>
        </is>
      </c>
      <c r="F3" s="46" t="inlineStr">
        <is>
          <t>1. Deduct commission through EMI-5922's settlement flow
2. Generate the invoice for the same amounts
3. Compare totals</t>
        </is>
      </c>
      <c r="G3" s="46" t="inlineStr">
        <is>
          <t>The invoice total equals the amounts actually deducted exactly. If per-transaction commission is adopted (Z1), the invoice total must equal the sum of the rounded per-transaction amounts, not a re-rounded aggregate.</t>
        </is>
      </c>
      <c r="H3" s="47" t="inlineStr">
        <is>
          <t>NA</t>
        </is>
      </c>
      <c r="I3" s="47" t="inlineStr">
        <is>
          <t>Edge / Boundary</t>
        </is>
      </c>
    </row>
    <row r="4" ht="36" customHeight="1">
      <c r="A4" s="46" t="inlineStr">
        <is>
          <t>Functional</t>
        </is>
      </c>
      <c r="B4" s="47" t="inlineStr">
        <is>
          <t>TC-ZATCA-03</t>
        </is>
      </c>
      <c r="C4" s="46" t="inlineStr">
        <is>
          <t>Credit Note Issued for Commission Reversal, Refund or Correction</t>
        </is>
      </c>
      <c r="D4" s="47" t="inlineStr">
        <is>
          <t>Medium</t>
        </is>
      </c>
      <c r="E4" s="46" t="inlineStr">
        <is>
          <t>A previously invoiced commission amount is reversed, refunded or needs correction</t>
        </is>
      </c>
      <c r="F4" s="46" t="inlineStr">
        <is>
          <t>1. Trigger a commission reversal/refund/correction against an already-invoiced amount
2. Generate the corresponding document</t>
        </is>
      </c>
      <c r="G4" s="46" t="inlineStr">
        <is>
          <t>A credit note is issued and linked to the original invoice.</t>
        </is>
      </c>
      <c r="H4" s="47" t="inlineStr">
        <is>
          <t>NA</t>
        </is>
      </c>
      <c r="I4" s="47" t="inlineStr">
        <is>
          <t>Functional</t>
        </is>
      </c>
    </row>
    <row r="5" ht="36" customHeight="1">
      <c r="A5" s="46" t="inlineStr">
        <is>
          <t>Compliance</t>
        </is>
      </c>
      <c r="B5" s="47" t="inlineStr">
        <is>
          <t>TC-ZATCA-04</t>
        </is>
      </c>
      <c r="C5" s="46" t="inlineStr">
        <is>
          <t>Invoice Carries Mandatory ZATCA Fields</t>
        </is>
      </c>
      <c r="D5" s="47" t="inlineStr">
        <is>
          <t>High</t>
        </is>
      </c>
      <c r="E5" s="46" t="inlineStr">
        <is>
          <t>A tax invoice is generated</t>
        </is>
      </c>
      <c r="F5" s="46" t="inlineStr">
        <is>
          <t>1. Inspect the generated invoice content</t>
        </is>
      </c>
      <c r="G5" s="46" t="inlineStr">
        <is>
          <t>Invoice carries at minimum: our VAT registration number, the merchant's VAT registration number, invoice date and number, description of supply, taxable amount, VAT rate, VAT amount and total.</t>
        </is>
      </c>
      <c r="H5" s="47" t="inlineStr">
        <is>
          <t>NA</t>
        </is>
      </c>
      <c r="I5" s="47" t="inlineStr">
        <is>
          <t>Edge / Boundary</t>
        </is>
      </c>
    </row>
    <row r="6" ht="36" customHeight="1">
      <c r="A6" s="46" t="inlineStr">
        <is>
          <t>Compliance</t>
        </is>
      </c>
      <c r="B6" s="47" t="inlineStr">
        <is>
          <t>TC-ZATCA-05</t>
        </is>
      </c>
      <c r="C6" s="46" t="inlineStr">
        <is>
          <t>ZATCA e-Invoicing Technical Compliance (XML/UUID/Hash Chain/Stamp/QR)</t>
        </is>
      </c>
      <c r="D6" s="47" t="inlineStr">
        <is>
          <t>High</t>
        </is>
      </c>
      <c r="E6" s="46" t="inlineStr">
        <is>
          <t>BLOCKED pending confirmation of which ZATCA regime applies (Z3-dependent)</t>
        </is>
      </c>
      <c r="F6" s="46" t="inlineStr">
        <is>
          <t>1. Once the applicable ZATCA category is confirmed, generate an invoice
2. Validate its XML format, UUID and hash chain, cryptographic stamp, and QR code</t>
        </is>
      </c>
      <c r="G6" s="46" t="inlineStr">
        <is>
          <t>The invoice conforms to ZATCA e-invoicing requirements for the applicable category.</t>
        </is>
      </c>
      <c r="H6" s="47" t="inlineStr">
        <is>
          <t>NA</t>
        </is>
      </c>
      <c r="I6" s="47" t="inlineStr">
        <is>
          <t>Compliance</t>
        </is>
      </c>
    </row>
    <row r="7" ht="36" customHeight="1">
      <c r="A7" s="46" t="inlineStr">
        <is>
          <t>Compliance</t>
        </is>
      </c>
      <c r="B7" s="47" t="inlineStr">
        <is>
          <t>TC-ZATCA-06</t>
        </is>
      </c>
      <c r="C7" s="46" t="inlineStr">
        <is>
          <t>Clearance vs Reporting Model Routing — BLOCKED (Z3)</t>
        </is>
      </c>
      <c r="D7" s="47" t="inlineStr">
        <is>
          <t>High</t>
        </is>
      </c>
      <c r="E7" s="46" t="inlineStr">
        <is>
          <t>Z3 (are merchants VAT-registered B2B businesses in all cases, or can a merchant be an individual?) is unanswered</t>
        </is>
      </c>
      <c r="F7" s="46" t="inlineStr">
        <is>
          <t>1. Once Z3 is answered, confirm invoices route through the clearance model (standard tax invoices) or the reporting model (simplified invoices) as applicable</t>
        </is>
      </c>
      <c r="G7" s="46" t="inlineStr">
        <is>
          <t>BLOCKED until Z3 is confirmed with Tax — the story explicitly states this determines which ZATCA regime applies.</t>
        </is>
      </c>
      <c r="H7" s="47" t="inlineStr">
        <is>
          <t>NA</t>
        </is>
      </c>
      <c r="I7" s="47" t="inlineStr">
        <is>
          <t>Compliance</t>
        </is>
      </c>
    </row>
    <row r="8" ht="36" customHeight="1">
      <c r="A8" s="46" t="inlineStr">
        <is>
          <t>Reliability</t>
        </is>
      </c>
      <c r="B8" s="47" t="inlineStr">
        <is>
          <t>TC-ZATCA-07</t>
        </is>
      </c>
      <c r="C8" s="46" t="inlineStr">
        <is>
          <t>Sequence Integrity Survives Failed Submission and Retry</t>
        </is>
      </c>
      <c r="D8" s="47" t="inlineStr">
        <is>
          <t>Medium</t>
        </is>
      </c>
      <c r="E8" s="46" t="inlineStr">
        <is>
          <t>An invoice submission to ZATCA fails and is retried</t>
        </is>
      </c>
      <c r="F8" s="46" t="inlineStr">
        <is>
          <t>1. Submit an invoice that fails
2. Retry the submission
3. Inspect the invoice number sequence</t>
        </is>
      </c>
      <c r="G8" s="46" t="inlineStr">
        <is>
          <t>No gaps and no reuse occur in the sequence; the chain survives the failed submission and retry intact.</t>
        </is>
      </c>
      <c r="H8" s="47" t="inlineStr">
        <is>
          <t>NA</t>
        </is>
      </c>
      <c r="I8" s="47" t="inlineStr">
        <is>
          <t>Negative</t>
        </is>
      </c>
    </row>
    <row r="9" ht="36" customHeight="1">
      <c r="A9" s="46" t="inlineStr">
        <is>
          <t>Reliability</t>
        </is>
      </c>
      <c r="B9" s="47" t="inlineStr">
        <is>
          <t>TC-ZATCA-08</t>
        </is>
      </c>
      <c r="C9" s="46" t="inlineStr">
        <is>
          <t>Submission Failure Queued, Retried and Alarmed — Never Silently Dropped</t>
        </is>
      </c>
      <c r="D9" s="47" t="inlineStr">
        <is>
          <t>Medium</t>
        </is>
      </c>
      <c r="E9" s="46" t="inlineStr">
        <is>
          <t>ZATCA submission fails for reasons outside sequence integrity (e.g. platform outage)</t>
        </is>
      </c>
      <c r="F9" s="46" t="inlineStr">
        <is>
          <t>1. Simulate a ZATCA submission failure
2. Inspect queueing, retry and alarming behaviour
3. Confirm no operational transaction is blocked by the failure</t>
        </is>
      </c>
      <c r="G9" s="46" t="inlineStr">
        <is>
          <t>The failure is queued, retried and alarmed; it blocks nothing operationally but is never silently dropped.</t>
        </is>
      </c>
      <c r="H9" s="47" t="inlineStr">
        <is>
          <t>NA</t>
        </is>
      </c>
      <c r="I9" s="47" t="inlineStr">
        <is>
          <t>Negative</t>
        </is>
      </c>
    </row>
    <row r="10" ht="36" customHeight="1">
      <c r="A10" s="46" t="inlineStr">
        <is>
          <t>Functional</t>
        </is>
      </c>
      <c r="B10" s="47" t="inlineStr">
        <is>
          <t>TC-ZATCA-09</t>
        </is>
      </c>
      <c r="C10" s="46" t="inlineStr">
        <is>
          <t>Merchant Portal Invoice Retrieval Linked to Settlement</t>
        </is>
      </c>
      <c r="D10" s="47" t="inlineStr">
        <is>
          <t>Medium</t>
        </is>
      </c>
      <c r="E10" s="46" t="inlineStr">
        <is>
          <t>A settlement has an associated cleared invoice</t>
        </is>
      </c>
      <c r="F10" s="46" t="inlineStr">
        <is>
          <t>1. Open the merchant portal
2. Retrieve invoices
3. Confirm the settlement statement links to the covering invoice</t>
        </is>
      </c>
      <c r="G10" s="46" t="inlineStr">
        <is>
          <t>The merchant can retrieve their invoices, and each settlement in their statement links to the invoice that covers it.</t>
        </is>
      </c>
      <c r="H10" s="47" t="inlineStr">
        <is>
          <t>NA</t>
        </is>
      </c>
      <c r="I10" s="47" t="inlineStr">
        <is>
          <t>Functional</t>
        </is>
      </c>
    </row>
    <row r="11" ht="36" customHeight="1">
      <c r="A11" s="46" t="inlineStr">
        <is>
          <t>Functional</t>
        </is>
      </c>
      <c r="B11" s="47" t="inlineStr">
        <is>
          <t>TC-ZATCA-10</t>
        </is>
      </c>
      <c r="C11" s="46" t="inlineStr">
        <is>
          <t>Per-Transaction Breakdown Behind Invoice Total — BLOCKED (Z1)</t>
        </is>
      </c>
      <c r="D11" s="47" t="inlineStr">
        <is>
          <t>Low</t>
        </is>
      </c>
      <c r="E11" s="46" t="inlineStr">
        <is>
          <t>BLOCKED pending Z1 — commission is computed per transaction (one of the two Z1 outcomes)</t>
        </is>
      </c>
      <c r="F11" s="46" t="inlineStr">
        <is>
          <t>1. Once Z1 confirms per-transaction commission, open an invoice in the merchant portal
2. Drill into the per-transaction breakdown behind the invoice total</t>
        </is>
      </c>
      <c r="G11" s="46" t="inlineStr">
        <is>
          <t>Where commission is computed per transaction, the merchant can see the per-transaction breakdown behind the invoice total. Not applicable if Z1 resolves to a single aggregated charge.</t>
        </is>
      </c>
      <c r="H11" s="47" t="inlineStr">
        <is>
          <t>NA</t>
        </is>
      </c>
      <c r="I11" s="47" t="inlineStr">
        <is>
          <t>Functional</t>
        </is>
      </c>
    </row>
    <row r="12" ht="36" customHeight="1">
      <c r="A12" s="46" t="inlineStr">
        <is>
          <t>Audit</t>
        </is>
      </c>
      <c r="B12" s="47" t="inlineStr">
        <is>
          <t>TC-ZATCA-11</t>
        </is>
      </c>
      <c r="C12" s="46" t="inlineStr">
        <is>
          <t>Retention and Audit Logging of Issue/Submission/Clearance/Credit Note</t>
        </is>
      </c>
      <c r="D12" s="47" t="inlineStr">
        <is>
          <t>Medium</t>
        </is>
      </c>
      <c r="E12" s="46" t="inlineStr">
        <is>
          <t>Invoices have been issued, submitted, cleared, and one credit note has been raised</t>
        </is>
      </c>
      <c r="F12" s="46" t="inlineStr">
        <is>
          <t>1. Inspect retention of the invoice and its submission receipt
2. Inspect the audit log for issue, submission, clearance and credit-note events</t>
        </is>
      </c>
      <c r="G12" s="46" t="inlineStr">
        <is>
          <t>Records are retained per ZATCA and SAMA retention requirements; every one of the four event types is audit-logged.</t>
        </is>
      </c>
      <c r="H12" s="47" t="inlineStr">
        <is>
          <t>NA</t>
        </is>
      </c>
      <c r="I12" s="47" t="inlineStr">
        <is>
          <t>Security</t>
        </is>
      </c>
    </row>
    <row r="13" ht="36" customHeight="1">
      <c r="A13" s="46" t="inlineStr">
        <is>
          <t>Boundary</t>
        </is>
      </c>
      <c r="B13" s="47" t="inlineStr">
        <is>
          <t>TC-ZATCA-12</t>
        </is>
      </c>
      <c r="C13" s="46" t="inlineStr">
        <is>
          <t>MJD Pay Never Invoices ANB's Own Fees (Z2 Scope Separation)</t>
        </is>
      </c>
      <c r="D13" s="47" t="inlineStr">
        <is>
          <t>High</t>
        </is>
      </c>
      <c r="E13" s="46" t="inlineStr">
        <is>
          <t>A settlement includes both MJD Pay's commission and ANB's TR_COM/TR_VAT/TR_FEE deductions</t>
        </is>
      </c>
      <c r="F13" s="46" t="inlineStr">
        <is>
          <t>1. Generate the merchant invoice for the settlement period
2. Inspect what is and isn't included as MJD Pay's taxable supply</t>
        </is>
      </c>
      <c r="G13" s="46" t="inlineStr">
        <is>
          <t>Only MJD Pay's own commission appears on MJD Pay's tax invoice; ANB's commission/VAT/fee figures are recorded (per EMI-5991) but are never invoiced by MJD Pay to the merchant — they are ANB's supply, not ours.</t>
        </is>
      </c>
      <c r="H13" s="47" t="inlineStr">
        <is>
          <t>NA</t>
        </is>
      </c>
      <c r="I13" s="47" t="inlineStr">
        <is>
          <t>Edge / Boundary</t>
        </is>
      </c>
    </row>
  </sheetData>
  <autoFilter ref="A1:I13"/>
  <conditionalFormatting sqref="H2:H13">
    <cfRule type="cellIs" priority="7" operator="equal" dxfId="54">
      <formula>"Passed"</formula>
    </cfRule>
    <cfRule type="cellIs" priority="8" operator="equal" dxfId="55">
      <formula>"Failed"</formula>
    </cfRule>
    <cfRule type="cellIs" priority="9" operator="equal" dxfId="56">
      <formula>"Partially Passed"</formula>
    </cfRule>
    <cfRule type="cellIs" priority="10" operator="equal" dxfId="57">
      <formula>"Not Tested"</formula>
    </cfRule>
    <cfRule type="cellIs" priority="11" operator="equal" dxfId="58">
      <formula>"Not Implemented"</formula>
    </cfRule>
    <cfRule type="cellIs" priority="12" operator="equal" dxfId="59">
      <formula>"NA"</formula>
    </cfRule>
  </conditionalFormatting>
  <dataValidations count="2">
    <dataValidation sqref="H2:H52" showDropDown="0" showInputMessage="0" showErrorMessage="0" allowBlank="1" errorTitle="Invalid Status" error="Your entry is not in the allowed list of statuses" promptTitle="Test Status" prompt="Select execution status" type="list">
      <formula1>"Passed,Failed,Partially Passed,Not Tested,Not Implemented,NA"</formula1>
    </dataValidation>
    <dataValidation sqref="H2:H13" showDropDown="0" showInputMessage="0" showErrorMessage="0" allowBlank="1" type="list">
      <formula1>"Passed,Failed,Partially Passed,Not Tested,Not Implemented,NA"</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7"/>
  <sheetViews>
    <sheetView showGridLines="1" workbookViewId="0">
      <pane ySplit="1" topLeftCell="A2" activePane="bottomLeft" state="frozen"/>
      <selection pane="bottomLeft" activeCell="A1" sqref="A1"/>
    </sheetView>
  </sheetViews>
  <sheetFormatPr baseColWidth="8" defaultRowHeight="15"/>
  <cols>
    <col width="20" customWidth="1" min="1" max="1"/>
    <col width="18" customWidth="1" min="2" max="2"/>
    <col width="36" customWidth="1" min="3" max="3"/>
    <col width="14" customWidth="1" min="4" max="4"/>
    <col width="38" customWidth="1" min="5" max="5"/>
    <col width="45" customWidth="1" min="6" max="6"/>
    <col width="45" customWidth="1" min="7" max="7"/>
    <col width="18" customWidth="1" min="8" max="8"/>
    <col width="20" customWidth="1" min="9" max="9"/>
  </cols>
  <sheetData>
    <row r="1" ht="28.05" customHeight="1">
      <c r="A1" s="34" t="inlineStr">
        <is>
          <t>Subtopic / Category</t>
        </is>
      </c>
      <c r="B1" s="34" t="inlineStr">
        <is>
          <t>TC ID</t>
        </is>
      </c>
      <c r="C1" s="34" t="inlineStr">
        <is>
          <t>Title</t>
        </is>
      </c>
      <c r="D1" s="34" t="inlineStr">
        <is>
          <t>Priority</t>
        </is>
      </c>
      <c r="E1" s="34" t="inlineStr">
        <is>
          <t>Preconditions</t>
        </is>
      </c>
      <c r="F1" s="34" t="inlineStr">
        <is>
          <t>Steps</t>
        </is>
      </c>
      <c r="G1" s="34" t="inlineStr">
        <is>
          <t>Expected Result</t>
        </is>
      </c>
      <c r="H1" s="34" t="inlineStr">
        <is>
          <t>Status</t>
        </is>
      </c>
      <c r="I1" s="34" t="inlineStr">
        <is>
          <t>Test Type</t>
        </is>
      </c>
    </row>
    <row r="2" ht="36" customHeight="1">
      <c r="A2" s="46" t="inlineStr">
        <is>
          <t>E2E - Card Rail</t>
        </is>
      </c>
      <c r="B2" s="47" t="inlineStr">
        <is>
          <t>TC-E2E-01</t>
        </is>
      </c>
      <c r="C2" s="46" t="inlineStr">
        <is>
          <t>Full Card Sale to Cleared Merchant Wallet Credit</t>
        </is>
      </c>
      <c r="D2" s="47" t="inlineStr">
        <is>
          <t>High</t>
        </is>
      </c>
      <c r="E2" s="46" t="inlineStr">
        <is>
          <t>Terminal linked to a compliant merchant wallet; ANB PTS settlement report available for the trading date; PoS commission scheme configured</t>
        </is>
      </c>
      <c r="F2" s="46" t="inlineStr">
        <is>
          <t>1. Capture a PURCHASE callback for the terminal (EMI-5915)
2. Confirm the per-TID ledger entry and that no wallet entry exists yet
3. Retrieve and parse the ANB settlement report for the date (EMI-5991)
4. Let settlement grouping form the batch and run Gate 1 (EMI-5989)
5. Let the aggregated cash-in be priced (EMI-5921) and ACH/VIBAN prepared (EMI-5922)
6. Confirm the three-way match (EMI-5920)
7. Read the merchant wallet</t>
        </is>
      </c>
      <c r="G2" s="46" t="inlineStr">
        <is>
          <t>The sale flows callback -&gt; ledger -&gt; PTS row -&gt; batch -&gt; Gate 1 -&gt; aggregated cash-in -&gt; commission and VAT -&gt; ACH/VIBAN -&gt; cleared merchant credit. Amounts tie at every hop; the three-way match balances; the merchant is credited the batch net less MJD Pay commission and VAT, and no other fee</t>
        </is>
      </c>
      <c r="H2" s="47" t="inlineStr">
        <is>
          <t>Not Tested</t>
        </is>
      </c>
      <c r="I2" s="47" t="inlineStr">
        <is>
          <t>Functional</t>
        </is>
      </c>
    </row>
    <row r="3" ht="36" customHeight="1">
      <c r="A3" s="46" t="inlineStr">
        <is>
          <t>E2E - Card Rail</t>
        </is>
      </c>
      <c r="B3" s="47" t="inlineStr">
        <is>
          <t>TC-E2E-02</t>
        </is>
      </c>
      <c r="C3" s="46" t="inlineStr">
        <is>
          <t>Cleared Settlement Produces a ZATCA Tax Invoice for the Commission</t>
        </is>
      </c>
      <c r="D3" s="47" t="inlineStr">
        <is>
          <t>High</t>
        </is>
      </c>
      <c r="E3" s="46" t="inlineStr">
        <is>
          <t>A settlement batch has cleared and commission has been charged; ZATCA e-invoicing enabled (EMI-6018)</t>
        </is>
      </c>
      <c r="F3" s="46" t="inlineStr">
        <is>
          <t>1. Complete TC-E2E-01 through to the cleared credit
2. Inspect the invoice issued for the MJD Pay commission
3. Compare the invoice amounts with the posted commission and VAT entries</t>
        </is>
      </c>
      <c r="G3" s="46" t="inlineStr">
        <is>
          <t>A ZATCA-compliant tax invoice is issued to the merchant for the MJD Pay commission; its amounts reconcile exactly with the posted commission and VAT entries for that batch</t>
        </is>
      </c>
      <c r="H3" s="47" t="inlineStr">
        <is>
          <t>Not Tested</t>
        </is>
      </c>
      <c r="I3" s="47" t="inlineStr">
        <is>
          <t>Edge / Boundary</t>
        </is>
      </c>
    </row>
    <row r="4" ht="36" customHeight="1">
      <c r="A4" s="46" t="inlineStr">
        <is>
          <t>E2E - Card Rail</t>
        </is>
      </c>
      <c r="B4" s="47" t="inlineStr">
        <is>
          <t>TC-E2E-03</t>
        </is>
      </c>
      <c r="C4" s="46" t="inlineStr">
        <is>
          <t>Same-Day Void Leaves No Settlement Trace</t>
        </is>
      </c>
      <c r="D4" s="47" t="inlineStr">
        <is>
          <t>High</t>
        </is>
      </c>
      <c r="E4" s="46" t="inlineStr">
        <is>
          <t>A same-day PURCHASE authorization captured and not yet settled</t>
        </is>
      </c>
      <c r="F4" s="46" t="inlineStr">
        <is>
          <t>1. Capture the PURCHASE
2. Capture a VOID referencing it (EMI-5919)
3. Run settlement retrieval, grouping and reconciliation for the date
4. Inspect batches, the aggregate, the merchant wallet and the discrepancy queue</t>
        </is>
      </c>
      <c r="G4" s="46" t="inlineStr">
        <is>
          <t>The authorization is reversed; no batch member, no aggregated cash-in, no ACH item and no wallet movement is produced; reconciliation raises no discrepancy for the voided pair</t>
        </is>
      </c>
      <c r="H4" s="47" t="inlineStr">
        <is>
          <t>Not Tested</t>
        </is>
      </c>
      <c r="I4" s="47" t="inlineStr">
        <is>
          <t>Integration</t>
        </is>
      </c>
    </row>
    <row r="5" ht="36" customHeight="1">
      <c r="A5" s="46" t="inlineStr">
        <is>
          <t>E2E - Card Rail</t>
        </is>
      </c>
      <c r="B5" s="47" t="inlineStr">
        <is>
          <t>TC-E2E-04</t>
        </is>
      </c>
      <c r="C5" s="46" t="inlineStr">
        <is>
          <t>Settled Sale Then Refund at Terminal - Exposure Without a Debit</t>
        </is>
      </c>
      <c r="D5" s="47" t="inlineStr">
        <is>
          <t>High</t>
        </is>
      </c>
      <c r="E5" s="46" t="inlineStr">
        <is>
          <t>A sale has settled and the merchant has been credited</t>
        </is>
      </c>
      <c r="F5" s="46" t="inlineStr">
        <is>
          <t>1. Complete TC-E2E-01 for a sale
2. Capture a REFUND against it at the terminal (EMI-5918)
3. Run the next settlement, reconciliation and ACH cycles
4. Read the merchant wallet balance and the Finance safeguarding report</t>
        </is>
      </c>
      <c r="G5" s="46" t="inlineStr">
        <is>
          <t>The refund is captured and linked, the original is flagged refunded, and the merchant wallet is never debited anywhere in the chain. The value appears in the E34 exposure total as a memo line outside the reconciling total, and the reconciling line still reconciles</t>
        </is>
      </c>
      <c r="H5" s="47" t="inlineStr">
        <is>
          <t>Not Tested</t>
        </is>
      </c>
      <c r="I5" s="47" t="inlineStr">
        <is>
          <t>Functional</t>
        </is>
      </c>
    </row>
    <row r="6" ht="36" customHeight="1">
      <c r="A6" s="46" t="inlineStr">
        <is>
          <t>E2E - Wallet Rail</t>
        </is>
      </c>
      <c r="B6" s="47" t="inlineStr">
        <is>
          <t>TC-E2E-05</t>
        </is>
      </c>
      <c r="C6" s="46" t="inlineStr">
        <is>
          <t>Wallet Payment at Terminal, End to End and Fully Isolated</t>
        </is>
      </c>
      <c r="D6" s="47" t="inlineStr">
        <is>
          <t>High</t>
        </is>
      </c>
      <c r="E6" s="46" t="inlineStr">
        <is>
          <t>Customer and merchant wallets active, compliant and funded; terminal online</t>
        </is>
      </c>
      <c r="F6" s="46" t="inlineStr">
        <is>
          <t>1. Run a wallet payment at the terminal through to approval (EMI-5917)
2. Confirm the merchant credit is spendable at once
3. Receive the InterSoft confirmation callback
4. Search the settlement batches, PTS rows, reconciliation sets and ACH items for the payment</t>
        </is>
      </c>
      <c r="G6" s="46" t="inlineStr">
        <is>
          <t>Money moves internally and immediately from customer to merchant, spendable at once, priced by the commission engine. The payment appears in no batch, no PTS row, no reconciliation set and no ACH item, and no Gate 3 is evaluated</t>
        </is>
      </c>
      <c r="H6" s="47" t="inlineStr">
        <is>
          <t>Not Tested</t>
        </is>
      </c>
      <c r="I6" s="47" t="inlineStr">
        <is>
          <t>Functional</t>
        </is>
      </c>
    </row>
    <row r="7" ht="36" customHeight="1">
      <c r="A7" s="46" t="inlineStr">
        <is>
          <t>E2E - Wallet Rail</t>
        </is>
      </c>
      <c r="B7" s="47" t="inlineStr">
        <is>
          <t>TC-E2E-06</t>
        </is>
      </c>
      <c r="C7" s="46" t="inlineStr">
        <is>
          <t>Wallet Payment With No Confirmation - Full Reversal to Starting Positions</t>
        </is>
      </c>
      <c r="D7" s="47" t="inlineStr">
        <is>
          <t>High</t>
        </is>
      </c>
      <c r="E7" s="46" t="inlineStr">
        <is>
          <t>A wallet payment approved; confirmation callback suppressed</t>
        </is>
      </c>
      <c r="F7" s="46" t="inlineStr">
        <is>
          <t>1. Record both starting balances
2. Approve a wallet payment
3. Withhold the confirmation past 15 minutes
4. After the reversal, send the late confirmation
5. Re-read both balances and the commission entries</t>
        </is>
      </c>
      <c r="G7" s="46" t="inlineStr">
        <is>
          <t>The payment auto-reverses, returning both parties exactly to their starting positions including any commission; the late confirmation is recorded and alarmed but never re-applied</t>
        </is>
      </c>
      <c r="H7" s="47" t="inlineStr">
        <is>
          <t>Not Tested</t>
        </is>
      </c>
      <c r="I7" s="47" t="inlineStr">
        <is>
          <t>Edge / Boundary</t>
        </is>
      </c>
    </row>
    <row r="8" ht="36" customHeight="1">
      <c r="A8" s="46" t="inlineStr">
        <is>
          <t>E2E - Compliance</t>
        </is>
      </c>
      <c r="B8" s="47" t="inlineStr">
        <is>
          <t>TC-E2E-07</t>
        </is>
      </c>
      <c r="C8" s="46" t="inlineStr">
        <is>
          <t>Gate 1 Compliance Hold Blocks the Batch Credit End to End</t>
        </is>
      </c>
      <c r="D8" s="47" t="inlineStr">
        <is>
          <t>High</t>
        </is>
      </c>
      <c r="E8" s="46" t="inlineStr">
        <is>
          <t>A merchant in a compliance state that Gate 1 holds on (EMI-5923); a settlement batch due for that merchant</t>
        </is>
      </c>
      <c r="F8" s="46" t="inlineStr">
        <is>
          <t>1. Run the batch through grouping and Gate 1
2. Inspect the wallet ledger, the held-batch queue and the merchant's surfaces
3. Attempt to release or partially credit the held batch from every available surface</t>
        </is>
      </c>
      <c r="G8" s="46" t="inlineStr">
        <is>
          <t>Gate 1 produces COMPLIANCE_HOLD; no wallet ledger entry is written and no partial credit is possible; the held-batch queue offers no release or partial-credit action; the merchant sees a neutral state with no compliance detail</t>
        </is>
      </c>
      <c r="H8" s="47" t="inlineStr">
        <is>
          <t>Not Tested</t>
        </is>
      </c>
      <c r="I8" s="47" t="inlineStr">
        <is>
          <t>Compliance</t>
        </is>
      </c>
    </row>
    <row r="9" ht="36" customHeight="1">
      <c r="A9" s="46" t="inlineStr">
        <is>
          <t>E2E - Reconciliation</t>
        </is>
      </c>
      <c r="B9" s="47" t="inlineStr">
        <is>
          <t>TC-E2E-08</t>
        </is>
      </c>
      <c r="C9" s="46" t="inlineStr">
        <is>
          <t>Three-Way Match Across Callbacks, PTS Rows and the Batch Aggregate</t>
        </is>
      </c>
      <c r="D9" s="47" t="inlineStr">
        <is>
          <t>High</t>
        </is>
      </c>
      <c r="E9" s="46" t="inlineStr">
        <is>
          <t>A trading date with captured callbacks, a retrieved PTS report and a formed batch</t>
        </is>
      </c>
      <c r="F9" s="46" t="inlineStr">
        <is>
          <t>1. Assemble the captured callback set for the date
2. Assemble the parsed PTS settlement rows
3. Assemble the batch aggregate and its persisted member count
4. Run the three-way match (EMI-5920)</t>
        </is>
      </c>
      <c r="G9" s="46" t="inlineStr">
        <is>
          <t>All three sources agree on count and value; the persisted member count cross-checks against the matched set; the match balances with no discrepancy raised</t>
        </is>
      </c>
      <c r="H9" s="47" t="inlineStr">
        <is>
          <t>Not Tested</t>
        </is>
      </c>
      <c r="I9" s="47" t="inlineStr">
        <is>
          <t>Functional</t>
        </is>
      </c>
    </row>
    <row r="10" ht="36" customHeight="1">
      <c r="A10" s="46" t="inlineStr">
        <is>
          <t>E2E - Reconciliation</t>
        </is>
      </c>
      <c r="B10" s="47" t="inlineStr">
        <is>
          <t>TC-E2E-09</t>
        </is>
      </c>
      <c r="C10" s="46" t="inlineStr">
        <is>
          <t>Unknown TID on an Inbound Settlement Row Parks Without Fallback Matching</t>
        </is>
      </c>
      <c r="D10" s="47" t="inlineStr">
        <is>
          <t>High</t>
        </is>
      </c>
      <c r="E10" s="46" t="inlineStr">
        <is>
          <t>A PTS settlement row carrying a TID not linked to any wallet</t>
        </is>
      </c>
      <c r="F10" s="46" t="inlineStr">
        <is>
          <t>1. Retrieve and parse the report containing the row
2. Observe the booking pipeline and the Ops queue
3. Check whether any fallback matching by amount, date or merchant name occurred</t>
        </is>
      </c>
      <c r="G10" s="46" t="inlineStr">
        <is>
          <t>The row is accepted and parked UNMATCHED with an Ops alarm; no fallback matching is attempted and no wallet is credited speculatively; the parked row is visible and aged in the Ops queue</t>
        </is>
      </c>
      <c r="H10" s="47" t="inlineStr">
        <is>
          <t>Not Tested</t>
        </is>
      </c>
      <c r="I10" s="47" t="inlineStr">
        <is>
          <t>Negative</t>
        </is>
      </c>
    </row>
    <row r="11" ht="36" customHeight="1">
      <c r="A11" s="46" t="inlineStr">
        <is>
          <t>E2E - Reconciliation</t>
        </is>
      </c>
      <c r="B11" s="47" t="inlineStr">
        <is>
          <t>TC-E2E-10</t>
        </is>
      </c>
      <c r="C11" s="46" t="inlineStr">
        <is>
          <t>Recon-Originated Booking Is Identical to a Callback-Originated Booking</t>
        </is>
      </c>
      <c r="D11" s="47" t="inlineStr">
        <is>
          <t>High</t>
        </is>
      </c>
      <c r="E11" s="46" t="inlineStr">
        <is>
          <t>The shared booking pipeline exposed as a callable service entry point</t>
        </is>
      </c>
      <c r="F11" s="46" t="inlineStr">
        <is>
          <t>1. Book a transaction through the callback path with origin = TXN_CALLBACK
2. Book an equivalent transaction through the direct pipeline with origin = RECON_BACKFILL (EMI-5991)
3. Compare validation, TID resolution, Gate 1 outcome, ledger entries and downstream eligibility</t>
        </is>
      </c>
      <c r="G11" s="46" t="inlineStr">
        <is>
          <t>Both produce identical validation, resolution, Gate 1 handling, ledger entries and downstream behaviour; only the origin field differs</t>
        </is>
      </c>
      <c r="H11" s="47" t="inlineStr">
        <is>
          <t>Not Tested</t>
        </is>
      </c>
      <c r="I11" s="47" t="inlineStr">
        <is>
          <t>Functional</t>
        </is>
      </c>
    </row>
    <row r="12" ht="36" customHeight="1">
      <c r="A12" s="46" t="inlineStr">
        <is>
          <t>E2E - Multi-Device</t>
        </is>
      </c>
      <c r="B12" s="47" t="inlineStr">
        <is>
          <t>TC-E2E-11</t>
        </is>
      </c>
      <c r="C12" s="46" t="inlineStr">
        <is>
          <t>Multi-TID Merchant Rolls Up Correctly to One Wallet</t>
        </is>
      </c>
      <c r="D12" s="47" t="inlineStr">
        <is>
          <t>High</t>
        </is>
      </c>
      <c r="E12" s="46" t="inlineStr">
        <is>
          <t>A merchant with several terminals, each with its own per-TID ledger, all linked to one wallet</t>
        </is>
      </c>
      <c r="F12" s="46" t="inlineStr">
        <is>
          <t>1. Capture sales on each terminal across the same trading date
2. Run settlement grouping, pricing and ACH preparation
3. Compare the per-device views with the wallet-level position</t>
        </is>
      </c>
      <c r="G12" s="46" t="inlineStr">
        <is>
          <t>Each terminal keeps its own per-TID ledger; batches group per the defined scope with no member in two batches; the per-device totals roll up to exactly the wallet-level position with nothing double-counted or lost</t>
        </is>
      </c>
      <c r="H12" s="47" t="inlineStr">
        <is>
          <t>Not Tested</t>
        </is>
      </c>
      <c r="I12" s="47" t="inlineStr">
        <is>
          <t>Edge / Boundary</t>
        </is>
      </c>
    </row>
    <row r="13" ht="36" customHeight="1">
      <c r="A13" s="46" t="inlineStr">
        <is>
          <t>E2E - Pricing</t>
        </is>
      </c>
      <c r="B13" s="47" t="inlineStr">
        <is>
          <t>TC-E2E-12</t>
        </is>
      </c>
      <c r="C13" s="46" t="inlineStr">
        <is>
          <t>Merchant With No Commission Scheme Is Credited in Full End to End</t>
        </is>
      </c>
      <c r="D13" s="47" t="inlineStr">
        <is>
          <t>Medium</t>
        </is>
      </c>
      <c r="E13" s="46" t="inlineStr">
        <is>
          <t>Merchant with no PoS scheme at merchant, group or default level</t>
        </is>
      </c>
      <c r="F13" s="46" t="inlineStr">
        <is>
          <t>1. Run a full settlement cycle for that merchant through to the cleared credit
2. Inspect every fee entry raised anywhere in the chain</t>
        </is>
      </c>
      <c r="G13" s="46" t="inlineStr">
        <is>
          <t>The merchant is credited the full batch net; no commission, VAT or generic VIBAN cash-in fee is raised anywhere; the cycle completes normally with nothing alarmed</t>
        </is>
      </c>
      <c r="H13" s="47" t="inlineStr">
        <is>
          <t>Not Tested</t>
        </is>
      </c>
      <c r="I13" s="47" t="inlineStr">
        <is>
          <t>Functional</t>
        </is>
      </c>
    </row>
    <row r="14" ht="36" customHeight="1">
      <c r="A14" s="46" t="inlineStr">
        <is>
          <t>E2E - Boundaries</t>
        </is>
      </c>
      <c r="B14" s="47" t="inlineStr">
        <is>
          <t>TC-E2E-13</t>
        </is>
      </c>
      <c r="C14" s="46" t="inlineStr">
        <is>
          <t>Transactions Around the Day Cut-Off Land in the Correct Batches</t>
        </is>
      </c>
      <c r="D14" s="47" t="inlineStr">
        <is>
          <t>High</t>
        </is>
      </c>
      <c r="E14" s="46" t="inlineStr">
        <is>
          <t>Transactions captured immediately before and after the settlement day boundary</t>
        </is>
      </c>
      <c r="F14" s="46" t="inlineStr">
        <is>
          <t>1. Capture sales either side of the cut-off
2. Retrieve the settlement reports for both dates
3. Run grouping for both dates and inspect batch membership</t>
        </is>
      </c>
      <c r="G14" s="46" t="inlineStr">
        <is>
          <t>Each sale lands in the batch for its correct trading date; no sale is duplicated across batches and none is lost between them; batch member counts reconcile against the callback set for each date</t>
        </is>
      </c>
      <c r="H14" s="47" t="inlineStr">
        <is>
          <t>Not Tested</t>
        </is>
      </c>
      <c r="I14" s="47" t="inlineStr">
        <is>
          <t>Integration</t>
        </is>
      </c>
    </row>
    <row r="15" ht="36" customHeight="1">
      <c r="A15" s="46" t="inlineStr">
        <is>
          <t>E2E - Resilience</t>
        </is>
      </c>
      <c r="B15" s="47" t="inlineStr">
        <is>
          <t>TC-E2E-14</t>
        </is>
      </c>
      <c r="C15" s="46" t="inlineStr">
        <is>
          <t>Whole-Day Outage Recovered by Catch-Up Reaches the Same Final Positions</t>
        </is>
      </c>
      <c r="D15" s="47" t="inlineStr">
        <is>
          <t>High</t>
        </is>
      </c>
      <c r="E15" s="46" t="inlineStr">
        <is>
          <t>A full-day retrieval outage followed by a catch-up run</t>
        </is>
      </c>
      <c r="F15" s="46" t="inlineStr">
        <is>
          <t>1. Record expected final positions for the affected date
2. Suppress retrieval for the whole day
3. Run the catch-up retrieval and the full downstream chain
4. Re-run the whole chain a second time</t>
        </is>
      </c>
      <c r="G15" s="46" t="inlineStr">
        <is>
          <t>The catch-up produces the same batches, aggregates, commission and wallet positions as an uninterrupted day; the second full re-run changes nothing, confirming end-to-end idempotency</t>
        </is>
      </c>
      <c r="H15" s="47" t="inlineStr">
        <is>
          <t>Not Tested</t>
        </is>
      </c>
      <c r="I15" s="47" t="inlineStr">
        <is>
          <t>Integration</t>
        </is>
      </c>
    </row>
    <row r="16" ht="36" customHeight="1">
      <c r="A16" s="46" t="inlineStr">
        <is>
          <t>E2E - Resilience</t>
        </is>
      </c>
      <c r="B16" s="47" t="inlineStr">
        <is>
          <t>TC-E2E-15</t>
        </is>
      </c>
      <c r="C16" s="46" t="inlineStr">
        <is>
          <t>Duplicate Delivery at Every Stage Produces a Single Financial Effect</t>
        </is>
      </c>
      <c r="D16" s="47" t="inlineStr">
        <is>
          <t>High</t>
        </is>
      </c>
      <c r="E16" s="46" t="inlineStr">
        <is>
          <t>Ability to redeliver at ingestion, retrieval, grouping and ACH preparation</t>
        </is>
      </c>
      <c r="F16" s="46" t="inlineStr">
        <is>
          <t>1. Redeliver the same callback
2. Re-retrieve and re-parse the same settlement report
3. Re-run grouping for the same date
4. Re-run ACH preparation for the same batch
5. Inspect ledger entries, batches, fee entries and wallet movements after each</t>
        </is>
      </c>
      <c r="G16" s="46" t="inlineStr">
        <is>
          <t>Every stage absorbs its duplicate idempotently; exactly one ledger entry, one batch, one commission and VAT pair and one wallet movement exist; no figure is double-counted at any hop</t>
        </is>
      </c>
      <c r="H16" s="47" t="inlineStr">
        <is>
          <t>Not Tested</t>
        </is>
      </c>
      <c r="I16" s="47" t="inlineStr">
        <is>
          <t>Integration</t>
        </is>
      </c>
    </row>
    <row r="17" ht="36" customHeight="1">
      <c r="A17" s="46" t="inlineStr">
        <is>
          <t>E2E - Reporting</t>
        </is>
      </c>
      <c r="B17" s="47" t="inlineStr">
        <is>
          <t>TC-E2E-16</t>
        </is>
      </c>
      <c r="C17" s="46" t="inlineStr">
        <is>
          <t>Safeguarding Report Reconciles With Refund Exposure Present</t>
        </is>
      </c>
      <c r="D17" s="47" t="inlineStr">
        <is>
          <t>High</t>
        </is>
      </c>
      <c r="E17" s="46" t="inlineStr">
        <is>
          <t>A reporting period containing settled sales, refunds, held batches and parked items</t>
        </is>
      </c>
      <c r="F17" s="46" t="inlineStr">
        <is>
          <t>1. Generate the Finance safeguarding report for the period
2. Compare the reconciling total against the ledger
3. Confirm the treatment of refund exposure, held batches and parked items</t>
        </is>
      </c>
      <c r="G17" s="46" t="inlineStr">
        <is>
          <t>The reconciling total ties to the ledger; refund exposure is presented as a memo line outside it; held batches and parked items are disclosed separately and none of them silently enters or leaves the reconciling total</t>
        </is>
      </c>
      <c r="H17" s="47" t="inlineStr">
        <is>
          <t>Not Tested</t>
        </is>
      </c>
      <c r="I17" s="47" t="inlineStr">
        <is>
          <t>Reporting</t>
        </is>
      </c>
    </row>
  </sheetData>
  <autoFilter ref="A1:I17"/>
  <conditionalFormatting sqref="H2:H17">
    <cfRule type="cellIs" priority="1" operator="equal" dxfId="54">
      <formula>"Passed"</formula>
    </cfRule>
    <cfRule type="cellIs" priority="2" operator="equal" dxfId="55">
      <formula>"Failed"</formula>
    </cfRule>
    <cfRule type="cellIs" priority="3" operator="equal" dxfId="56">
      <formula>"Partially Passed"</formula>
    </cfRule>
    <cfRule type="cellIs" priority="4" operator="equal" dxfId="57">
      <formula>"Not Tested"</formula>
    </cfRule>
    <cfRule type="cellIs" priority="5" operator="equal" dxfId="58">
      <formula>"Not Implemented"</formula>
    </cfRule>
    <cfRule type="cellIs" priority="6" operator="equal" dxfId="59">
      <formula>"NA"</formula>
    </cfRule>
  </conditionalFormatting>
  <dataValidations count="1">
    <dataValidation sqref="H2:H17" showDropDown="0" showInputMessage="0" showErrorMessage="0" allowBlank="1" type="list">
      <formula1>"Passed,Failed,Partially Passed,Not Tested,Not Implemented,NA"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2026-08-19T09:59:54Z</dcterms:created>
  <dcterms:modified xmlns:dcterms="http://purl.org/dc/terms/" xmlns:xsi="http://www.w3.org/2001/XMLSchema-instance" xsi:type="dcterms:W3CDTF">2026-09-08T06:26:41Z</dcterms:modified>
  <cp:lastModifiedBy>Mohammad Matar</cp:lastModifiedBy>
</cp:coreProperties>
</file>