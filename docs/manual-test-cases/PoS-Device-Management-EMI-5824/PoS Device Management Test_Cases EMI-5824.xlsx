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oS Device Management" sheetId="2" state="visible" r:id="rId2"/>
  </sheets>
  <definedNames>
    <definedName name="_xlnm._FilterDatabase" localSheetId="1" hidden="1">'PoS Device Management'!$A$1:$I$37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1F4E78"/>
      <sz val="13"/>
    </font>
    <font>
      <name val="Arial"/>
      <family val="2"/>
      <b val="1"/>
      <color rgb="FF000000"/>
      <sz val="9"/>
    </font>
    <font>
      <name val="Arial"/>
      <b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6" fillId="4" borderId="3" applyAlignment="1" pivotButton="0" quotePrefix="0" xfId="0">
      <alignment horizontal="left" vertical="top" wrapText="1"/>
    </xf>
    <xf numFmtId="3" fontId="6" fillId="4" borderId="3" applyAlignment="1" pivotButton="0" quotePrefix="0" xfId="0">
      <alignment horizontal="center" vertical="top"/>
    </xf>
    <xf numFmtId="164" fontId="6" fillId="4" borderId="3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1" fillId="5" borderId="4" applyAlignment="1" pivotButton="0" quotePrefix="0" xfId="0">
      <alignment horizontal="left" vertical="center"/>
    </xf>
    <xf numFmtId="0" fontId="2" fillId="0" borderId="4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1" fillId="5" borderId="4" applyAlignment="1" pivotButton="0" quotePrefix="0" xfId="0">
      <alignment horizontal="center" vertical="center" wrapText="1"/>
    </xf>
    <xf numFmtId="3" fontId="3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left" vertical="center"/>
    </xf>
    <xf numFmtId="3" fontId="6" fillId="6" borderId="4" applyAlignment="1" pivotButton="0" quotePrefix="0" xfId="0">
      <alignment horizontal="center" vertical="center"/>
    </xf>
    <xf numFmtId="164" fontId="6" fillId="6" borderId="4" applyAlignment="1" pivotButton="0" quotePrefix="0" xfId="0">
      <alignment horizontal="center" vertical="center"/>
    </xf>
    <xf numFmtId="3" fontId="3" fillId="0" borderId="4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  <xf numFmtId="0" fontId="3" fillId="7" borderId="4" applyAlignment="1" pivotButton="0" quotePrefix="0" xfId="0">
      <alignment horizontal="center" vertical="top" wrapText="1"/>
    </xf>
  </cellXfs>
  <cellStyles count="1">
    <cellStyle name="Normal" xfId="0" builtinId="0" hidden="0"/>
  </cellStyles>
  <dxfs count="6">
    <dxf>
      <font>
        <name val="Arial"/>
        <color rgb="FF375623"/>
        <sz val="9"/>
      </font>
      <fill>
        <patternFill patternType="solid">
          <bgColor rgb="FFE2EFDA"/>
        </patternFill>
      </fill>
    </dxf>
    <dxf>
      <font>
        <name val="Arial"/>
        <color rgb="FFC65911"/>
        <sz val="9"/>
      </font>
      <fill>
        <patternFill patternType="solid">
          <bgColor rgb="FFFCE4D6"/>
        </patternFill>
      </fill>
    </dxf>
    <dxf>
      <font>
        <name val="Arial"/>
        <color rgb="FF833C0C"/>
        <sz val="9"/>
      </font>
      <fill>
        <patternFill patternType="solid">
          <bgColor rgb="FFFFF2CC"/>
        </patternFill>
      </fill>
    </dxf>
    <dxf>
      <font>
        <name val="Arial"/>
        <color rgb="FF595959"/>
        <sz val="9"/>
      </font>
      <fill>
        <patternFill patternType="solid">
          <bgColor rgb="FFEDEDED"/>
        </patternFill>
      </fill>
    </dxf>
    <dxf>
      <font>
        <name val="Arial"/>
        <color rgb="FF7030A0"/>
        <sz val="9"/>
      </font>
      <fill>
        <patternFill patternType="solid">
          <bgColor rgb="FFEAD1DC"/>
        </patternFill>
      </fill>
    </dxf>
    <dxf>
      <font>
        <name val="Arial"/>
        <color rgb="FF7F7F7F"/>
        <sz val="9"/>
      </font>
      <fill>
        <patternFill patternType="solid">
          <b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55" customWidth="1" min="2" max="2"/>
    <col width="16" customWidth="1" min="3" max="3"/>
    <col width="18" customWidth="1" min="4" max="4"/>
    <col width="15" customWidth="1" min="5" max="5"/>
    <col width="18" customWidth="1" min="6" max="6"/>
    <col width="15" customWidth="1" min="7" max="7"/>
    <col width="14" customWidth="1" min="8" max="8"/>
  </cols>
  <sheetData>
    <row r="1" ht="24" customHeight="1">
      <c r="A1" s="17" t="inlineStr">
        <is>
          <t>Category</t>
        </is>
      </c>
      <c r="B1" s="17" t="inlineStr">
        <is>
          <t>Details</t>
        </is>
      </c>
    </row>
    <row r="2" ht="19.95" customHeight="1">
      <c r="A2" s="18" t="inlineStr">
        <is>
          <t>Document Name</t>
        </is>
      </c>
      <c r="B2" s="19" t="inlineStr">
        <is>
          <t>PoS Device Management testcases</t>
        </is>
      </c>
    </row>
    <row r="3" ht="19.95" customHeight="1">
      <c r="A3" s="18" t="inlineStr">
        <is>
          <t>Epic / Story Ref</t>
        </is>
      </c>
      <c r="B3" s="19" t="inlineStr">
        <is>
          <t>EMI-5823 PoS Epic / EMI-5824</t>
        </is>
      </c>
    </row>
    <row r="4" ht="19.95" customHeight="1">
      <c r="A4" s="18" t="inlineStr">
        <is>
          <t>Release Number</t>
        </is>
      </c>
      <c r="B4" s="19" t="inlineStr">
        <is>
          <t>Backlog - not yet scheduled to a release</t>
        </is>
      </c>
    </row>
    <row r="5" ht="19.95" customHeight="1">
      <c r="A5" s="18" t="inlineStr">
        <is>
          <t>Environment</t>
        </is>
      </c>
      <c r="B5" s="19" t="inlineStr">
        <is>
          <t>UAT</t>
        </is>
      </c>
    </row>
    <row r="6" ht="19.95" customHeight="1">
      <c r="A6" s="18" t="inlineStr">
        <is>
          <t>Testing Period</t>
        </is>
      </c>
      <c r="B6" s="19" t="inlineStr">
        <is>
          <t>Sprint Test Execution Cycle</t>
        </is>
      </c>
    </row>
    <row r="9" ht="18" customHeight="1">
      <c r="A9" s="4" t="inlineStr">
        <is>
          <t>EMI-5824 PoS Device Management — Test Case Results by Category</t>
        </is>
      </c>
    </row>
    <row r="11" ht="25.95" customHeight="1">
      <c r="A11" s="20" t="inlineStr">
        <is>
          <t>Category (Feature / Story)</t>
        </is>
      </c>
      <c r="B11" s="20" t="inlineStr">
        <is>
          <t>Passed</t>
        </is>
      </c>
      <c r="C11" s="20" t="inlineStr">
        <is>
          <t>Failed</t>
        </is>
      </c>
      <c r="D11" s="20" t="inlineStr">
        <is>
          <t>Partially Passed</t>
        </is>
      </c>
      <c r="E11" s="20" t="inlineStr">
        <is>
          <t>Not Tested</t>
        </is>
      </c>
      <c r="F11" s="20" t="inlineStr">
        <is>
          <t>Not Implemented</t>
        </is>
      </c>
      <c r="G11" s="20" t="inlineStr">
        <is>
          <t>Total Checks</t>
        </is>
      </c>
      <c r="H11" s="20" t="inlineStr">
        <is>
          <t>Pass Rate %</t>
        </is>
      </c>
    </row>
    <row r="12" ht="19.95" customHeight="1">
      <c r="A12" s="18" t="inlineStr">
        <is>
          <t>EMI-5824 — Directory, Lifecycle &amp; Per-Device Sub-Ledger</t>
        </is>
      </c>
      <c r="B12" s="21">
        <f>COUNTIF('PoS Device Management'!H2:H400, "Passed")</f>
        <v/>
      </c>
      <c r="C12" s="21">
        <f>COUNTIF('PoS Device Management'!H2:H400, "Failed")</f>
        <v/>
      </c>
      <c r="D12" s="21">
        <f>COUNTIF('PoS Device Management'!H2:H400, "Partially Passed")</f>
        <v/>
      </c>
      <c r="E12" s="21">
        <f>COUNTIF('PoS Device Management'!H2:H400, "Not Tested")</f>
        <v/>
      </c>
      <c r="F12" s="21">
        <f>COUNTIF('PoS Device Management'!H2:H400, "Not Implemented")</f>
        <v/>
      </c>
      <c r="G12" s="21">
        <f>SUM(B12:F12)</f>
        <v/>
      </c>
      <c r="H12" s="22">
        <f>IF(G12&gt;0, B12/G12, 0)</f>
        <v/>
      </c>
    </row>
    <row r="13" ht="22.05" customHeight="1">
      <c r="A13" s="23" t="inlineStr">
        <is>
          <t>Total</t>
        </is>
      </c>
      <c r="B13" s="24">
        <f>SUM(B12:B12)</f>
        <v/>
      </c>
      <c r="C13" s="24">
        <f>SUM(C12:C12)</f>
        <v/>
      </c>
      <c r="D13" s="24">
        <f>SUM(D12:D12)</f>
        <v/>
      </c>
      <c r="E13" s="24">
        <f>SUM(E12:E12)</f>
        <v/>
      </c>
      <c r="F13" s="24">
        <f>SUM(F12:F12)</f>
        <v/>
      </c>
      <c r="G13" s="24">
        <f>SUM(G12:G12)</f>
        <v/>
      </c>
      <c r="H13" s="25">
        <f>IF(G13&gt;0, B13/G13, 0)</f>
        <v/>
      </c>
    </row>
    <row r="15" ht="22.05" customHeight="1">
      <c r="A15" s="4" t="inlineStr">
        <is>
          <t>Test Execution Statuses &amp; Definitions</t>
        </is>
      </c>
    </row>
    <row r="16" ht="24" customHeight="1">
      <c r="A16" s="20" t="inlineStr">
        <is>
          <t>Status</t>
        </is>
      </c>
      <c r="B16" s="20" t="inlineStr">
        <is>
          <t>Definition / Criteria</t>
        </is>
      </c>
      <c r="C16" s="20" t="inlineStr">
        <is>
          <t>Allowed In Workflow</t>
        </is>
      </c>
    </row>
    <row r="17" ht="19.95" customHeight="1">
      <c r="A17" s="19" t="inlineStr">
        <is>
          <t>Passed</t>
        </is>
      </c>
      <c r="B17" s="26" t="inlineStr">
        <is>
          <t>All test steps executed with actual result matching the expected result</t>
        </is>
      </c>
      <c r="C17" s="26" t="inlineStr">
        <is>
          <t>Yes</t>
        </is>
      </c>
    </row>
    <row r="18" ht="19.95" customHeight="1">
      <c r="A18" s="19" t="inlineStr">
        <is>
          <t>Failed</t>
        </is>
      </c>
      <c r="B18" s="26" t="inlineStr">
        <is>
          <t>One or more test steps failed or produced an incorrect result</t>
        </is>
      </c>
      <c r="C18" s="26" t="inlineStr">
        <is>
          <t>Yes</t>
        </is>
      </c>
    </row>
    <row r="19" ht="19.95" customHeight="1">
      <c r="A19" s="19" t="inlineStr">
        <is>
          <t>Partially Passed</t>
        </is>
      </c>
      <c r="B19" s="26" t="inlineStr">
        <is>
          <t>Core functionality works but a secondary assertion did not</t>
        </is>
      </c>
      <c r="C19" s="26" t="inlineStr">
        <is>
          <t>Yes</t>
        </is>
      </c>
    </row>
    <row r="20" ht="19.95" customHeight="1">
      <c r="A20" s="19" t="inlineStr">
        <is>
          <t>Not Tested</t>
        </is>
      </c>
      <c r="B20" s="26" t="inlineStr">
        <is>
          <t>Test case is ready for execution in the current cycle</t>
        </is>
      </c>
      <c r="C20" s="26" t="inlineStr">
        <is>
          <t>Yes (Default)</t>
        </is>
      </c>
    </row>
    <row r="21" ht="19.95" customHeight="1">
      <c r="A21" s="19" t="inlineStr">
        <is>
          <t>Not Implemented</t>
        </is>
      </c>
      <c r="B21" s="26" t="inlineStr">
        <is>
          <t>Feature or endpoint dependency is currently unavailable</t>
        </is>
      </c>
      <c r="C21" s="26" t="inlineStr">
        <is>
          <t>Yes</t>
        </is>
      </c>
    </row>
    <row r="22" ht="19.95" customHeight="1">
      <c r="A22" s="19" t="inlineStr">
        <is>
          <t>NA</t>
        </is>
      </c>
      <c r="B22" s="26" t="inlineStr">
        <is>
          <t>Scenario is not applicable to the current scope or configuration</t>
        </is>
      </c>
      <c r="C22" s="26" t="inlineStr">
        <is>
          <t>Yes</t>
        </is>
      </c>
    </row>
    <row r="24" ht="22.05" customHeight="1">
      <c r="A24" s="4" t="inlineStr">
        <is>
          <t>Note</t>
        </is>
      </c>
    </row>
    <row r="25">
      <c r="A25" s="27" t="inlineStr">
        <is>
          <t>Scope begins once a device is mapped (a TID assigned via the EMI-5719 order flow). Order creation, delivery and TID mapping are owned by EMI-5718 / EMI-5719 and are out of scope here. Per-device settlement and payout are explicitly deferred — the sub-ledger is a read model this phase, so no test asserts money movement from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0" t="inlineStr">
        <is>
          <t>Subtopic / Category</t>
        </is>
      </c>
      <c r="B1" s="20" t="inlineStr">
        <is>
          <t>TC ID</t>
        </is>
      </c>
      <c r="C1" s="20" t="inlineStr">
        <is>
          <t>Title</t>
        </is>
      </c>
      <c r="D1" s="20" t="inlineStr">
        <is>
          <t>Priority</t>
        </is>
      </c>
      <c r="E1" s="20" t="inlineStr">
        <is>
          <t>Preconditions</t>
        </is>
      </c>
      <c r="F1" s="20" t="inlineStr">
        <is>
          <t>Steps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Test Type</t>
        </is>
      </c>
    </row>
    <row r="2" ht="36" customHeight="1">
      <c r="A2" s="28" t="inlineStr">
        <is>
          <t>Directory</t>
        </is>
      </c>
      <c r="B2" s="29" t="inlineStr">
        <is>
          <t>TC-Device-01</t>
        </is>
      </c>
      <c r="C2" s="28" t="inlineStr">
        <is>
          <t>Admin All-Devices Directory Lists Every Mapped Device</t>
        </is>
      </c>
      <c r="D2" s="29" t="inlineStr">
        <is>
          <t>High</t>
        </is>
      </c>
      <c r="E2" s="28" t="inlineStr">
        <is>
          <t>Several businesses each with mapped devices; platform admin signed in</t>
        </is>
      </c>
      <c r="F2" s="28" t="inlineStr">
        <is>
          <t>1. Open the admin Devices page
2. Inspect the columns</t>
        </is>
      </c>
      <c r="G2" s="28" t="inlineStr">
        <is>
          <t>Every mapped device across all businesses is listed with TID, Business, Label, Model, Main Wallet, Location, Status, Activated, Ledger Balance and Last Seen</t>
        </is>
      </c>
      <c r="H2" s="29" t="inlineStr">
        <is>
          <t>Not Tested</t>
        </is>
      </c>
      <c r="I2" s="29" t="inlineStr">
        <is>
          <t>Functional</t>
        </is>
      </c>
    </row>
    <row r="3" ht="36" customHeight="1">
      <c r="A3" s="28" t="inlineStr">
        <is>
          <t>Directory</t>
        </is>
      </c>
      <c r="B3" s="29" t="inlineStr">
        <is>
          <t>TC-Device-02</t>
        </is>
      </c>
      <c r="C3" s="28" t="inlineStr">
        <is>
          <t>Admin Directory Filters and Search</t>
        </is>
      </c>
      <c r="D3" s="29" t="inlineStr">
        <is>
          <t>Medium</t>
        </is>
      </c>
      <c r="E3" s="28" t="inlineStr">
        <is>
          <t>A populated device directory</t>
        </is>
      </c>
      <c r="F3" s="28" t="inlineStr">
        <is>
          <t>1. Filter by business, status, wallet, order ref and location in turn
2. Search by TID and by serial number</t>
        </is>
      </c>
      <c r="G3" s="28" t="inlineStr">
        <is>
          <t>Each filter and search returns the correct subset</t>
        </is>
      </c>
      <c r="H3" s="29" t="inlineStr">
        <is>
          <t>Not Tested</t>
        </is>
      </c>
      <c r="I3" s="29" t="inlineStr">
        <is>
          <t>Functional</t>
        </is>
      </c>
    </row>
    <row r="4" ht="36" customHeight="1">
      <c r="A4" s="28" t="inlineStr">
        <is>
          <t>Directory</t>
        </is>
      </c>
      <c r="B4" s="29" t="inlineStr">
        <is>
          <t>TC-Device-03</t>
        </is>
      </c>
      <c r="C4" s="28" t="inlineStr">
        <is>
          <t>Admin Bulk Select and Export</t>
        </is>
      </c>
      <c r="D4" s="29" t="inlineStr">
        <is>
          <t>Medium</t>
        </is>
      </c>
      <c r="E4" s="28" t="inlineStr">
        <is>
          <t>A populated device directory</t>
        </is>
      </c>
      <c r="F4" s="28" t="inlineStr">
        <is>
          <t>1. Bulk-select devices
2. Export the selection</t>
        </is>
      </c>
      <c r="G4" s="28" t="inlineStr">
        <is>
          <t>The export succeeds and matches the on-screen rows</t>
        </is>
      </c>
      <c r="H4" s="29" t="inlineStr">
        <is>
          <t>Not Tested</t>
        </is>
      </c>
      <c r="I4" s="29" t="inlineStr">
        <is>
          <t>Functional</t>
        </is>
      </c>
    </row>
    <row r="5" ht="36" customHeight="1">
      <c r="A5" s="28" t="inlineStr">
        <is>
          <t>Directory</t>
        </is>
      </c>
      <c r="B5" s="29" t="inlineStr">
        <is>
          <t>TC-Device-04</t>
        </is>
      </c>
      <c r="C5" s="28" t="inlineStr">
        <is>
          <t>Business My-Devices View Is Scoped to the Owning Business</t>
        </is>
      </c>
      <c r="D5" s="29" t="inlineStr">
        <is>
          <t>High</t>
        </is>
      </c>
      <c r="E5" s="28" t="inlineStr">
        <is>
          <t>Two businesses each with devices; a business user signed in</t>
        </is>
      </c>
      <c r="F5" s="28" t="inlineStr">
        <is>
          <t>1. Open the My Devices view
2. Compare against the full device set</t>
        </is>
      </c>
      <c r="G5" s="28" t="inlineStr">
        <is>
          <t>Only the signed-in business's own devices are listed; another business's devices are never visible</t>
        </is>
      </c>
      <c r="H5" s="29" t="inlineStr">
        <is>
          <t>Not Tested</t>
        </is>
      </c>
      <c r="I5" s="29" t="inlineStr">
        <is>
          <t>Functional</t>
        </is>
      </c>
    </row>
    <row r="6" ht="36" customHeight="1">
      <c r="A6" s="28" t="inlineStr">
        <is>
          <t>Directory</t>
        </is>
      </c>
      <c r="B6" s="29" t="inlineStr">
        <is>
          <t>TC-Device-05</t>
        </is>
      </c>
      <c r="C6" s="28" t="inlineStr">
        <is>
          <t>Devices Reachable From the Client Profile</t>
        </is>
      </c>
      <c r="D6" s="29" t="inlineStr">
        <is>
          <t>Medium</t>
        </is>
      </c>
      <c r="E6" s="28" t="inlineStr">
        <is>
          <t>A business with mapped devices; admin signed in</t>
        </is>
      </c>
      <c r="F6" s="28" t="inlineStr">
        <is>
          <t>1. Open that client's profile and navigate to its devices</t>
        </is>
      </c>
      <c r="G6" s="28" t="inlineStr">
        <is>
          <t>The client's devices are reachable from the profile, consistent with order and device visibility in EMI-5719</t>
        </is>
      </c>
      <c r="H6" s="29" t="inlineStr">
        <is>
          <t>Not Tested</t>
        </is>
      </c>
      <c r="I6" s="29" t="inlineStr">
        <is>
          <t>Functional</t>
        </is>
      </c>
    </row>
    <row r="7" ht="36" customHeight="1">
      <c r="A7" s="28" t="inlineStr">
        <is>
          <t>Profile</t>
        </is>
      </c>
      <c r="B7" s="29" t="inlineStr">
        <is>
          <t>TC-Device-06</t>
        </is>
      </c>
      <c r="C7" s="28" t="inlineStr">
        <is>
          <t>Device Detail Shows Identity, Owner and Provenance</t>
        </is>
      </c>
      <c r="D7" s="29" t="inlineStr">
        <is>
          <t>High</t>
        </is>
      </c>
      <c r="E7" s="28" t="inlineStr">
        <is>
          <t>A mapped device created through the order flow</t>
        </is>
      </c>
      <c r="F7" s="28" t="inlineStr">
        <is>
          <t>1. Open the device detail</t>
        </is>
      </c>
      <c r="G7" s="28" t="inlineStr">
        <is>
          <t>Identity (TID, serial, model, label), owner (business, main wallet) and provenance (order ref, delivery group, location, delivery contact) are all shown</t>
        </is>
      </c>
      <c r="H7" s="29" t="inlineStr">
        <is>
          <t>Not Tested</t>
        </is>
      </c>
      <c r="I7" s="29" t="inlineStr">
        <is>
          <t>Functional</t>
        </is>
      </c>
    </row>
    <row r="8" ht="36" customHeight="1">
      <c r="A8" s="28" t="inlineStr">
        <is>
          <t>Profile</t>
        </is>
      </c>
      <c r="B8" s="29" t="inlineStr">
        <is>
          <t>TC-Device-07</t>
        </is>
      </c>
      <c r="C8" s="28" t="inlineStr">
        <is>
          <t>Status History Is an Append-Only Timeline</t>
        </is>
      </c>
      <c r="D8" s="29" t="inlineStr">
        <is>
          <t>High</t>
        </is>
      </c>
      <c r="E8" s="28" t="inlineStr">
        <is>
          <t>A device that has been through several lifecycle actions</t>
        </is>
      </c>
      <c r="F8" s="28" t="inlineStr">
        <is>
          <t>1. Open the status history
2. Attempt to edit or delete an entry</t>
        </is>
      </c>
      <c r="G8" s="28" t="inlineStr">
        <is>
          <t>The timeline shows actor, timestamp and note for each transition and is append-only; edits and deletes are rejected</t>
        </is>
      </c>
      <c r="H8" s="29" t="inlineStr">
        <is>
          <t>Not Tested</t>
        </is>
      </c>
      <c r="I8" s="29" t="inlineStr">
        <is>
          <t>Negative</t>
        </is>
      </c>
    </row>
    <row r="9" ht="36" customHeight="1">
      <c r="A9" s="28" t="inlineStr">
        <is>
          <t>Lifecycle</t>
        </is>
      </c>
      <c r="B9" s="29" t="inlineStr">
        <is>
          <t>TC-Device-08</t>
        </is>
      </c>
      <c r="C9" s="28" t="inlineStr">
        <is>
          <t>Suspend Then Reactivate</t>
        </is>
      </c>
      <c r="D9" s="29" t="inlineStr">
        <is>
          <t>High</t>
        </is>
      </c>
      <c r="E9" s="28" t="inlineStr">
        <is>
          <t>An Active device</t>
        </is>
      </c>
      <c r="F9" s="28" t="inlineStr">
        <is>
          <t>1. Suspend the device with a reason
2. Attempt a transaction on it
3. Reactivate it
4. Transact again</t>
        </is>
      </c>
      <c r="G9" s="28" t="inlineStr">
        <is>
          <t>Status toggles Active to Suspended to Active; transactions are blocked while suspended and succeed after reactivation; the ledger is preserved throughout and status-history plus audit entries are written for both actions</t>
        </is>
      </c>
      <c r="H9" s="29" t="inlineStr">
        <is>
          <t>Not Tested</t>
        </is>
      </c>
      <c r="I9" s="29" t="inlineStr">
        <is>
          <t>Functional</t>
        </is>
      </c>
    </row>
    <row r="10" ht="36" customHeight="1">
      <c r="A10" s="28" t="inlineStr">
        <is>
          <t>Lifecycle</t>
        </is>
      </c>
      <c r="B10" s="29" t="inlineStr">
        <is>
          <t>TC-Device-09</t>
        </is>
      </c>
      <c r="C10" s="28" t="inlineStr">
        <is>
          <t>Block Requires a Mandatory Reason</t>
        </is>
      </c>
      <c r="D10" s="29" t="inlineStr">
        <is>
          <t>High</t>
        </is>
      </c>
      <c r="E10" s="28" t="inlineStr">
        <is>
          <t>An Active device</t>
        </is>
      </c>
      <c r="F10" s="28" t="inlineStr">
        <is>
          <t>1. Attempt to block the device without a reason
2. Block it with a reason</t>
        </is>
      </c>
      <c r="G10" s="28" t="inlineStr">
        <is>
          <t>The first attempt is rejected; the second succeeds and the device is Blocked with the reason recorded</t>
        </is>
      </c>
      <c r="H10" s="29" t="inlineStr">
        <is>
          <t>Not Tested</t>
        </is>
      </c>
      <c r="I10" s="29" t="inlineStr">
        <is>
          <t>Negative</t>
        </is>
      </c>
    </row>
    <row r="11" ht="36" customHeight="1">
      <c r="A11" s="28" t="inlineStr">
        <is>
          <t>Lifecycle</t>
        </is>
      </c>
      <c r="B11" s="29" t="inlineStr">
        <is>
          <t>TC-Device-10</t>
        </is>
      </c>
      <c r="C11" s="28" t="inlineStr">
        <is>
          <t>Blocked Device Requires Admin Unblock to Resume</t>
        </is>
      </c>
      <c r="D11" s="29" t="inlineStr">
        <is>
          <t>High</t>
        </is>
      </c>
      <c r="E11" s="28" t="inlineStr">
        <is>
          <t>A Blocked device</t>
        </is>
      </c>
      <c r="F11" s="28" t="inlineStr">
        <is>
          <t>1. Attempt to transact on it
2. Attempt to reactivate it by any route other than admin unblock
3. Unblock as an admin</t>
        </is>
      </c>
      <c r="G11" s="28" t="inlineStr">
        <is>
          <t>Transactions are refused; only an admin unblock returns the device to Active</t>
        </is>
      </c>
      <c r="H11" s="29" t="inlineStr">
        <is>
          <t>Not Tested</t>
        </is>
      </c>
      <c r="I11" s="29" t="inlineStr">
        <is>
          <t>Negative</t>
        </is>
      </c>
    </row>
    <row r="12" ht="36" customHeight="1">
      <c r="A12" s="28" t="inlineStr">
        <is>
          <t>Lifecycle</t>
        </is>
      </c>
      <c r="B12" s="29" t="inlineStr">
        <is>
          <t>TC-Device-11</t>
        </is>
      </c>
      <c r="C12" s="28" t="inlineStr">
        <is>
          <t>Replace Preserves History and Sub-Ledger Continuity</t>
        </is>
      </c>
      <c r="D12" s="29" t="inlineStr">
        <is>
          <t>High</t>
        </is>
      </c>
      <c r="E12" s="28" t="inlineStr">
        <is>
          <t>An Active device with transaction history and a non-zero ledger balance</t>
        </is>
      </c>
      <c r="F12" s="28" t="inlineStr">
        <is>
          <t>1. Replace the device, mapping a successor TID
2. Inspect the old and new device records and the sub-ledger</t>
        </is>
      </c>
      <c r="G12" s="28" t="inlineStr">
        <is>
          <t>The old TID is retired as Replaced and the successor TID is linked; the successor inherits the ledger lineage and the history and sub-ledger continuity are preserved</t>
        </is>
      </c>
      <c r="H12" s="29" t="inlineStr">
        <is>
          <t>Not Tested</t>
        </is>
      </c>
      <c r="I12" s="29" t="inlineStr">
        <is>
          <t>Functional</t>
        </is>
      </c>
    </row>
    <row r="13" ht="36" customHeight="1">
      <c r="A13" s="28" t="inlineStr">
        <is>
          <t>Lifecycle</t>
        </is>
      </c>
      <c r="B13" s="29" t="inlineStr">
        <is>
          <t>TC-Device-12</t>
        </is>
      </c>
      <c r="C13" s="28" t="inlineStr">
        <is>
          <t>Replace With a TID Already in Use Is Rejected</t>
        </is>
      </c>
      <c r="D13" s="29" t="inlineStr">
        <is>
          <t>High</t>
        </is>
      </c>
      <c r="E13" s="28" t="inlineStr">
        <is>
          <t>A TID already mapped to another device</t>
        </is>
      </c>
      <c r="F13" s="28" t="inlineStr">
        <is>
          <t>1. Attempt a replace using that TID</t>
        </is>
      </c>
      <c r="G13" s="28" t="inlineStr">
        <is>
          <t>Rejected; TID uniqueness is enforced platform-wide</t>
        </is>
      </c>
      <c r="H13" s="29" t="inlineStr">
        <is>
          <t>Not Tested</t>
        </is>
      </c>
      <c r="I13" s="29" t="inlineStr">
        <is>
          <t>Negative</t>
        </is>
      </c>
    </row>
    <row r="14" ht="36" customHeight="1">
      <c r="A14" s="28" t="inlineStr">
        <is>
          <t>Lifecycle</t>
        </is>
      </c>
      <c r="B14" s="29" t="inlineStr">
        <is>
          <t>TC-Device-13</t>
        </is>
      </c>
      <c r="C14" s="28" t="inlineStr">
        <is>
          <t>Relocate and Relabel</t>
        </is>
      </c>
      <c r="D14" s="29" t="inlineStr">
        <is>
          <t>Medium</t>
        </is>
      </c>
      <c r="E14" s="28" t="inlineStr">
        <is>
          <t>An Active device</t>
        </is>
      </c>
      <c r="F14" s="28" t="inlineStr">
        <is>
          <t>1. Update the device location and its label
2. Inspect the record and the audit trail</t>
        </is>
      </c>
      <c r="G14" s="28" t="inlineStr">
        <is>
          <t>Location and label are updated and an audit entry is written for each change</t>
        </is>
      </c>
      <c r="H14" s="29" t="inlineStr">
        <is>
          <t>Not Tested</t>
        </is>
      </c>
      <c r="I14" s="29" t="inlineStr">
        <is>
          <t>Functional</t>
        </is>
      </c>
    </row>
    <row r="15" ht="36" customHeight="1">
      <c r="A15" s="28" t="inlineStr">
        <is>
          <t>Lifecycle</t>
        </is>
      </c>
      <c r="B15" s="29" t="inlineStr">
        <is>
          <t>TC-Device-14</t>
        </is>
      </c>
      <c r="C15" s="28" t="inlineStr">
        <is>
          <t>Invalid State Transition Is Rejected With Allowed Next States</t>
        </is>
      </c>
      <c r="D15" s="29" t="inlineStr">
        <is>
          <t>High</t>
        </is>
      </c>
      <c r="E15" s="28" t="inlineStr">
        <is>
          <t>A device in a terminal or otherwise restricted state</t>
        </is>
      </c>
      <c r="F15" s="28" t="inlineStr">
        <is>
          <t>1. Attempt a transition that the status model does not permit</t>
        </is>
      </c>
      <c r="G15" s="28" t="inlineStr">
        <is>
          <t>Rejected server-side with the allowed next states returned; the transition is never accepted client-side only</t>
        </is>
      </c>
      <c r="H15" s="29" t="inlineStr">
        <is>
          <t>Not Tested</t>
        </is>
      </c>
      <c r="I15" s="29" t="inlineStr">
        <is>
          <t>Negative</t>
        </is>
      </c>
    </row>
    <row r="16" ht="36" customHeight="1">
      <c r="A16" s="28" t="inlineStr">
        <is>
          <t>Lifecycle</t>
        </is>
      </c>
      <c r="B16" s="29" t="inlineStr">
        <is>
          <t>TC-Device-15</t>
        </is>
      </c>
      <c r="C16" s="28" t="inlineStr">
        <is>
          <t>Terminated Device and Ledger Are Retained Read-Only</t>
        </is>
      </c>
      <c r="D16" s="29" t="inlineStr">
        <is>
          <t>High</t>
        </is>
      </c>
      <c r="E16" s="28" t="inlineStr">
        <is>
          <t>A device terminated through the EMI-5719 termination flow</t>
        </is>
      </c>
      <c r="F16" s="28" t="inlineStr">
        <is>
          <t>1. Open the terminated device and its sub-ledger
2. Attempt any lifecycle action</t>
        </is>
      </c>
      <c r="G16" s="28" t="inlineStr">
        <is>
          <t>Device and ledger are retained and readable for audit; no further lifecycle action is possible</t>
        </is>
      </c>
      <c r="H16" s="29" t="inlineStr">
        <is>
          <t>Not Tested</t>
        </is>
      </c>
      <c r="I16" s="29" t="inlineStr">
        <is>
          <t>Functional</t>
        </is>
      </c>
    </row>
    <row r="17" ht="36" customHeight="1">
      <c r="A17" s="28" t="inlineStr">
        <is>
          <t>Lifecycle</t>
        </is>
      </c>
      <c r="B17" s="29" t="inlineStr">
        <is>
          <t>TC-Device-16</t>
        </is>
      </c>
      <c r="C17" s="28" t="inlineStr">
        <is>
          <t>Every Lifecycle Action Is Enforced Server-Side and Audited</t>
        </is>
      </c>
      <c r="D17" s="29" t="inlineStr">
        <is>
          <t>High</t>
        </is>
      </c>
      <c r="E17" s="28" t="inlineStr">
        <is>
          <t>API access to the device endpoints</t>
        </is>
      </c>
      <c r="F17" s="28" t="inlineStr">
        <is>
          <t>1. Attempt each lifecycle action directly against the API, bypassing the UI
2. Inspect the audit trail</t>
        </is>
      </c>
      <c r="G17" s="28" t="inlineStr">
        <is>
          <t>Validity is enforced server-side for every action; each writes an audit record carrying identity, action, reason and timestamp</t>
        </is>
      </c>
      <c r="H17" s="29" t="inlineStr">
        <is>
          <t>Not Tested</t>
        </is>
      </c>
      <c r="I17" s="29" t="inlineStr">
        <is>
          <t>Functional</t>
        </is>
      </c>
    </row>
    <row r="18" ht="36" customHeight="1">
      <c r="A18" s="28" t="inlineStr">
        <is>
          <t>Self-Service</t>
        </is>
      </c>
      <c r="B18" s="29" t="inlineStr">
        <is>
          <t>TC-Device-17</t>
        </is>
      </c>
      <c r="C18" s="28" t="inlineStr">
        <is>
          <t>Business Can Relabel Its Own Device</t>
        </is>
      </c>
      <c r="D18" s="29" t="inlineStr">
        <is>
          <t>Medium</t>
        </is>
      </c>
      <c r="E18" s="28" t="inlineStr">
        <is>
          <t>A business user with an own device</t>
        </is>
      </c>
      <c r="F18" s="28" t="inlineStr">
        <is>
          <t>1. Relabel the device</t>
        </is>
      </c>
      <c r="G18" s="28" t="inlineStr">
        <is>
          <t>The nickname updates with no state change; the action is scoped to the owning business</t>
        </is>
      </c>
      <c r="H18" s="29" t="inlineStr">
        <is>
          <t>Not Tested</t>
        </is>
      </c>
      <c r="I18" s="29" t="inlineStr">
        <is>
          <t>Functional</t>
        </is>
      </c>
    </row>
    <row r="19" ht="36" customHeight="1">
      <c r="A19" s="28" t="inlineStr">
        <is>
          <t>Self-Service</t>
        </is>
      </c>
      <c r="B19" s="29" t="inlineStr">
        <is>
          <t>TC-Device-18</t>
        </is>
      </c>
      <c r="C19" s="28" t="inlineStr">
        <is>
          <t>Business Can Report an Issue Without Changing State</t>
        </is>
      </c>
      <c r="D19" s="29" t="inlineStr">
        <is>
          <t>Medium</t>
        </is>
      </c>
      <c r="E19" s="28" t="inlineStr">
        <is>
          <t>A business user with an own device</t>
        </is>
      </c>
      <c r="F19" s="28" t="inlineStr">
        <is>
          <t>1. Report an issue on the device
2. Inspect the device state</t>
        </is>
      </c>
      <c r="G19" s="28" t="inlineStr">
        <is>
          <t>A support or OPS ticket is raised and the device state is unchanged</t>
        </is>
      </c>
      <c r="H19" s="29" t="inlineStr">
        <is>
          <t>Not Tested</t>
        </is>
      </c>
      <c r="I19" s="29" t="inlineStr">
        <is>
          <t>Functional</t>
        </is>
      </c>
    </row>
    <row r="20" ht="36" customHeight="1">
      <c r="A20" s="28" t="inlineStr">
        <is>
          <t>Self-Service</t>
        </is>
      </c>
      <c r="B20" s="29" t="inlineStr">
        <is>
          <t>TC-Device-19</t>
        </is>
      </c>
      <c r="C20" s="28" t="inlineStr">
        <is>
          <t>Business Can Request Termination for Admin Confirmation</t>
        </is>
      </c>
      <c r="D20" s="29" t="inlineStr">
        <is>
          <t>Medium</t>
        </is>
      </c>
      <c r="E20" s="28" t="inlineStr">
        <is>
          <t>A business user with an own device</t>
        </is>
      </c>
      <c r="F20" s="28" t="inlineStr">
        <is>
          <t>1. Request termination
2. Observe the flow and the device state</t>
        </is>
      </c>
      <c r="G20" s="28" t="inlineStr">
        <is>
          <t>The EMI-5719 termination flow is initiated and awaits admin confirmation; the business cannot terminate unilaterally</t>
        </is>
      </c>
      <c r="H20" s="29" t="inlineStr">
        <is>
          <t>Not Tested</t>
        </is>
      </c>
      <c r="I20" s="29" t="inlineStr">
        <is>
          <t>Functional</t>
        </is>
      </c>
    </row>
    <row r="21" ht="36" customHeight="1">
      <c r="A21" s="28" t="inlineStr">
        <is>
          <t>Self-Service</t>
        </is>
      </c>
      <c r="B21" s="29" t="inlineStr">
        <is>
          <t>TC-Device-20</t>
        </is>
      </c>
      <c r="C21" s="28" t="inlineStr">
        <is>
          <t>Business Cannot Perform Hard State Changes</t>
        </is>
      </c>
      <c r="D21" s="29" t="inlineStr">
        <is>
          <t>High</t>
        </is>
      </c>
      <c r="E21" s="28" t="inlineStr">
        <is>
          <t>A business user with an own device</t>
        </is>
      </c>
      <c r="F21" s="28" t="inlineStr">
        <is>
          <t>1. Attempt to suspend, block, replace and relocate the device through every available route including the API</t>
        </is>
      </c>
      <c r="G21" s="28" t="inlineStr">
        <is>
          <t>All four are refused; suspend, block, replace and relocate remain admin-only</t>
        </is>
      </c>
      <c r="H21" s="29" t="inlineStr">
        <is>
          <t>Not Tested</t>
        </is>
      </c>
      <c r="I21" s="29" t="inlineStr">
        <is>
          <t>Negative</t>
        </is>
      </c>
    </row>
    <row r="22" ht="36" customHeight="1">
      <c r="A22" s="28" t="inlineStr">
        <is>
          <t>Authorization</t>
        </is>
      </c>
      <c r="B22" s="29" t="inlineStr">
        <is>
          <t>TC-Device-21</t>
        </is>
      </c>
      <c r="C22" s="28" t="inlineStr">
        <is>
          <t>Business Acting on a Non-Owned Device Is Refused Without Leakage</t>
        </is>
      </c>
      <c r="D22" s="29" t="inlineStr">
        <is>
          <t>High</t>
        </is>
      </c>
      <c r="E22" s="28" t="inlineStr">
        <is>
          <t>Two businesses with devices; a business user signed in</t>
        </is>
      </c>
      <c r="F22" s="28" t="inlineStr">
        <is>
          <t>1. Attempt to read and to act on another business's device by direct reference</t>
        </is>
      </c>
      <c r="G22" s="28" t="inlineStr">
        <is>
          <t>Refused with 403 or not-found; no detail about the other business's device leaks in the response</t>
        </is>
      </c>
      <c r="H22" s="29" t="inlineStr">
        <is>
          <t>Not Tested</t>
        </is>
      </c>
      <c r="I22" s="29" t="inlineStr">
        <is>
          <t>Security</t>
        </is>
      </c>
    </row>
    <row r="23" ht="36" customHeight="1">
      <c r="A23" s="28" t="inlineStr">
        <is>
          <t>Authorization</t>
        </is>
      </c>
      <c r="B23" s="29" t="inlineStr">
        <is>
          <t>TC-Device-22</t>
        </is>
      </c>
      <c r="C23" s="28" t="inlineStr">
        <is>
          <t>Business Queries Are Hard-Scoped Server-Side</t>
        </is>
      </c>
      <c r="D23" s="29" t="inlineStr">
        <is>
          <t>High</t>
        </is>
      </c>
      <c r="E23" s="28" t="inlineStr">
        <is>
          <t>API access as a business user</t>
        </is>
      </c>
      <c r="F23" s="28" t="inlineStr">
        <is>
          <t>1. Call the device and sub-ledger endpoints attempting to widen the scope beyond the caller's business</t>
        </is>
      </c>
      <c r="G23" s="28" t="inlineStr">
        <is>
          <t>Queries are hard-scoped to the caller's businessId server-side; cross-business access is impossible regardless of the request</t>
        </is>
      </c>
      <c r="H23" s="29" t="inlineStr">
        <is>
          <t>Not Tested</t>
        </is>
      </c>
      <c r="I23" s="29" t="inlineStr">
        <is>
          <t>Security</t>
        </is>
      </c>
    </row>
    <row r="24" ht="36" customHeight="1">
      <c r="A24" s="28" t="inlineStr">
        <is>
          <t>Sub-Ledger</t>
        </is>
      </c>
      <c r="B24" s="29" t="inlineStr">
        <is>
          <t>TC-Device-23</t>
        </is>
      </c>
      <c r="C24" s="28" t="inlineStr">
        <is>
          <t>Sub-Ledger Shows Running Balance, Statement and Transaction List</t>
        </is>
      </c>
      <c r="D24" s="29" t="inlineStr">
        <is>
          <t>High</t>
        </is>
      </c>
      <c r="E24" s="28" t="inlineStr">
        <is>
          <t>A device with sales, refunds and a settlement payment attributed to it</t>
        </is>
      </c>
      <c r="F24" s="28" t="inlineStr">
        <is>
          <t>1. Open the device sub-ledger</t>
        </is>
      </c>
      <c r="G24" s="28" t="inlineStr">
        <is>
          <t>The header shows the running balance; the Statement section shows posted entries with a running balance; the Transactions section shows the raw transaction list with amount, type, timestamp, reference and counterparty where available</t>
        </is>
      </c>
      <c r="H24" s="29" t="inlineStr">
        <is>
          <t>Not Tested</t>
        </is>
      </c>
      <c r="I24" s="29" t="inlineStr">
        <is>
          <t>Functional</t>
        </is>
      </c>
    </row>
    <row r="25" ht="36" customHeight="1">
      <c r="A25" s="28" t="inlineStr">
        <is>
          <t>Sub-Ledger</t>
        </is>
      </c>
      <c r="B25" s="29" t="inlineStr">
        <is>
          <t>TC-Device-24</t>
        </is>
      </c>
      <c r="C25" s="28" t="inlineStr">
        <is>
          <t>A Wallet Transaction Tagged With the Device TID Appears in Its Sub-Ledger</t>
        </is>
      </c>
      <c r="D25" s="29" t="inlineStr">
        <is>
          <t>High</t>
        </is>
      </c>
      <c r="E25" s="28" t="inlineStr">
        <is>
          <t>An active device on a business main wallet</t>
        </is>
      </c>
      <c r="F25" s="28" t="inlineStr">
        <is>
          <t>1. Post a wallet transaction carrying that device's tid and deviceRef in its metadata
2. Open the device sub-ledger</t>
        </is>
      </c>
      <c r="G25" s="28" t="inlineStr">
        <is>
          <t>The entry appears in that device's sub-ledger with the correct running balance</t>
        </is>
      </c>
      <c r="H25" s="29" t="inlineStr">
        <is>
          <t>Not Tested</t>
        </is>
      </c>
      <c r="I25" s="29" t="inlineStr">
        <is>
          <t>Functional</t>
        </is>
      </c>
    </row>
    <row r="26" ht="36" customHeight="1">
      <c r="A26" s="28" t="inlineStr">
        <is>
          <t>Sub-Ledger</t>
        </is>
      </c>
      <c r="B26" s="29" t="inlineStr">
        <is>
          <t>TC-Device-25</t>
        </is>
      </c>
      <c r="C26" s="28" t="inlineStr">
        <is>
          <t>A Transaction Without Device Metadata Appears in No Sub-Ledger</t>
        </is>
      </c>
      <c r="D26" s="29" t="inlineStr">
        <is>
          <t>High</t>
        </is>
      </c>
      <c r="E26" s="28" t="inlineStr">
        <is>
          <t>A business main wallet shared by several devices</t>
        </is>
      </c>
      <c r="F26" s="28" t="inlineStr">
        <is>
          <t>1. Post a wallet transaction with no tid or deviceRef in its metadata
2. Inspect every device sub-ledger for that business</t>
        </is>
      </c>
      <c r="G26" s="28" t="inlineStr">
        <is>
          <t>The transaction appears in no device sub-ledger and is not silently attributed to an arbitrary device</t>
        </is>
      </c>
      <c r="H26" s="29" t="inlineStr">
        <is>
          <t>Not Tested</t>
        </is>
      </c>
      <c r="I26" s="29" t="inlineStr">
        <is>
          <t>Functional</t>
        </is>
      </c>
    </row>
    <row r="27" ht="36" customHeight="1">
      <c r="A27" s="28" t="inlineStr">
        <is>
          <t>Sub-Ledger</t>
        </is>
      </c>
      <c r="B27" s="29" t="inlineStr">
        <is>
          <t>TC-Device-26</t>
        </is>
      </c>
      <c r="C27" s="28" t="inlineStr">
        <is>
          <t>Multi-Device Wallet Attributes Each Transaction to the Correct Device</t>
        </is>
      </c>
      <c r="D27" s="29" t="inlineStr">
        <is>
          <t>High</t>
        </is>
      </c>
      <c r="E27" s="28" t="inlineStr">
        <is>
          <t>One business main wallet with several active devices</t>
        </is>
      </c>
      <c r="F27" s="28" t="inlineStr">
        <is>
          <t>1. Post transactions from each device
2. Compare each device sub-ledger against the wallet ledger</t>
        </is>
      </c>
      <c r="G27" s="28" t="inlineStr">
        <is>
          <t>Each transaction lands only in the sub-ledger of the device whose tid it carries; the device sub-ledgers plus unattributed entries account for the wallet ledger exactly, with nothing double-counted</t>
        </is>
      </c>
      <c r="H27" s="29" t="inlineStr">
        <is>
          <t>Not Tested</t>
        </is>
      </c>
      <c r="I27" s="29" t="inlineStr">
        <is>
          <t>Edge / Boundary</t>
        </is>
      </c>
    </row>
    <row r="28" ht="36" customHeight="1">
      <c r="A28" s="28" t="inlineStr">
        <is>
          <t>Sub-Ledger</t>
        </is>
      </c>
      <c r="B28" s="29" t="inlineStr">
        <is>
          <t>TC-Device-27</t>
        </is>
      </c>
      <c r="C28" s="28" t="inlineStr">
        <is>
          <t>Sub-Ledger Is a Read Model With No Money Movement</t>
        </is>
      </c>
      <c r="D28" s="29" t="inlineStr">
        <is>
          <t>High</t>
        </is>
      </c>
      <c r="E28" s="28" t="inlineStr">
        <is>
          <t>A device with a sub-ledger balance</t>
        </is>
      </c>
      <c r="F28" s="28" t="inlineStr">
        <is>
          <t>1. Inspect every action available from the sub-ledger surface
2. Attempt any payout, hold or transfer from it</t>
        </is>
      </c>
      <c r="G28" s="28" t="inlineStr">
        <is>
          <t>The sub-ledger is a read model over wallet-ledger entries; no money can be moved from it. Per-device settlement and payout are explicitly out of scope this phase</t>
        </is>
      </c>
      <c r="H28" s="29" t="inlineStr">
        <is>
          <t>Not Tested</t>
        </is>
      </c>
      <c r="I28" s="29" t="inlineStr">
        <is>
          <t>Functional</t>
        </is>
      </c>
    </row>
    <row r="29" ht="36" customHeight="1">
      <c r="A29" s="28" t="inlineStr">
        <is>
          <t>Sub-Ledger</t>
        </is>
      </c>
      <c r="B29" s="29" t="inlineStr">
        <is>
          <t>TC-Device-28</t>
        </is>
      </c>
      <c r="C29" s="28" t="inlineStr">
        <is>
          <t>Sub-Ledger Never Writes to the Wallet Ledger</t>
        </is>
      </c>
      <c r="D29" s="29" t="inlineStr">
        <is>
          <t>High</t>
        </is>
      </c>
      <c r="E29" s="28" t="inlineStr">
        <is>
          <t>Instrumentation on the wallet ledger</t>
        </is>
      </c>
      <c r="F29" s="28" t="inlineStr">
        <is>
          <t>1. Exercise every sub-ledger operation
2. Watch for writes to the wallet ledger</t>
        </is>
      </c>
      <c r="G29" s="28" t="inlineStr">
        <is>
          <t>No write to the wallet ledger originates from this surface; the wallet ledger remains the single source of truth for money</t>
        </is>
      </c>
      <c r="H29" s="29" t="inlineStr">
        <is>
          <t>Not Tested</t>
        </is>
      </c>
      <c r="I29" s="29" t="inlineStr">
        <is>
          <t>Functional</t>
        </is>
      </c>
    </row>
    <row r="30" ht="36" customHeight="1">
      <c r="A30" s="28" t="inlineStr">
        <is>
          <t>Sub-Ledger</t>
        </is>
      </c>
      <c r="B30" s="29" t="inlineStr">
        <is>
          <t>TC-Device-29</t>
        </is>
      </c>
      <c r="C30" s="28" t="inlineStr">
        <is>
          <t>Sub-Ledger Reconciles Exactly With the Filtered Wallet Ledger</t>
        </is>
      </c>
      <c r="D30" s="29" t="inlineStr">
        <is>
          <t>High</t>
        </is>
      </c>
      <c r="E30" s="28" t="inlineStr">
        <is>
          <t>A device with a period of activity</t>
        </is>
      </c>
      <c r="F30" s="28" t="inlineStr">
        <is>
          <t>1. Extract the wallet-ledger entries filtered by that device's metadata
2. Compare against the sub-ledger figures line by line and in total</t>
        </is>
      </c>
      <c r="G30" s="28" t="inlineStr">
        <is>
          <t>The sub-ledger reconciles exactly with the filtered wallet-ledger entries; every line and the closing balance agree</t>
        </is>
      </c>
      <c r="H30" s="29" t="inlineStr">
        <is>
          <t>Not Tested</t>
        </is>
      </c>
      <c r="I30" s="29" t="inlineStr">
        <is>
          <t>Edge / Boundary</t>
        </is>
      </c>
    </row>
    <row r="31" ht="36" customHeight="1">
      <c r="A31" s="28" t="inlineStr">
        <is>
          <t>Sub-Ledger</t>
        </is>
      </c>
      <c r="B31" s="29" t="inlineStr">
        <is>
          <t>TC-Device-30</t>
        </is>
      </c>
      <c r="C31" s="28" t="inlineStr">
        <is>
          <t>Sub-Ledger Mismatch Flags a Reconciliation Error Rather Than Displaying</t>
        </is>
      </c>
      <c r="D31" s="29" t="inlineStr">
        <is>
          <t>High</t>
        </is>
      </c>
      <c r="E31" s="28" t="inlineStr">
        <is>
          <t>A forced mismatch between the projection and the wallet ledger</t>
        </is>
      </c>
      <c r="F31" s="28" t="inlineStr">
        <is>
          <t>1. Open the device sub-ledger</t>
        </is>
      </c>
      <c r="G31" s="28" t="inlineStr">
        <is>
          <t>A reconciliation error is flagged and the unverified balance is not displayed; a wrong number is never shown as if it were correct</t>
        </is>
      </c>
      <c r="H31" s="29" t="inlineStr">
        <is>
          <t>Not Tested</t>
        </is>
      </c>
      <c r="I31" s="29" t="inlineStr">
        <is>
          <t>Functional</t>
        </is>
      </c>
    </row>
    <row r="32" ht="36" customHeight="1">
      <c r="A32" s="28" t="inlineStr">
        <is>
          <t>Sub-Ledger</t>
        </is>
      </c>
      <c r="B32" s="29" t="inlineStr">
        <is>
          <t>TC-Device-31</t>
        </is>
      </c>
      <c r="C32" s="28" t="inlineStr">
        <is>
          <t>Statement Export for a Date Range</t>
        </is>
      </c>
      <c r="D32" s="29" t="inlineStr">
        <is>
          <t>Medium</t>
        </is>
      </c>
      <c r="E32" s="28" t="inlineStr">
        <is>
          <t>A device with activity across a date range</t>
        </is>
      </c>
      <c r="F32" s="28" t="inlineStr">
        <is>
          <t>1. Export the statement as CSV, Excel and PDF for the range</t>
        </is>
      </c>
      <c r="G32" s="28" t="inlineStr">
        <is>
          <t>All three exports succeed and match the on-screen figures for the same range</t>
        </is>
      </c>
      <c r="H32" s="29" t="inlineStr">
        <is>
          <t>Not Tested</t>
        </is>
      </c>
      <c r="I32" s="29" t="inlineStr">
        <is>
          <t>Functional</t>
        </is>
      </c>
    </row>
    <row r="33" ht="36" customHeight="1">
      <c r="A33" s="28" t="inlineStr">
        <is>
          <t>Sub-Ledger</t>
        </is>
      </c>
      <c r="B33" s="29" t="inlineStr">
        <is>
          <t>TC-Device-32</t>
        </is>
      </c>
      <c r="C33" s="28" t="inlineStr">
        <is>
          <t>Export Failure Delivers No Partial File</t>
        </is>
      </c>
      <c r="D33" s="29" t="inlineStr">
        <is>
          <t>Medium</t>
        </is>
      </c>
      <c r="E33" s="28" t="inlineStr">
        <is>
          <t>An export forced to fail part-way</t>
        </is>
      </c>
      <c r="F33" s="28" t="inlineStr">
        <is>
          <t>1. Trigger the export</t>
        </is>
      </c>
      <c r="G33" s="28" t="inlineStr">
        <is>
          <t>The failure is surfaced and retryable; no partial file is delivered</t>
        </is>
      </c>
      <c r="H33" s="29" t="inlineStr">
        <is>
          <t>Not Tested</t>
        </is>
      </c>
      <c r="I33" s="29" t="inlineStr">
        <is>
          <t>Negative</t>
        </is>
      </c>
    </row>
    <row r="34" ht="36" customHeight="1">
      <c r="A34" s="28" t="inlineStr">
        <is>
          <t>Sub-Ledger</t>
        </is>
      </c>
      <c r="B34" s="29" t="inlineStr">
        <is>
          <t>TC-Device-33</t>
        </is>
      </c>
      <c r="C34" s="28" t="inlineStr">
        <is>
          <t>Ledger Continuity Across a Replace</t>
        </is>
      </c>
      <c r="D34" s="29" t="inlineStr">
        <is>
          <t>High</t>
        </is>
      </c>
      <c r="E34" s="28" t="inlineStr">
        <is>
          <t>A device with sub-ledger history that is then replaced</t>
        </is>
      </c>
      <c r="F34" s="28" t="inlineStr">
        <is>
          <t>1. Replace the device
2. Open the successor's sub-ledger and request the full history</t>
        </is>
      </c>
      <c r="G34" s="28" t="inlineStr">
        <is>
          <t>The successor's sub-ledger presents continuous history across the swap; no entries are orphaned on the retired TID and none are duplicated</t>
        </is>
      </c>
      <c r="H34" s="29" t="inlineStr">
        <is>
          <t>Not Tested</t>
        </is>
      </c>
      <c r="I34" s="29" t="inlineStr">
        <is>
          <t>Integration</t>
        </is>
      </c>
    </row>
    <row r="35" ht="36" customHeight="1">
      <c r="A35" s="28" t="inlineStr">
        <is>
          <t>Non-Functional</t>
        </is>
      </c>
      <c r="B35" s="29" t="inlineStr">
        <is>
          <t>TC-Device-34</t>
        </is>
      </c>
      <c r="C35" s="28" t="inlineStr">
        <is>
          <t>Device List and Statement Load Within Budget</t>
        </is>
      </c>
      <c r="D35" s="29" t="inlineStr">
        <is>
          <t>High</t>
        </is>
      </c>
      <c r="E35" s="28" t="inlineStr">
        <is>
          <t>A production-scale device population and a device with 12 months of activity</t>
        </is>
      </c>
      <c r="F35" s="28" t="inlineStr">
        <is>
          <t>1. Load the admin device list and time it
2. Load and page a 12-month statement and time it</t>
        </is>
      </c>
      <c r="G35" s="28" t="inlineStr">
        <is>
          <t>The device list loads within 2 seconds; the statement paginates and a 12-month range renders within 3 seconds</t>
        </is>
      </c>
      <c r="H35" s="29" t="inlineStr">
        <is>
          <t>Not Tested</t>
        </is>
      </c>
      <c r="I35" s="29" t="inlineStr">
        <is>
          <t>Performance / NFR</t>
        </is>
      </c>
    </row>
    <row r="36" ht="36" customHeight="1">
      <c r="A36" s="28" t="inlineStr">
        <is>
          <t>Non-Functional</t>
        </is>
      </c>
      <c r="B36" s="29" t="inlineStr">
        <is>
          <t>TC-Device-35</t>
        </is>
      </c>
      <c r="C36" s="28" t="inlineStr">
        <is>
          <t>TID and Serial Handling Is Encrypted and Unique</t>
        </is>
      </c>
      <c r="D36" s="29" t="inlineStr">
        <is>
          <t>High</t>
        </is>
      </c>
      <c r="E36" s="28" t="inlineStr">
        <is>
          <t>Access to storage and to the mapping flow</t>
        </is>
      </c>
      <c r="F36" s="28" t="inlineStr">
        <is>
          <t>1. Inspect how tid and serialNumber are stored
2. Attempt to map a duplicate TID</t>
        </is>
      </c>
      <c r="G36" s="28" t="inlineStr">
        <is>
          <t>Both are encrypted at rest and TID uniqueness is enforced platform-wide, consistent with EMI-5719</t>
        </is>
      </c>
      <c r="H36" s="29" t="inlineStr">
        <is>
          <t>Not Tested</t>
        </is>
      </c>
      <c r="I36" s="29" t="inlineStr">
        <is>
          <t>Security</t>
        </is>
      </c>
    </row>
    <row r="37" ht="36" customHeight="1">
      <c r="A37" s="28" t="inlineStr">
        <is>
          <t>Integration</t>
        </is>
      </c>
      <c r="B37" s="29" t="inlineStr">
        <is>
          <t>TC-Device-36</t>
        </is>
      </c>
      <c r="C37" s="28" t="inlineStr">
        <is>
          <t>Device Record Created on a TID Mapping Event</t>
        </is>
      </c>
      <c r="D37" s="29" t="inlineStr">
        <is>
          <t>High</t>
        </is>
      </c>
      <c r="E37" s="28" t="inlineStr">
        <is>
          <t>An order flow that maps a TID to a main wallet</t>
        </is>
      </c>
      <c r="F37" s="28" t="inlineStr">
        <is>
          <t>1. Complete the mapping in EMI-5719
2. Inspect the device directory</t>
        </is>
      </c>
      <c r="G37" s="28" t="inlineStr">
        <is>
          <t>A device record is created carrying its provenance from the order; this story consumes the event and does not own order creation, delivery or mapping</t>
        </is>
      </c>
      <c r="H37" s="29" t="inlineStr">
        <is>
          <t>Not Tested</t>
        </is>
      </c>
      <c r="I37" s="29" t="inlineStr">
        <is>
          <t>Integration</t>
        </is>
      </c>
    </row>
  </sheetData>
  <autoFilter ref="A1:I37"/>
  <conditionalFormatting sqref="H2:H3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37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2026-09-07T20:11:26Z</dcterms:created>
  <dcterms:modified xmlns:dcterms="http://purl.org/dc/terms/" xmlns:xsi="http://www.w3.org/2001/XMLSchema-instance" xsi:type="dcterms:W3CDTF">2026-09-08T06:26:41Z</dcterms:modified>
</cp:coreProperties>
</file>